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Menu de seleção" sheetId="1" r:id="rId5"/>
    <sheet state="visible" name="BD_LeiturasHidrômetro_PRJ01" sheetId="2" r:id="rId6"/>
    <sheet state="visible" name="BD_LeiturasHidrômetro_PRJ02" sheetId="3" r:id="rId7"/>
    <sheet state="visible" name="BD_LeiturasHidrômetro_PRJ03" sheetId="4" r:id="rId8"/>
    <sheet state="visible" name="BD_LeiturasHidrômetro_PRJ04" sheetId="5" r:id="rId9"/>
  </sheets>
  <definedNames/>
  <calcPr/>
  <extLst>
    <ext uri="GoogleSheetsCustomDataVersion2">
      <go:sheetsCustomData xmlns:go="http://customooxmlschemas.google.com/" r:id="rId10" roundtripDataChecksum="xI1og95/4dNcceFBbrtGDn/LuFrflI59JrJKx556BjE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I1">
      <text>
        <t xml:space="preserve">======
ID#AAABndIsttI
tc={2C4794DB-CBD2-4BF0-857C-52CF607DF1D5}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CÁLCULO AUTOMÁTICO QUE É UTILIZADO COMO REFERÊNCIA PARA CÁLCULO DE CONSUMO, CASO NÃO SEJA INFORMADO VALORES NA COLUNA "LEITURA"</t>
      </text>
    </comment>
  </commentList>
  <extLst>
    <ext uri="GoogleSheetsCustomDataVersion2">
      <go:sheetsCustomData xmlns:go="http://customooxmlschemas.google.com/" r:id="rId1" roundtripDataSignature="AMtx7mggp+KfeXJz4LlNP6lmh4lpkOhnZg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G22">
      <text>
        <t xml:space="preserve">======
ID#AAABndIsttk
tc={2BA9A001-9AE7-4E56-BF93-B5D5CBF77B77}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Limpeza</t>
      </text>
    </comment>
    <comment authorId="0" ref="G21">
      <text>
        <t xml:space="preserve">======
ID#AAABndIsttg
tc={304BA91D-4107-4D0B-973C-E4792F272849}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Limpeza</t>
      </text>
    </comment>
    <comment authorId="0" ref="G20">
      <text>
        <t xml:space="preserve">======
ID#AAABndIsttc
tc={C0C2B0EA-5806-43C9-804E-8902EBA39DB8}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Limpeza</t>
      </text>
    </comment>
    <comment authorId="0" ref="G23">
      <text>
        <t xml:space="preserve">======
ID#AAABndIsttY
tc={25002120-87B9-4BA7-9462-A38B69A54416}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Limpeza</t>
      </text>
    </comment>
    <comment authorId="0" ref="I1">
      <text>
        <t xml:space="preserve">======
ID#AAABndIsttM
tc={6FA7A364-26A8-472D-B6F6-ED557F29185C}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CÁLCULO AUTOMÁTICO QUE É UTILIZADO COMO REFERÊNCIA PARA CÁLCULO DE CONSUMO, CASO NÃO SEJA INFORMADO VALORES NA COLUNA "LEITURA"</t>
      </text>
    </comment>
  </commentList>
  <extLst>
    <ext uri="GoogleSheetsCustomDataVersion2">
      <go:sheetsCustomData xmlns:go="http://customooxmlschemas.google.com/" r:id="rId1" roundtripDataSignature="AMtx7miUELZauz2CUoGCookJWBXEu0cutg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I1">
      <text>
        <t xml:space="preserve">======
ID#AAABndIsttU
tc={188C9A88-BF52-49B7-A259-0728892E0B7A}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CÁLCULO AUTOMÁTICO QUE É UTILIZADO COMO REFERÊNCIA PARA CÁLCULO DE CONSUMO, CASO NÃO SEJA INFORMADO VALORES NA COLUNA "LEITURA"</t>
      </text>
    </comment>
  </commentList>
  <extLst>
    <ext uri="GoogleSheetsCustomDataVersion2">
      <go:sheetsCustomData xmlns:go="http://customooxmlschemas.google.com/" r:id="rId1" roundtripDataSignature="AMtx7mg5ixeCfLrxnFtE9gM7xUWffMCC/w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I1">
      <text>
        <t xml:space="preserve">======
ID#AAABndIsttQ
tc={D8CFD3C5-231A-4908-895A-E367F196789F}    (2025-07-17 23:37:50)
[Comentário encadeado]
Sua versão do Excel permite que você leia este comentário encadeado, no entanto, as edições serão removidas se o arquivo for aberto em uma versão mais recente do Excel. Saiba mais: https://go.microsoft.com/fwlink/?linkid=870924
Comentário:
    CÁLCULO AUTOMÁTICO QUE É UTILIZADO COMO REFERÊNCIA PARA CÁLCULO DE CONSUMO, CASO NÃO SEJA INFORMADO VALORES NA COLUNA "LEITURA"</t>
      </text>
    </comment>
  </commentList>
  <extLst>
    <ext uri="GoogleSheetsCustomDataVersion2">
      <go:sheetsCustomData xmlns:go="http://customooxmlschemas.google.com/" r:id="rId1" roundtripDataSignature="AMtx7mgcG229c0S7xszgueU9FCwQJ60Z9Q=="/>
    </ext>
  </extLst>
</comments>
</file>

<file path=xl/sharedStrings.xml><?xml version="1.0" encoding="utf-8"?>
<sst xmlns="http://schemas.openxmlformats.org/spreadsheetml/2006/main" count="3353" uniqueCount="264">
  <si>
    <t>SELECIONE O CEU</t>
  </si>
  <si>
    <t>ID</t>
  </si>
  <si>
    <t>Data</t>
  </si>
  <si>
    <t>Dia</t>
  </si>
  <si>
    <t>Mês</t>
  </si>
  <si>
    <t>Ano</t>
  </si>
  <si>
    <t xml:space="preserve">Nome do dia </t>
  </si>
  <si>
    <t>Leitura</t>
  </si>
  <si>
    <t>Leitura2</t>
  </si>
  <si>
    <t>Previsão Leitura</t>
  </si>
  <si>
    <t>Leitura atual</t>
  </si>
  <si>
    <t>Leitura anterior</t>
  </si>
  <si>
    <t>Responsável Leitura</t>
  </si>
  <si>
    <t>Horário Leitura</t>
  </si>
  <si>
    <t xml:space="preserve">Consumo em m³ </t>
  </si>
  <si>
    <t>ID CEU</t>
  </si>
  <si>
    <t xml:space="preserve">RETORNAR AO MENU DE SELEÇÃO </t>
  </si>
  <si>
    <t>16/06/2025</t>
  </si>
  <si>
    <t>junho</t>
  </si>
  <si>
    <t>segunda-feira</t>
  </si>
  <si>
    <t>Kauan</t>
  </si>
  <si>
    <t>PRJ01</t>
  </si>
  <si>
    <t>17/06/2025</t>
  </si>
  <si>
    <t>terça-feira</t>
  </si>
  <si>
    <t xml:space="preserve"> 14:35:00</t>
  </si>
  <si>
    <t>18/06/2025</t>
  </si>
  <si>
    <t>quarta-feira</t>
  </si>
  <si>
    <t>19/06/2025</t>
  </si>
  <si>
    <t>quinta-feira</t>
  </si>
  <si>
    <t>20/06/2025</t>
  </si>
  <si>
    <t>sexta-feira</t>
  </si>
  <si>
    <t>21/06/2025</t>
  </si>
  <si>
    <t>sábado</t>
  </si>
  <si>
    <t>22/06/2025</t>
  </si>
  <si>
    <t>domingo</t>
  </si>
  <si>
    <t>23/06/2025</t>
  </si>
  <si>
    <t>24/06/2025</t>
  </si>
  <si>
    <t>25/06/2025</t>
  </si>
  <si>
    <t>26/06/2025</t>
  </si>
  <si>
    <t>27/06/2025</t>
  </si>
  <si>
    <t>28/06/2025</t>
  </si>
  <si>
    <t>29/06/2025</t>
  </si>
  <si>
    <t>30/06/2025</t>
  </si>
  <si>
    <t>01/07/2025</t>
  </si>
  <si>
    <t>julho</t>
  </si>
  <si>
    <t>02/07/2025</t>
  </si>
  <si>
    <t>03/07/2025</t>
  </si>
  <si>
    <t>04/07/2025</t>
  </si>
  <si>
    <t>05/07/2025</t>
  </si>
  <si>
    <t>06/07/2025</t>
  </si>
  <si>
    <t>07/07/2025</t>
  </si>
  <si>
    <t>08/07/2025</t>
  </si>
  <si>
    <t>09/07/2025</t>
  </si>
  <si>
    <t>10/07/2025</t>
  </si>
  <si>
    <t>11/07/2025</t>
  </si>
  <si>
    <t>12/07/2025</t>
  </si>
  <si>
    <t>13/07/2025</t>
  </si>
  <si>
    <t>14/07/2025</t>
  </si>
  <si>
    <t>15/07/2025</t>
  </si>
  <si>
    <t>16/07/2025</t>
  </si>
  <si>
    <t>17/07/2025</t>
  </si>
  <si>
    <t>18/07/2025</t>
  </si>
  <si>
    <t>19/07/2025</t>
  </si>
  <si>
    <t>20/07/2025</t>
  </si>
  <si>
    <t>21/07/2025</t>
  </si>
  <si>
    <t>22/07/2025</t>
  </si>
  <si>
    <t>23/07/2025</t>
  </si>
  <si>
    <t>24/07/2025</t>
  </si>
  <si>
    <t>25/07/2025</t>
  </si>
  <si>
    <t>26/07/2025</t>
  </si>
  <si>
    <t>27/07/2025</t>
  </si>
  <si>
    <t>28/07/2025</t>
  </si>
  <si>
    <t>29/07/2025</t>
  </si>
  <si>
    <t>30/07/2025</t>
  </si>
  <si>
    <t>31/07/2025</t>
  </si>
  <si>
    <t>01/08/2025</t>
  </si>
  <si>
    <t>agosto</t>
  </si>
  <si>
    <t>02/08/2025</t>
  </si>
  <si>
    <t>03/08/2025</t>
  </si>
  <si>
    <t>04/08/2025</t>
  </si>
  <si>
    <t>05/08/2025</t>
  </si>
  <si>
    <t>06/08/2025</t>
  </si>
  <si>
    <t>07/08/2025</t>
  </si>
  <si>
    <t>08/08/2025</t>
  </si>
  <si>
    <t>09/08/2025</t>
  </si>
  <si>
    <t>10/08/2025</t>
  </si>
  <si>
    <t>11/08/2025</t>
  </si>
  <si>
    <t>12/08/2025</t>
  </si>
  <si>
    <t>13/08/2025</t>
  </si>
  <si>
    <t>14/08/2025</t>
  </si>
  <si>
    <t>15/08/2025</t>
  </si>
  <si>
    <t>16/08/2025</t>
  </si>
  <si>
    <t>17/08/2025</t>
  </si>
  <si>
    <t>18/08/2025</t>
  </si>
  <si>
    <t>19/08/2025</t>
  </si>
  <si>
    <t>20/08/2025</t>
  </si>
  <si>
    <t>21/08/2025</t>
  </si>
  <si>
    <t>22/08/2025</t>
  </si>
  <si>
    <t>23/08/2025</t>
  </si>
  <si>
    <t>24/08/2025</t>
  </si>
  <si>
    <t>25/08/2025</t>
  </si>
  <si>
    <t>26/08/2025</t>
  </si>
  <si>
    <t>27/08/2025</t>
  </si>
  <si>
    <t>28/08/2025</t>
  </si>
  <si>
    <t>29/08/2025</t>
  </si>
  <si>
    <t>30/08/2025</t>
  </si>
  <si>
    <t>31/08/2025</t>
  </si>
  <si>
    <t>01/09/2025</t>
  </si>
  <si>
    <t>setembro</t>
  </si>
  <si>
    <t>02/09/2025</t>
  </si>
  <si>
    <t>03/09/2025</t>
  </si>
  <si>
    <t>04/09/2025</t>
  </si>
  <si>
    <t>05/09/2025</t>
  </si>
  <si>
    <t>06/09/2025</t>
  </si>
  <si>
    <t>07/09/2025</t>
  </si>
  <si>
    <t>08/09/2025</t>
  </si>
  <si>
    <t>09/09/2025</t>
  </si>
  <si>
    <t>10/09/2025</t>
  </si>
  <si>
    <t>11/09/2025</t>
  </si>
  <si>
    <t>12/09/2025</t>
  </si>
  <si>
    <t>13/09/2025</t>
  </si>
  <si>
    <t>14/09/2025</t>
  </si>
  <si>
    <t>15/09/2025</t>
  </si>
  <si>
    <t>16/09/2025</t>
  </si>
  <si>
    <t>17/09/2025</t>
  </si>
  <si>
    <t>18/09/2025</t>
  </si>
  <si>
    <t>19/09/2025</t>
  </si>
  <si>
    <t>20/09/2025</t>
  </si>
  <si>
    <t>21/09/2025</t>
  </si>
  <si>
    <t>22/09/2025</t>
  </si>
  <si>
    <t>23/09/2025</t>
  </si>
  <si>
    <t>24/09/2025</t>
  </si>
  <si>
    <t>25/09/2025</t>
  </si>
  <si>
    <t>26/09/2025</t>
  </si>
  <si>
    <t>27/09/2025</t>
  </si>
  <si>
    <t>28/09/2025</t>
  </si>
  <si>
    <t>29/09/2025</t>
  </si>
  <si>
    <t>30/09/2025</t>
  </si>
  <si>
    <t>01/10/2025</t>
  </si>
  <si>
    <t>outubro</t>
  </si>
  <si>
    <t>02/10/2025</t>
  </si>
  <si>
    <t>03/10/2025</t>
  </si>
  <si>
    <t>04/10/2025</t>
  </si>
  <si>
    <t>05/10/2025</t>
  </si>
  <si>
    <t>06/10/2025</t>
  </si>
  <si>
    <t>07/10/2025</t>
  </si>
  <si>
    <t>08/10/2025</t>
  </si>
  <si>
    <t>09/10/2025</t>
  </si>
  <si>
    <t>10/10/2025</t>
  </si>
  <si>
    <t>11/10/2025</t>
  </si>
  <si>
    <t>12/10/2025</t>
  </si>
  <si>
    <t>13/10/2025</t>
  </si>
  <si>
    <t>14/10/2025</t>
  </si>
  <si>
    <t>15/10/2025</t>
  </si>
  <si>
    <t>16/10/2025</t>
  </si>
  <si>
    <t>17/10/2025</t>
  </si>
  <si>
    <t>18/10/2025</t>
  </si>
  <si>
    <t>19/10/2025</t>
  </si>
  <si>
    <t>20/10/2025</t>
  </si>
  <si>
    <t>21/10/2025</t>
  </si>
  <si>
    <t>22/10/2025</t>
  </si>
  <si>
    <t>23/10/2025</t>
  </si>
  <si>
    <t>24/10/2025</t>
  </si>
  <si>
    <t>25/10/2025</t>
  </si>
  <si>
    <t>26/10/2025</t>
  </si>
  <si>
    <t>27/10/2025</t>
  </si>
  <si>
    <t>28/10/2025</t>
  </si>
  <si>
    <t>29/10/2025</t>
  </si>
  <si>
    <t>30/10/2025</t>
  </si>
  <si>
    <t>31/10/2025</t>
  </si>
  <si>
    <t>01/11/2025</t>
  </si>
  <si>
    <t>novembro</t>
  </si>
  <si>
    <t>02/11/2025</t>
  </si>
  <si>
    <t>03/11/2025</t>
  </si>
  <si>
    <t>04/11/2025</t>
  </si>
  <si>
    <t>05/11/2025</t>
  </si>
  <si>
    <t>06/11/2025</t>
  </si>
  <si>
    <t>07/11/2025</t>
  </si>
  <si>
    <t>08/11/2025</t>
  </si>
  <si>
    <t>09/11/2025</t>
  </si>
  <si>
    <t>10/11/2025</t>
  </si>
  <si>
    <t>11/11/2025</t>
  </si>
  <si>
    <t>12/11/2025</t>
  </si>
  <si>
    <t>13/11/2025</t>
  </si>
  <si>
    <t>14/11/2025</t>
  </si>
  <si>
    <t>15/11/2025</t>
  </si>
  <si>
    <t>16/11/2025</t>
  </si>
  <si>
    <t>17/11/2025</t>
  </si>
  <si>
    <t>18/11/2025</t>
  </si>
  <si>
    <t>19/11/2025</t>
  </si>
  <si>
    <t>20/11/2025</t>
  </si>
  <si>
    <t>21/11/2025</t>
  </si>
  <si>
    <t>22/11/2025</t>
  </si>
  <si>
    <t>23/11/2025</t>
  </si>
  <si>
    <t>24/11/2025</t>
  </si>
  <si>
    <t>25/11/2025</t>
  </si>
  <si>
    <t>26/11/2025</t>
  </si>
  <si>
    <t>27/11/2025</t>
  </si>
  <si>
    <t>28/11/2025</t>
  </si>
  <si>
    <t>29/11/2025</t>
  </si>
  <si>
    <t>30/11/2025</t>
  </si>
  <si>
    <t>01/12/2025</t>
  </si>
  <si>
    <t>dezembro</t>
  </si>
  <si>
    <t>02/12/2025</t>
  </si>
  <si>
    <t>03/12/2025</t>
  </si>
  <si>
    <t>04/12/2025</t>
  </si>
  <si>
    <t>05/12/2025</t>
  </si>
  <si>
    <t>06/12/2025</t>
  </si>
  <si>
    <t>07/12/2025</t>
  </si>
  <si>
    <t>08/12/2025</t>
  </si>
  <si>
    <t>09/12/2025</t>
  </si>
  <si>
    <t>10/12/2025</t>
  </si>
  <si>
    <t>11/12/2025</t>
  </si>
  <si>
    <t>12/12/2025</t>
  </si>
  <si>
    <t>13/12/2025</t>
  </si>
  <si>
    <t>14/12/2025</t>
  </si>
  <si>
    <t>15/12/2025</t>
  </si>
  <si>
    <t>16/12/2025</t>
  </si>
  <si>
    <t>17/12/2025</t>
  </si>
  <si>
    <t>18/12/2025</t>
  </si>
  <si>
    <t>19/12/2025</t>
  </si>
  <si>
    <t>20/12/2025</t>
  </si>
  <si>
    <t>21/12/2025</t>
  </si>
  <si>
    <t>22/12/2025</t>
  </si>
  <si>
    <t>23/12/2025</t>
  </si>
  <si>
    <t>24/12/2025</t>
  </si>
  <si>
    <t>25/12/2025</t>
  </si>
  <si>
    <t>26/12/2025</t>
  </si>
  <si>
    <t>27/12/2025</t>
  </si>
  <si>
    <t>28/12/2025</t>
  </si>
  <si>
    <t>29/12/2025</t>
  </si>
  <si>
    <t>30/12/2025</t>
  </si>
  <si>
    <t>31/12/2025</t>
  </si>
  <si>
    <t>26/05/2025</t>
  </si>
  <si>
    <t>maio</t>
  </si>
  <si>
    <t>Jéssica e César</t>
  </si>
  <si>
    <t>PRJ02</t>
  </si>
  <si>
    <t>27/05/2025</t>
  </si>
  <si>
    <t>Jéssica</t>
  </si>
  <si>
    <t>28/05/2025</t>
  </si>
  <si>
    <t>29/05/2025</t>
  </si>
  <si>
    <t>30/05/2025</t>
  </si>
  <si>
    <t>31/05/2025</t>
  </si>
  <si>
    <t>01/06/2025</t>
  </si>
  <si>
    <t>02/06/2025</t>
  </si>
  <si>
    <t>03/06/2025</t>
  </si>
  <si>
    <t>04/06/2025</t>
  </si>
  <si>
    <t>05/06/2025</t>
  </si>
  <si>
    <t>06/06/2025</t>
  </si>
  <si>
    <t>07/06/2025</t>
  </si>
  <si>
    <t>Júlio</t>
  </si>
  <si>
    <t>08/06/2025</t>
  </si>
  <si>
    <t>09/06/2025</t>
  </si>
  <si>
    <t>10/06/2025</t>
  </si>
  <si>
    <t>11/06/2025</t>
  </si>
  <si>
    <t>12/06/2025</t>
  </si>
  <si>
    <t>13/06/2025</t>
  </si>
  <si>
    <t>14/06/2025</t>
  </si>
  <si>
    <t>15/06/2025</t>
  </si>
  <si>
    <t xml:space="preserve">Jéssica </t>
  </si>
  <si>
    <t xml:space="preserve">KELVIN </t>
  </si>
  <si>
    <t>PRJ03</t>
  </si>
  <si>
    <t>Vitor Celso</t>
  </si>
  <si>
    <t>PRJ04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</si>
</sst>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yyyy\-mm\-dd"/>
    <numFmt numFmtId="165" formatCode="0000"/>
    <numFmt numFmtId="166" formatCode="dd\-mm\-yyyy"/>
    <numFmt numFmtId="167" formatCode="000000"/>
  </numFmts>
  <fonts count="12">
    <font>
      <sz val="11.0"/>
      <color theme="1"/>
      <name val="Aptos Narrow"/>
      <scheme val="minor"/>
    </font>
    <font>
      <b/>
      <sz val="15.0"/>
      <color theme="1"/>
      <name val="Arial Black"/>
    </font>
    <font>
      <sz val="15.0"/>
      <color theme="1"/>
      <name val="Arial Black"/>
    </font>
    <font>
      <b/>
      <sz val="11.0"/>
      <color rgb="FFFF0000"/>
      <name val="Calibri"/>
    </font>
    <font>
      <sz val="11.0"/>
      <color rgb="FFFF0000"/>
      <name val="Calibri"/>
    </font>
    <font>
      <b/>
      <sz val="12.0"/>
      <color rgb="FFFF0000"/>
      <name val="Calibri"/>
    </font>
    <font>
      <b/>
      <u/>
      <sz val="11.0"/>
      <color rgb="FFFF0000"/>
      <name val="Arial Black"/>
    </font>
    <font>
      <sz val="11.0"/>
      <color rgb="FF000000"/>
      <name val="Calibri"/>
    </font>
    <font>
      <sz val="11.0"/>
      <color theme="1"/>
      <name val="Aptos Narrow"/>
    </font>
    <font>
      <sz val="11.0"/>
      <color rgb="FF000000"/>
      <name val="Aptos Narrow"/>
    </font>
    <font>
      <sz val="11.0"/>
      <color theme="1"/>
      <name val="Arial"/>
    </font>
    <font>
      <u/>
      <sz val="11.0"/>
      <color rgb="FFFF0000"/>
      <name val="Arial Black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center" vertical="center"/>
    </xf>
    <xf borderId="0" fillId="0" fontId="4" numFmtId="164" xfId="0" applyAlignment="1" applyFont="1" applyNumberFormat="1">
      <alignment horizontal="center"/>
    </xf>
    <xf borderId="0" fillId="0" fontId="4" numFmtId="0" xfId="0" applyAlignment="1" applyFont="1">
      <alignment horizontal="center" vertical="center"/>
    </xf>
    <xf borderId="0" fillId="0" fontId="4" numFmtId="0" xfId="0" applyAlignment="1" applyFont="1">
      <alignment horizontal="center"/>
    </xf>
    <xf borderId="0" fillId="0" fontId="5" numFmtId="0" xfId="0" applyAlignment="1" applyFont="1">
      <alignment horizontal="center" vertical="center"/>
    </xf>
    <xf borderId="0" fillId="0" fontId="6" numFmtId="165" xfId="0" applyAlignment="1" applyFont="1" applyNumberForma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7" numFmtId="0" xfId="0" applyAlignment="1" applyFont="1">
      <alignment horizontal="center"/>
    </xf>
    <xf borderId="0" fillId="0" fontId="7" numFmtId="164" xfId="0" applyAlignment="1" applyFont="1" applyNumberFormat="1">
      <alignment horizontal="center"/>
    </xf>
    <xf borderId="0" fillId="0" fontId="7" numFmtId="0" xfId="0" applyAlignment="1" applyFont="1">
      <alignment horizontal="center" vertical="center"/>
    </xf>
    <xf borderId="0" fillId="0" fontId="8" numFmtId="165" xfId="0" applyAlignment="1" applyFont="1" applyNumberFormat="1">
      <alignment horizontal="center"/>
    </xf>
    <xf borderId="0" fillId="0" fontId="9" numFmtId="165" xfId="0" applyAlignment="1" applyFont="1" applyNumberFormat="1">
      <alignment horizontal="center" vertical="center"/>
    </xf>
    <xf borderId="0" fillId="0" fontId="8" numFmtId="0" xfId="0" applyAlignment="1" applyFont="1">
      <alignment horizontal="center"/>
    </xf>
    <xf borderId="0" fillId="0" fontId="8" numFmtId="21" xfId="0" applyAlignment="1" applyFont="1" applyNumberFormat="1">
      <alignment horizontal="center"/>
    </xf>
    <xf borderId="0" fillId="0" fontId="9" numFmtId="2" xfId="0" applyAlignment="1" applyFont="1" applyNumberFormat="1">
      <alignment horizontal="center" vertical="center"/>
    </xf>
    <xf borderId="0" fillId="0" fontId="8" numFmtId="14" xfId="0" applyFont="1" applyNumberFormat="1"/>
    <xf borderId="0" fillId="0" fontId="7" numFmtId="0" xfId="0" applyFont="1"/>
    <xf borderId="0" fillId="0" fontId="8" numFmtId="22" xfId="0" applyAlignment="1" applyFont="1" applyNumberFormat="1">
      <alignment horizontal="center"/>
    </xf>
    <xf borderId="0" fillId="0" fontId="10" numFmtId="165" xfId="0" applyAlignment="1" applyFont="1" applyNumberFormat="1">
      <alignment horizontal="center" readingOrder="0"/>
    </xf>
    <xf borderId="0" fillId="0" fontId="7" numFmtId="15" xfId="0" applyFont="1" applyNumberFormat="1"/>
    <xf borderId="0" fillId="0" fontId="8" numFmtId="0" xfId="0" applyAlignment="1" applyFont="1">
      <alignment horizontal="center"/>
    </xf>
    <xf borderId="0" fillId="0" fontId="8" numFmtId="166" xfId="0" applyAlignment="1" applyFont="1" applyNumberFormat="1">
      <alignment horizontal="center"/>
    </xf>
    <xf borderId="0" fillId="0" fontId="8" numFmtId="0" xfId="0" applyAlignment="1" applyFont="1">
      <alignment horizontal="center" vertical="center"/>
    </xf>
    <xf borderId="0" fillId="0" fontId="8" numFmtId="165" xfId="0" applyFont="1" applyNumberFormat="1"/>
    <xf borderId="0" fillId="0" fontId="8" numFmtId="0" xfId="0" applyFont="1"/>
    <xf borderId="0" fillId="0" fontId="11" numFmtId="165" xfId="0" applyAlignment="1" applyFont="1" applyNumberFormat="1">
      <alignment horizontal="center" vertical="center"/>
    </xf>
    <xf borderId="0" fillId="0" fontId="8" numFmtId="165" xfId="0" applyFont="1" applyNumberFormat="1"/>
    <xf borderId="0" fillId="0" fontId="9" numFmtId="0" xfId="0" applyAlignment="1" applyFont="1">
      <alignment horizontal="center" vertical="center"/>
    </xf>
    <xf borderId="0" fillId="0" fontId="9" numFmtId="20" xfId="0" applyAlignment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8" numFmtId="20" xfId="0" applyAlignment="1" applyFont="1" applyNumberFormat="1">
      <alignment horizontal="center"/>
    </xf>
    <xf borderId="0" fillId="0" fontId="3" numFmtId="167" xfId="0" applyAlignment="1" applyFont="1" applyNumberFormat="1">
      <alignment horizontal="center" vertical="center"/>
    </xf>
    <xf borderId="0" fillId="0" fontId="8" numFmtId="167" xfId="0" applyAlignment="1" applyFont="1" applyNumberFormat="1">
      <alignment horizontal="center"/>
    </xf>
    <xf borderId="0" fillId="0" fontId="9" numFmtId="167" xfId="0" applyAlignment="1" applyFont="1" applyNumberFormat="1">
      <alignment horizontal="center" vertical="center"/>
    </xf>
    <xf borderId="0" fillId="0" fontId="8" numFmtId="167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1"/>
          <bgColor theme="1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83CAEB"/>
          <bgColor rgb="FF83CAEB"/>
        </patternFill>
      </fill>
      <border/>
    </dxf>
  </dxfs>
  <tableStyles count="4">
    <tableStyle count="3" pivot="0" name="BD_LeiturasHidrômetro_PRJ01-style">
      <tableStyleElement dxfId="1" type="headerRow"/>
      <tableStyleElement dxfId="2" type="firstRowStripe"/>
      <tableStyleElement dxfId="3" type="secondRowStripe"/>
    </tableStyle>
    <tableStyle count="3" pivot="0" name="BD_LeiturasHidrômetro_PRJ02-style">
      <tableStyleElement dxfId="1" type="headerRow"/>
      <tableStyleElement dxfId="2" type="firstRowStripe"/>
      <tableStyleElement dxfId="3" type="secondRowStripe"/>
    </tableStyle>
    <tableStyle count="3" pivot="0" name="BD_LeiturasHidrômetro_PRJ03-style">
      <tableStyleElement dxfId="1" type="headerRow"/>
      <tableStyleElement dxfId="2" type="firstRowStripe"/>
      <tableStyleElement dxfId="3" type="secondRowStripe"/>
    </tableStyle>
    <tableStyle count="3" pivot="0" name="BD_LeiturasHidrômetro_PRJ04-style">
      <tableStyleElement dxfId="1" type="headerRow"/>
      <tableStyleElement dxfId="2" type="firstRowStripe"/>
      <tableStyleElement dxfId="3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BD_LeiturasHidr&#244;metro_PRJ01!A1" TargetMode="External"/><Relationship Id="rId2" Type="http://schemas.openxmlformats.org/officeDocument/2006/relationships/hyperlink" Target="#BD_LeiturasHidr&#244;metro_PRJ02!A1" TargetMode="External"/><Relationship Id="rId3" Type="http://schemas.openxmlformats.org/officeDocument/2006/relationships/hyperlink" Target="#BD_LeiturasHidr&#244;metro_PRJ03!A1" TargetMode="External"/><Relationship Id="rId4" Type="http://schemas.openxmlformats.org/officeDocument/2006/relationships/hyperlink" Target="#BD_LeiturasHidr&#244;metro_PRJ04!A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190500</xdr:colOff>
      <xdr:row>5</xdr:row>
      <xdr:rowOff>152400</xdr:rowOff>
    </xdr:from>
    <xdr:ext cx="3686175" cy="4972050"/>
    <xdr:grpSp>
      <xdr:nvGrpSpPr>
        <xdr:cNvPr id="2" name="Shape 2"/>
        <xdr:cNvGrpSpPr/>
      </xdr:nvGrpSpPr>
      <xdr:grpSpPr>
        <a:xfrm>
          <a:off x="3502913" y="1293975"/>
          <a:ext cx="3686175" cy="4972050"/>
          <a:chOff x="3502913" y="1293975"/>
          <a:chExt cx="3686175" cy="4972050"/>
        </a:xfrm>
      </xdr:grpSpPr>
      <xdr:grpSp>
        <xdr:nvGrpSpPr>
          <xdr:cNvPr id="3" name="Shape 3"/>
          <xdr:cNvGrpSpPr/>
        </xdr:nvGrpSpPr>
        <xdr:grpSpPr>
          <a:xfrm>
            <a:off x="3502913" y="1293975"/>
            <a:ext cx="3686175" cy="4972050"/>
            <a:chOff x="2014834" y="1175894"/>
            <a:chExt cx="3407390" cy="4989442"/>
          </a:xfrm>
        </xdr:grpSpPr>
        <xdr:sp>
          <xdr:nvSpPr>
            <xdr:cNvPr id="4" name="Shape 4"/>
            <xdr:cNvSpPr/>
          </xdr:nvSpPr>
          <xdr:spPr>
            <a:xfrm>
              <a:off x="2014834" y="1175894"/>
              <a:ext cx="3407375" cy="4989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5" name="Shape 5"/>
            <xdr:cNvGrpSpPr/>
          </xdr:nvGrpSpPr>
          <xdr:grpSpPr>
            <a:xfrm>
              <a:off x="2014834" y="1175894"/>
              <a:ext cx="3407390" cy="4989442"/>
              <a:chOff x="6702425" y="1028700"/>
              <a:chExt cx="3371850" cy="4371975"/>
            </a:xfrm>
          </xdr:grpSpPr>
          <xdr:sp>
            <xdr:nvSpPr>
              <xdr:cNvPr id="6" name="Shape 6"/>
              <xdr:cNvSpPr/>
            </xdr:nvSpPr>
            <xdr:spPr>
              <a:xfrm>
                <a:off x="6702425" y="1028700"/>
                <a:ext cx="3371850" cy="476250"/>
              </a:xfrm>
              <a:prstGeom prst="rect">
                <a:avLst/>
              </a:prstGeom>
              <a:solidFill>
                <a:schemeClr val="accent2"/>
              </a:solidFill>
              <a:ln cap="flat" cmpd="sng" w="19050">
                <a:solidFill>
                  <a:srgbClr val="622F15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  <xdr:sp>
            <xdr:nvSpPr>
              <xdr:cNvPr id="7" name="Shape 7"/>
              <xdr:cNvSpPr/>
            </xdr:nvSpPr>
            <xdr:spPr>
              <a:xfrm>
                <a:off x="6702425" y="1998662"/>
                <a:ext cx="3371850" cy="476250"/>
              </a:xfrm>
              <a:prstGeom prst="rect">
                <a:avLst/>
              </a:prstGeom>
              <a:solidFill>
                <a:schemeClr val="accent2"/>
              </a:solidFill>
              <a:ln cap="flat" cmpd="sng" w="19050">
                <a:solidFill>
                  <a:srgbClr val="622F15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  <xdr:sp>
            <xdr:nvSpPr>
              <xdr:cNvPr id="8" name="Shape 8"/>
              <xdr:cNvSpPr/>
            </xdr:nvSpPr>
            <xdr:spPr>
              <a:xfrm>
                <a:off x="6702425" y="2965449"/>
                <a:ext cx="3371850" cy="485775"/>
              </a:xfrm>
              <a:prstGeom prst="rect">
                <a:avLst/>
              </a:prstGeom>
              <a:solidFill>
                <a:schemeClr val="accent2"/>
              </a:solidFill>
              <a:ln cap="flat" cmpd="sng" w="19050">
                <a:solidFill>
                  <a:srgbClr val="622F15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  <xdr:sp>
            <xdr:nvSpPr>
              <xdr:cNvPr id="9" name="Shape 9"/>
              <xdr:cNvSpPr/>
            </xdr:nvSpPr>
            <xdr:spPr>
              <a:xfrm>
                <a:off x="6702425" y="3941761"/>
                <a:ext cx="3371850" cy="479425"/>
              </a:xfrm>
              <a:prstGeom prst="rect">
                <a:avLst/>
              </a:prstGeom>
              <a:solidFill>
                <a:schemeClr val="accent2"/>
              </a:solidFill>
              <a:ln cap="flat" cmpd="sng" w="19050">
                <a:solidFill>
                  <a:srgbClr val="622F15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  <xdr:sp>
            <xdr:nvSpPr>
              <xdr:cNvPr id="10" name="Shape 10"/>
              <xdr:cNvSpPr/>
            </xdr:nvSpPr>
            <xdr:spPr>
              <a:xfrm>
                <a:off x="6702425" y="4911725"/>
                <a:ext cx="3371850" cy="488950"/>
              </a:xfrm>
              <a:prstGeom prst="rect">
                <a:avLst/>
              </a:prstGeom>
              <a:solidFill>
                <a:schemeClr val="accent2"/>
              </a:solidFill>
              <a:ln cap="flat" cmpd="sng" w="19050">
                <a:solidFill>
                  <a:srgbClr val="622F15"/>
                </a:solidFill>
                <a:prstDash val="solid"/>
                <a:miter lim="80000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t/>
                </a:r>
                <a:endParaRPr sz="1100"/>
              </a:p>
            </xdr:txBody>
          </xdr:sp>
        </xdr:grpSp>
        <xdr:sp>
          <xdr:nvSpPr>
            <xdr:cNvPr id="11" name="Shape 11">
              <a:hlinkClick r:id="rId1"/>
            </xdr:cNvPr>
            <xdr:cNvSpPr txBox="1"/>
          </xdr:nvSpPr>
          <xdr:spPr>
            <a:xfrm>
              <a:off x="2055812" y="1190624"/>
              <a:ext cx="3333750" cy="504826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PRJ01</a:t>
              </a: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- CEU IMPERADOR</a:t>
              </a:r>
              <a:endParaRPr b="1" sz="1100">
                <a:solidFill>
                  <a:schemeClr val="lt1"/>
                </a:solidFill>
              </a:endParaRPr>
            </a:p>
          </xdr:txBody>
        </xdr:sp>
        <xdr:sp>
          <xdr:nvSpPr>
            <xdr:cNvPr id="12" name="Shape 12">
              <a:hlinkClick r:id="rId2"/>
            </xdr:cNvPr>
            <xdr:cNvSpPr txBox="1"/>
          </xdr:nvSpPr>
          <xdr:spPr>
            <a:xfrm>
              <a:off x="2055812" y="2295524"/>
              <a:ext cx="3333750" cy="511176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PRJ02</a:t>
              </a: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- CEU REI PELÉ</a:t>
              </a:r>
              <a:endParaRPr b="1" sz="1100">
                <a:solidFill>
                  <a:schemeClr val="lt1"/>
                </a:solidFill>
              </a:endParaRPr>
            </a:p>
          </xdr:txBody>
        </xdr:sp>
        <xdr:sp>
          <xdr:nvSpPr>
            <xdr:cNvPr id="13" name="Shape 13">
              <a:hlinkClick r:id="rId3"/>
            </xdr:cNvPr>
            <xdr:cNvSpPr txBox="1"/>
          </xdr:nvSpPr>
          <xdr:spPr>
            <a:xfrm>
              <a:off x="2055812" y="3422649"/>
              <a:ext cx="3333750" cy="492126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PRJ03</a:t>
              </a: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- ERMELINO MATARAZZO</a:t>
              </a:r>
              <a:endParaRPr b="1" sz="1100">
                <a:solidFill>
                  <a:schemeClr val="lt1"/>
                </a:solidFill>
              </a:endParaRPr>
            </a:p>
          </xdr:txBody>
        </xdr:sp>
        <xdr:sp>
          <xdr:nvSpPr>
            <xdr:cNvPr id="14" name="Shape 14">
              <a:hlinkClick r:id="rId4"/>
            </xdr:cNvPr>
            <xdr:cNvSpPr txBox="1"/>
          </xdr:nvSpPr>
          <xdr:spPr>
            <a:xfrm>
              <a:off x="2055812" y="4527549"/>
              <a:ext cx="3333750" cy="501651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PRJ04</a:t>
              </a: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- CEU ADEMAR</a:t>
              </a:r>
              <a:endParaRPr b="1" sz="1100">
                <a:solidFill>
                  <a:schemeClr val="lt1"/>
                </a:solidFill>
              </a:endParaRPr>
            </a:p>
          </xdr:txBody>
        </xdr:sp>
        <xdr:sp>
          <xdr:nvSpPr>
            <xdr:cNvPr id="15" name="Shape 15"/>
            <xdr:cNvSpPr txBox="1"/>
          </xdr:nvSpPr>
          <xdr:spPr>
            <a:xfrm>
              <a:off x="2055812" y="5632449"/>
              <a:ext cx="3333750" cy="498476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ctr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PRJ05</a:t>
              </a:r>
              <a:r>
                <a:rPr b="1" lang="en-US" sz="11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 - CEU GRAJAU</a:t>
              </a:r>
              <a:endParaRPr b="1" sz="1100">
                <a:solidFill>
                  <a:schemeClr val="lt1"/>
                </a:solidFill>
              </a:endParaRPr>
            </a:p>
          </xdr:txBody>
        </xdr:sp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O200" displayName="Table_1" name="Table_1" id="1">
  <tableColumns count="15">
    <tableColumn name="ID" id="1"/>
    <tableColumn name="Data" id="2"/>
    <tableColumn name="Dia" id="3"/>
    <tableColumn name="Mês" id="4"/>
    <tableColumn name="Ano" id="5"/>
    <tableColumn name="Nome do dia " id="6"/>
    <tableColumn name="Leitura" id="7"/>
    <tableColumn name="Leitura2" id="8"/>
    <tableColumn name="Previsão Leitura" id="9"/>
    <tableColumn name="Leitura atual" id="10"/>
    <tableColumn name="Leitura anterior" id="11"/>
    <tableColumn name="Responsável Leitura" id="12"/>
    <tableColumn name="Horário Leitura" id="13"/>
    <tableColumn name="Consumo em m³ " id="14"/>
    <tableColumn name="ID CEU" id="15"/>
  </tableColumns>
  <tableStyleInfo name="BD_LeiturasHidrômetro_PRJ01-style" showColumnStripes="0" showFirstColumn="1" showLastColumn="1" showRowStripes="1"/>
</table>
</file>

<file path=xl/tables/table2.xml><?xml version="1.0" encoding="utf-8"?>
<table xmlns="http://schemas.openxmlformats.org/spreadsheetml/2006/main" ref="A1:O221" displayName="Table_2" name="Table_2" id="2">
  <tableColumns count="15">
    <tableColumn name="ID" id="1"/>
    <tableColumn name="Data" id="2"/>
    <tableColumn name="Dia" id="3"/>
    <tableColumn name="Mês" id="4"/>
    <tableColumn name="Ano" id="5"/>
    <tableColumn name="Nome do dia " id="6"/>
    <tableColumn name="Leitura" id="7"/>
    <tableColumn name="Leitura2" id="8"/>
    <tableColumn name="Previsão Leitura" id="9"/>
    <tableColumn name="Leitura atual" id="10"/>
    <tableColumn name="Leitura anterior" id="11"/>
    <tableColumn name="Responsável Leitura" id="12"/>
    <tableColumn name="Horário Leitura" id="13"/>
    <tableColumn name="Consumo em m³ " id="14"/>
    <tableColumn name="ID CEU" id="15"/>
  </tableColumns>
  <tableStyleInfo name="BD_LeiturasHidrômetro_PRJ02-style" showColumnStripes="0" showFirstColumn="1" showLastColumn="1" showRowStripes="1"/>
</table>
</file>

<file path=xl/tables/table3.xml><?xml version="1.0" encoding="utf-8"?>
<table xmlns="http://schemas.openxmlformats.org/spreadsheetml/2006/main" ref="A1:O205" displayName="Table_3" name="Table_3" id="3">
  <tableColumns count="15">
    <tableColumn name="ID" id="1"/>
    <tableColumn name="Data" id="2"/>
    <tableColumn name="Dia" id="3"/>
    <tableColumn name="Mês" id="4"/>
    <tableColumn name="Ano" id="5"/>
    <tableColumn name="Nome do dia " id="6"/>
    <tableColumn name="Leitura" id="7"/>
    <tableColumn name="Leitura2" id="8"/>
    <tableColumn name="Previsão Leitura" id="9"/>
    <tableColumn name="Leitura atual" id="10"/>
    <tableColumn name="Leitura anterior" id="11"/>
    <tableColumn name="Responsável Leitura" id="12"/>
    <tableColumn name="Horário Leitura" id="13"/>
    <tableColumn name="Consumo em m³ " id="14"/>
    <tableColumn name="ID CEU" id="15"/>
  </tableColumns>
  <tableStyleInfo name="BD_LeiturasHidrômetro_PRJ03-style" showColumnStripes="0" showFirstColumn="1" showLastColumn="1" showRowStripes="1"/>
</table>
</file>

<file path=xl/tables/table4.xml><?xml version="1.0" encoding="utf-8"?>
<table xmlns="http://schemas.openxmlformats.org/spreadsheetml/2006/main" ref="A1:O190" displayName="Table_4" name="Table_4" id="4">
  <tableColumns count="15">
    <tableColumn name="ID" id="1"/>
    <tableColumn name="Data" id="2"/>
    <tableColumn name="Dia" id="3"/>
    <tableColumn name="Mês" id="4"/>
    <tableColumn name="Ano" id="5"/>
    <tableColumn name="Nome do dia " id="6"/>
    <tableColumn name="Leitura" id="7"/>
    <tableColumn name="Leitura2" id="8"/>
    <tableColumn name="Previsão Leitura" id="9"/>
    <tableColumn name="Leitura atual" id="10"/>
    <tableColumn name="Leitura anterior" id="11"/>
    <tableColumn name="Responsável Leitura" id="12"/>
    <tableColumn name="Horário Leitura" id="13"/>
    <tableColumn name="Consumo em m³ " id="14"/>
    <tableColumn name="ID CEU" id="15"/>
  </tableColumns>
  <tableStyleInfo name="BD_LeiturasHidrômetro_PRJ04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Relationship Id="rId5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3.vml"/><Relationship Id="rId5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4.vml"/><Relationship Id="rId5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showGridLines="0" workbookViewId="0"/>
  </sheetViews>
  <sheetFormatPr customHeight="1" defaultColWidth="12.63" defaultRowHeight="15.0"/>
  <cols>
    <col customWidth="1" min="1" max="10" width="8.75"/>
    <col customWidth="1" min="11" max="26" width="8.63"/>
  </cols>
  <sheetData>
    <row r="1" ht="14.25" customHeight="1">
      <c r="B1" s="1" t="s">
        <v>0</v>
      </c>
      <c r="J1" s="2"/>
    </row>
    <row r="2" ht="14.25" customHeight="1">
      <c r="J2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:I2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showGridLines="0" workbookViewId="0"/>
  </sheetViews>
  <sheetFormatPr customHeight="1" defaultColWidth="12.63" defaultRowHeight="15.0"/>
  <cols>
    <col customWidth="1" hidden="1" min="1" max="1" width="7.13"/>
    <col customWidth="1" min="2" max="2" width="10.75"/>
    <col customWidth="1" hidden="1" min="3" max="3" width="9.38"/>
    <col customWidth="1" hidden="1" min="4" max="4" width="8.75"/>
    <col customWidth="1" hidden="1" min="5" max="5" width="16.38"/>
    <col customWidth="1" min="6" max="6" width="16.88"/>
    <col customWidth="1" min="7" max="7" width="11.75"/>
    <col customWidth="1" min="8" max="8" width="15.88"/>
    <col customWidth="1" min="9" max="9" width="18.63"/>
    <col customWidth="1" min="10" max="10" width="22.13"/>
    <col customWidth="1" min="11" max="11" width="19.38"/>
    <col customWidth="1" min="12" max="12" width="23.63"/>
    <col customWidth="1" min="13" max="13" width="18.88"/>
    <col customWidth="1" min="14" max="14" width="22.13"/>
    <col customWidth="1" hidden="1" min="15" max="15" width="9.88"/>
    <col customWidth="1" min="16" max="26" width="8.63"/>
  </cols>
  <sheetData>
    <row r="1" ht="15.0" customHeight="1">
      <c r="A1" s="3" t="s">
        <v>1</v>
      </c>
      <c r="B1" s="4" t="s">
        <v>2</v>
      </c>
      <c r="C1" s="5" t="s">
        <v>3</v>
      </c>
      <c r="D1" s="6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7" t="s">
        <v>14</v>
      </c>
      <c r="O1" s="3" t="s">
        <v>15</v>
      </c>
      <c r="P1" s="8" t="s">
        <v>16</v>
      </c>
      <c r="U1" s="9"/>
      <c r="V1" s="9"/>
      <c r="W1" s="9"/>
      <c r="X1" s="9"/>
      <c r="Y1" s="9"/>
      <c r="Z1" s="9"/>
    </row>
    <row r="2">
      <c r="A2" s="10">
        <v>22.0</v>
      </c>
      <c r="B2" s="11" t="s">
        <v>17</v>
      </c>
      <c r="C2" s="12">
        <v>16.0</v>
      </c>
      <c r="D2" s="10" t="s">
        <v>18</v>
      </c>
      <c r="E2" s="10">
        <v>2025.0</v>
      </c>
      <c r="F2" s="10" t="s">
        <v>19</v>
      </c>
      <c r="G2" s="13">
        <v>5493.0</v>
      </c>
      <c r="H2" s="13"/>
      <c r="I2" s="14">
        <f>IFERROR(_xlfn.FORECAST.LINEAR('BD_LeiturasHidrômetro_PRJ01'!$A2,G:G,A:A),"0000")</f>
        <v>5488.434095</v>
      </c>
      <c r="J2" s="14" t="str">
        <f>IF('BD_LeiturasHidrômetro_PRJ01'!$G2&amp;'BD_LeiturasHidrômetro_PRJ01'!$H2="",'BD_LeiturasHidrômetro_PRJ01'!$I2,'BD_LeiturasHidrômetro_PRJ01'!$G2&amp;'BD_LeiturasHidrômetro_PRJ01'!$H2)</f>
        <v>5493</v>
      </c>
      <c r="K2" s="14"/>
      <c r="L2" s="15" t="s">
        <v>20</v>
      </c>
      <c r="M2" s="16">
        <v>0.6111111111111112</v>
      </c>
      <c r="N2" s="17">
        <v>0.0</v>
      </c>
      <c r="O2" s="15" t="s">
        <v>21</v>
      </c>
      <c r="R2" s="18"/>
      <c r="S2" s="19"/>
    </row>
    <row r="3">
      <c r="A3" s="10">
        <v>23.0</v>
      </c>
      <c r="B3" s="11" t="s">
        <v>22</v>
      </c>
      <c r="C3" s="12">
        <v>17.0</v>
      </c>
      <c r="D3" s="10" t="s">
        <v>18</v>
      </c>
      <c r="E3" s="10">
        <v>2025.0</v>
      </c>
      <c r="F3" s="10" t="s">
        <v>23</v>
      </c>
      <c r="G3" s="13">
        <v>5493.0</v>
      </c>
      <c r="H3" s="13"/>
      <c r="I3" s="14">
        <f>IFERROR(_xlfn.FORECAST.LINEAR('BD_LeiturasHidrômetro_PRJ01'!$A3,G:G,A:A),"0000")</f>
        <v>5503.516696</v>
      </c>
      <c r="J3" s="14" t="str">
        <f>IF('BD_LeiturasHidrômetro_PRJ01'!$G3&amp;'BD_LeiturasHidrômetro_PRJ01'!$H3="",'BD_LeiturasHidrômetro_PRJ01'!$I3,'BD_LeiturasHidrômetro_PRJ01'!$G3&amp;'BD_LeiturasHidrômetro_PRJ01'!$H3)</f>
        <v>5493</v>
      </c>
      <c r="K3" s="14" t="str">
        <f t="shared" ref="K3:K200" si="1">J2</f>
        <v>5493</v>
      </c>
      <c r="L3" s="15" t="s">
        <v>20</v>
      </c>
      <c r="M3" s="20" t="s">
        <v>24</v>
      </c>
      <c r="N3" s="17">
        <v>0.0</v>
      </c>
      <c r="O3" s="15" t="s">
        <v>21</v>
      </c>
      <c r="R3" s="18"/>
      <c r="S3" s="19"/>
    </row>
    <row r="4">
      <c r="A4" s="10">
        <v>24.0</v>
      </c>
      <c r="B4" s="11" t="s">
        <v>25</v>
      </c>
      <c r="C4" s="12">
        <v>18.0</v>
      </c>
      <c r="D4" s="10" t="s">
        <v>18</v>
      </c>
      <c r="E4" s="10">
        <v>2025.0</v>
      </c>
      <c r="F4" s="10" t="s">
        <v>26</v>
      </c>
      <c r="G4" s="13">
        <v>5533.0</v>
      </c>
      <c r="H4" s="13"/>
      <c r="I4" s="14">
        <f>IFERROR(_xlfn.FORECAST.LINEAR('BD_LeiturasHidrômetro_PRJ01'!$A4,G:G,A:A),"0000")</f>
        <v>5518.599297</v>
      </c>
      <c r="J4" s="14" t="str">
        <f>IF('BD_LeiturasHidrômetro_PRJ01'!$G4&amp;'BD_LeiturasHidrômetro_PRJ01'!$H4="",'BD_LeiturasHidrômetro_PRJ01'!$I4,'BD_LeiturasHidrômetro_PRJ01'!$G4&amp;'BD_LeiturasHidrômetro_PRJ01'!$H4)</f>
        <v>5533</v>
      </c>
      <c r="K4" s="14" t="str">
        <f t="shared" si="1"/>
        <v>5493</v>
      </c>
      <c r="L4" s="15" t="s">
        <v>20</v>
      </c>
      <c r="M4" s="20" t="s">
        <v>24</v>
      </c>
      <c r="N4" s="17">
        <f t="shared" ref="N4:N200" si="2">J3-K3</f>
        <v>0</v>
      </c>
      <c r="O4" s="15" t="s">
        <v>21</v>
      </c>
      <c r="R4" s="18"/>
      <c r="S4" s="19"/>
    </row>
    <row r="5">
      <c r="A5" s="10">
        <v>25.0</v>
      </c>
      <c r="B5" s="11" t="s">
        <v>27</v>
      </c>
      <c r="C5" s="12">
        <v>19.0</v>
      </c>
      <c r="D5" s="10" t="s">
        <v>18</v>
      </c>
      <c r="E5" s="10">
        <v>2025.0</v>
      </c>
      <c r="F5" s="10" t="s">
        <v>28</v>
      </c>
      <c r="G5" s="13"/>
      <c r="H5" s="13">
        <v>5541.2</v>
      </c>
      <c r="I5" s="14">
        <f>IFERROR(_xlfn.FORECAST.LINEAR('BD_LeiturasHidrômetro_PRJ01'!$A5,G:G,A:A),"0000")</f>
        <v>5533.681898</v>
      </c>
      <c r="J5" s="14" t="str">
        <f>IF('BD_LeiturasHidrômetro_PRJ01'!$G5&amp;'BD_LeiturasHidrômetro_PRJ01'!$H5="",'BD_LeiturasHidrômetro_PRJ01'!$I5,'BD_LeiturasHidrômetro_PRJ01'!$G5&amp;'BD_LeiturasHidrômetro_PRJ01'!$H5)</f>
        <v>5541,2</v>
      </c>
      <c r="K5" s="14" t="str">
        <f t="shared" si="1"/>
        <v>5533</v>
      </c>
      <c r="L5" s="15"/>
      <c r="M5" s="15"/>
      <c r="N5" s="17">
        <f t="shared" si="2"/>
        <v>40</v>
      </c>
      <c r="O5" s="15" t="s">
        <v>21</v>
      </c>
      <c r="R5" s="18"/>
      <c r="S5" s="19"/>
    </row>
    <row r="6">
      <c r="A6" s="10">
        <v>26.0</v>
      </c>
      <c r="B6" s="11" t="s">
        <v>29</v>
      </c>
      <c r="C6" s="12">
        <v>20.0</v>
      </c>
      <c r="D6" s="10" t="s">
        <v>18</v>
      </c>
      <c r="E6" s="10">
        <v>2025.0</v>
      </c>
      <c r="F6" s="10" t="s">
        <v>30</v>
      </c>
      <c r="G6" s="13"/>
      <c r="H6" s="13">
        <v>5549.4</v>
      </c>
      <c r="I6" s="14">
        <f>IFERROR(_xlfn.FORECAST.LINEAR('BD_LeiturasHidrômetro_PRJ01'!$A6,G:G,A:A),"0000")</f>
        <v>5548.764499</v>
      </c>
      <c r="J6" s="14" t="str">
        <f>IF('BD_LeiturasHidrômetro_PRJ01'!$G6&amp;'BD_LeiturasHidrômetro_PRJ01'!$H6="",'BD_LeiturasHidrômetro_PRJ01'!$I6,'BD_LeiturasHidrômetro_PRJ01'!$G6&amp;'BD_LeiturasHidrômetro_PRJ01'!$H6)</f>
        <v>5549,4</v>
      </c>
      <c r="K6" s="14" t="str">
        <f t="shared" si="1"/>
        <v>5541,2</v>
      </c>
      <c r="L6" s="15"/>
      <c r="M6" s="15"/>
      <c r="N6" s="17">
        <f t="shared" si="2"/>
        <v>8.2</v>
      </c>
      <c r="O6" s="15" t="s">
        <v>21</v>
      </c>
      <c r="R6" s="18"/>
      <c r="S6" s="19"/>
    </row>
    <row r="7">
      <c r="A7" s="10">
        <v>27.0</v>
      </c>
      <c r="B7" s="11" t="s">
        <v>31</v>
      </c>
      <c r="C7" s="12">
        <v>21.0</v>
      </c>
      <c r="D7" s="10" t="s">
        <v>18</v>
      </c>
      <c r="E7" s="10">
        <v>2025.0</v>
      </c>
      <c r="F7" s="10" t="s">
        <v>32</v>
      </c>
      <c r="G7" s="13"/>
      <c r="H7" s="21">
        <v>5557.6</v>
      </c>
      <c r="I7" s="14">
        <f>IFERROR(_xlfn.FORECAST.LINEAR('BD_LeiturasHidrômetro_PRJ01'!$A7,G:G,A:A),"0000")</f>
        <v>5563.8471</v>
      </c>
      <c r="J7" s="14" t="str">
        <f>IF('BD_LeiturasHidrômetro_PRJ01'!$G7&amp;'BD_LeiturasHidrômetro_PRJ01'!$H7="",'BD_LeiturasHidrômetro_PRJ01'!$I7,'BD_LeiturasHidrômetro_PRJ01'!$G7&amp;'BD_LeiturasHidrômetro_PRJ01'!$H7)</f>
        <v>5557,6</v>
      </c>
      <c r="K7" s="14" t="str">
        <f t="shared" si="1"/>
        <v>5549,4</v>
      </c>
      <c r="L7" s="15"/>
      <c r="M7" s="15"/>
      <c r="N7" s="17">
        <f t="shared" si="2"/>
        <v>8.2</v>
      </c>
      <c r="O7" s="15" t="s">
        <v>21</v>
      </c>
      <c r="R7" s="18"/>
      <c r="S7" s="19"/>
    </row>
    <row r="8">
      <c r="A8" s="10">
        <v>28.0</v>
      </c>
      <c r="B8" s="11" t="s">
        <v>33</v>
      </c>
      <c r="C8" s="12">
        <v>22.0</v>
      </c>
      <c r="D8" s="10" t="s">
        <v>18</v>
      </c>
      <c r="E8" s="10">
        <v>2025.0</v>
      </c>
      <c r="F8" s="10" t="s">
        <v>34</v>
      </c>
      <c r="G8" s="13"/>
      <c r="H8" s="13">
        <v>5565.8</v>
      </c>
      <c r="I8" s="14">
        <f>IFERROR(_xlfn.FORECAST.LINEAR('BD_LeiturasHidrômetro_PRJ01'!$A8,G:G,A:A),"0000")</f>
        <v>5578.929701</v>
      </c>
      <c r="J8" s="14" t="str">
        <f>IF('BD_LeiturasHidrômetro_PRJ01'!$G8&amp;'BD_LeiturasHidrômetro_PRJ01'!$H8="",'BD_LeiturasHidrômetro_PRJ01'!$I8,'BD_LeiturasHidrômetro_PRJ01'!$G8&amp;'BD_LeiturasHidrômetro_PRJ01'!$H8)</f>
        <v>5565,8</v>
      </c>
      <c r="K8" s="14" t="str">
        <f t="shared" si="1"/>
        <v>5557,6</v>
      </c>
      <c r="L8" s="15"/>
      <c r="M8" s="15"/>
      <c r="N8" s="17">
        <f t="shared" si="2"/>
        <v>8.2</v>
      </c>
      <c r="O8" s="15" t="s">
        <v>21</v>
      </c>
      <c r="R8" s="18"/>
      <c r="S8" s="19"/>
    </row>
    <row r="9">
      <c r="A9" s="10">
        <v>29.0</v>
      </c>
      <c r="B9" s="11" t="s">
        <v>35</v>
      </c>
      <c r="C9" s="12">
        <v>23.0</v>
      </c>
      <c r="D9" s="10" t="s">
        <v>18</v>
      </c>
      <c r="E9" s="10">
        <v>2025.0</v>
      </c>
      <c r="F9" s="10" t="s">
        <v>19</v>
      </c>
      <c r="G9" s="13">
        <v>5574.0</v>
      </c>
      <c r="H9" s="13"/>
      <c r="I9" s="14">
        <f>IFERROR(_xlfn.FORECAST.LINEAR('BD_LeiturasHidrômetro_PRJ01'!$A9,G:G,A:A),"0000")</f>
        <v>5594.012302</v>
      </c>
      <c r="J9" s="14" t="str">
        <f>IF('BD_LeiturasHidrômetro_PRJ01'!$G9&amp;'BD_LeiturasHidrômetro_PRJ01'!$H9="",'BD_LeiturasHidrômetro_PRJ01'!$I9,'BD_LeiturasHidrômetro_PRJ01'!$G9&amp;'BD_LeiturasHidrômetro_PRJ01'!$H9)</f>
        <v>5574</v>
      </c>
      <c r="K9" s="14" t="str">
        <f t="shared" si="1"/>
        <v>5565,8</v>
      </c>
      <c r="L9" s="15" t="s">
        <v>20</v>
      </c>
      <c r="M9" s="16">
        <v>0.6076388888888888</v>
      </c>
      <c r="N9" s="17">
        <f t="shared" si="2"/>
        <v>8.2</v>
      </c>
      <c r="O9" s="15" t="s">
        <v>21</v>
      </c>
      <c r="R9" s="18"/>
      <c r="S9" s="19"/>
    </row>
    <row r="10">
      <c r="A10" s="10">
        <v>30.0</v>
      </c>
      <c r="B10" s="11" t="s">
        <v>36</v>
      </c>
      <c r="C10" s="12">
        <v>24.0</v>
      </c>
      <c r="D10" s="10" t="s">
        <v>18</v>
      </c>
      <c r="E10" s="10">
        <v>2025.0</v>
      </c>
      <c r="F10" s="10" t="s">
        <v>23</v>
      </c>
      <c r="G10" s="13"/>
      <c r="H10" s="13">
        <v>5596.0</v>
      </c>
      <c r="I10" s="14">
        <f>IFERROR(_xlfn.FORECAST.LINEAR('BD_LeiturasHidrômetro_PRJ01'!$A10,G:G,A:A),"0000")</f>
        <v>5609.094903</v>
      </c>
      <c r="J10" s="14" t="str">
        <f>IF('BD_LeiturasHidrômetro_PRJ01'!$G10&amp;'BD_LeiturasHidrômetro_PRJ01'!$H10="",'BD_LeiturasHidrômetro_PRJ01'!$I10,'BD_LeiturasHidrômetro_PRJ01'!$G10&amp;'BD_LeiturasHidrômetro_PRJ01'!$H10)</f>
        <v>5596</v>
      </c>
      <c r="K10" s="14" t="str">
        <f t="shared" si="1"/>
        <v>5574</v>
      </c>
      <c r="L10" s="15"/>
      <c r="M10" s="15"/>
      <c r="N10" s="17">
        <f t="shared" si="2"/>
        <v>8.2</v>
      </c>
      <c r="O10" s="15" t="s">
        <v>21</v>
      </c>
      <c r="R10" s="18"/>
      <c r="S10" s="19"/>
    </row>
    <row r="11">
      <c r="A11" s="10">
        <v>31.0</v>
      </c>
      <c r="B11" s="11" t="s">
        <v>37</v>
      </c>
      <c r="C11" s="12">
        <v>25.0</v>
      </c>
      <c r="D11" s="10" t="s">
        <v>18</v>
      </c>
      <c r="E11" s="10">
        <v>2025.0</v>
      </c>
      <c r="F11" s="10" t="s">
        <v>26</v>
      </c>
      <c r="G11" s="13">
        <v>5618.0</v>
      </c>
      <c r="H11" s="13"/>
      <c r="I11" s="14">
        <f>IFERROR(_xlfn.FORECAST.LINEAR('BD_LeiturasHidrômetro_PRJ01'!$A11,G:G,A:A),"0000")</f>
        <v>5624.177504</v>
      </c>
      <c r="J11" s="14" t="str">
        <f>IF('BD_LeiturasHidrômetro_PRJ01'!$G11&amp;'BD_LeiturasHidrômetro_PRJ01'!$H11="",'BD_LeiturasHidrômetro_PRJ01'!$I11,'BD_LeiturasHidrômetro_PRJ01'!$G11&amp;'BD_LeiturasHidrômetro_PRJ01'!$H11)</f>
        <v>5618</v>
      </c>
      <c r="K11" s="14" t="str">
        <f t="shared" si="1"/>
        <v>5596</v>
      </c>
      <c r="L11" s="15" t="s">
        <v>20</v>
      </c>
      <c r="M11" s="16">
        <v>0.6076388888888888</v>
      </c>
      <c r="N11" s="17">
        <f t="shared" si="2"/>
        <v>22</v>
      </c>
      <c r="O11" s="15" t="s">
        <v>21</v>
      </c>
      <c r="R11" s="18"/>
      <c r="S11" s="19"/>
    </row>
    <row r="12">
      <c r="A12" s="10">
        <v>32.0</v>
      </c>
      <c r="B12" s="11" t="s">
        <v>38</v>
      </c>
      <c r="C12" s="12">
        <v>26.0</v>
      </c>
      <c r="D12" s="10" t="s">
        <v>18</v>
      </c>
      <c r="E12" s="10">
        <v>2025.0</v>
      </c>
      <c r="F12" s="10" t="s">
        <v>28</v>
      </c>
      <c r="G12" s="13">
        <v>5657.0</v>
      </c>
      <c r="H12" s="13"/>
      <c r="I12" s="14">
        <f>IFERROR(_xlfn.FORECAST.LINEAR('BD_LeiturasHidrômetro_PRJ01'!$A12,G:G,A:A),"0000")</f>
        <v>5639.260105</v>
      </c>
      <c r="J12" s="14" t="str">
        <f>IF('BD_LeiturasHidrômetro_PRJ01'!$G12&amp;'BD_LeiturasHidrômetro_PRJ01'!$H12="",'BD_LeiturasHidrômetro_PRJ01'!$I12,'BD_LeiturasHidrômetro_PRJ01'!$G12&amp;'BD_LeiturasHidrômetro_PRJ01'!$H12)</f>
        <v>5657</v>
      </c>
      <c r="K12" s="14" t="str">
        <f t="shared" si="1"/>
        <v>5618</v>
      </c>
      <c r="L12" s="15" t="s">
        <v>20</v>
      </c>
      <c r="M12" s="16">
        <v>0.6111111111111112</v>
      </c>
      <c r="N12" s="17">
        <f t="shared" si="2"/>
        <v>22</v>
      </c>
      <c r="O12" s="15" t="s">
        <v>21</v>
      </c>
      <c r="R12" s="18"/>
      <c r="S12" s="19"/>
    </row>
    <row r="13">
      <c r="A13" s="10">
        <v>33.0</v>
      </c>
      <c r="B13" s="11" t="s">
        <v>39</v>
      </c>
      <c r="C13" s="12">
        <v>27.0</v>
      </c>
      <c r="D13" s="10" t="s">
        <v>18</v>
      </c>
      <c r="E13" s="10">
        <v>2025.0</v>
      </c>
      <c r="F13" s="10" t="s">
        <v>30</v>
      </c>
      <c r="G13" s="13"/>
      <c r="H13" s="13"/>
      <c r="I13" s="14">
        <f>IFERROR(_xlfn.FORECAST.LINEAR('BD_LeiturasHidrômetro_PRJ01'!$A13,G:G,A:A),"0000")</f>
        <v>5654.342707</v>
      </c>
      <c r="J13" s="14">
        <f>IF('BD_LeiturasHidrômetro_PRJ01'!$G13&amp;'BD_LeiturasHidrômetro_PRJ01'!$H13="",'BD_LeiturasHidrômetro_PRJ01'!$I13,'BD_LeiturasHidrômetro_PRJ01'!$G13&amp;'BD_LeiturasHidrômetro_PRJ01'!$H13)</f>
        <v>5654.342707</v>
      </c>
      <c r="K13" s="14" t="str">
        <f t="shared" si="1"/>
        <v>5657</v>
      </c>
      <c r="L13" s="15"/>
      <c r="M13" s="15"/>
      <c r="N13" s="17">
        <f t="shared" si="2"/>
        <v>39</v>
      </c>
      <c r="O13" s="15" t="s">
        <v>21</v>
      </c>
      <c r="R13" s="18"/>
      <c r="S13" s="19"/>
    </row>
    <row r="14">
      <c r="A14" s="10">
        <v>34.0</v>
      </c>
      <c r="B14" s="11" t="s">
        <v>40</v>
      </c>
      <c r="C14" s="12">
        <v>28.0</v>
      </c>
      <c r="D14" s="10" t="s">
        <v>18</v>
      </c>
      <c r="E14" s="10">
        <v>2025.0</v>
      </c>
      <c r="F14" s="10" t="s">
        <v>32</v>
      </c>
      <c r="G14" s="13"/>
      <c r="H14" s="13"/>
      <c r="I14" s="14">
        <f>IFERROR(_xlfn.FORECAST.LINEAR('BD_LeiturasHidrômetro_PRJ01'!$A14,G:G,A:A),"0000")</f>
        <v>5669.425308</v>
      </c>
      <c r="J14" s="14">
        <f>IF('BD_LeiturasHidrômetro_PRJ01'!$G14&amp;'BD_LeiturasHidrômetro_PRJ01'!$H14="",'BD_LeiturasHidrômetro_PRJ01'!$I14,'BD_LeiturasHidrômetro_PRJ01'!$G14&amp;'BD_LeiturasHidrômetro_PRJ01'!$H14)</f>
        <v>5669.425308</v>
      </c>
      <c r="K14" s="14">
        <f t="shared" si="1"/>
        <v>5654.342707</v>
      </c>
      <c r="L14" s="15"/>
      <c r="M14" s="15"/>
      <c r="N14" s="17">
        <f t="shared" si="2"/>
        <v>-2.657293497</v>
      </c>
      <c r="O14" s="15" t="s">
        <v>21</v>
      </c>
      <c r="R14" s="18"/>
      <c r="S14" s="19"/>
    </row>
    <row r="15">
      <c r="A15" s="10">
        <v>35.0</v>
      </c>
      <c r="B15" s="11" t="s">
        <v>41</v>
      </c>
      <c r="C15" s="12">
        <v>29.0</v>
      </c>
      <c r="D15" s="10" t="s">
        <v>18</v>
      </c>
      <c r="E15" s="10">
        <v>2025.0</v>
      </c>
      <c r="F15" s="10" t="s">
        <v>34</v>
      </c>
      <c r="G15" s="13"/>
      <c r="H15" s="13"/>
      <c r="I15" s="14">
        <f>IFERROR(_xlfn.FORECAST.LINEAR('BD_LeiturasHidrômetro_PRJ01'!$A15,G:G,A:A),"0000")</f>
        <v>5684.507909</v>
      </c>
      <c r="J15" s="14">
        <f>IF('BD_LeiturasHidrômetro_PRJ01'!$G15&amp;'BD_LeiturasHidrômetro_PRJ01'!$H15="",'BD_LeiturasHidrômetro_PRJ01'!$I15,'BD_LeiturasHidrômetro_PRJ01'!$G15&amp;'BD_LeiturasHidrômetro_PRJ01'!$H15)</f>
        <v>5684.507909</v>
      </c>
      <c r="K15" s="14">
        <f t="shared" si="1"/>
        <v>5669.425308</v>
      </c>
      <c r="L15" s="15"/>
      <c r="M15" s="15"/>
      <c r="N15" s="17">
        <f t="shared" si="2"/>
        <v>15.08260105</v>
      </c>
      <c r="O15" s="15" t="s">
        <v>21</v>
      </c>
      <c r="R15" s="18"/>
      <c r="S15" s="19"/>
    </row>
    <row r="16">
      <c r="A16" s="10">
        <v>36.0</v>
      </c>
      <c r="B16" s="11" t="s">
        <v>42</v>
      </c>
      <c r="C16" s="12">
        <v>30.0</v>
      </c>
      <c r="D16" s="10" t="s">
        <v>18</v>
      </c>
      <c r="E16" s="10">
        <v>2025.0</v>
      </c>
      <c r="F16" s="10" t="s">
        <v>19</v>
      </c>
      <c r="G16" s="13"/>
      <c r="H16" s="13"/>
      <c r="I16" s="14">
        <f>IFERROR(_xlfn.FORECAST.LINEAR('BD_LeiturasHidrômetro_PRJ01'!$A16,G:G,A:A),"0000")</f>
        <v>5699.59051</v>
      </c>
      <c r="J16" s="14">
        <f>IF('BD_LeiturasHidrômetro_PRJ01'!$G16&amp;'BD_LeiturasHidrômetro_PRJ01'!$H16="",'BD_LeiturasHidrômetro_PRJ01'!$I16,'BD_LeiturasHidrômetro_PRJ01'!$G16&amp;'BD_LeiturasHidrômetro_PRJ01'!$H16)</f>
        <v>5699.59051</v>
      </c>
      <c r="K16" s="14">
        <f t="shared" si="1"/>
        <v>5684.507909</v>
      </c>
      <c r="L16" s="15"/>
      <c r="M16" s="15"/>
      <c r="N16" s="17">
        <f t="shared" si="2"/>
        <v>15.08260105</v>
      </c>
      <c r="O16" s="15" t="s">
        <v>21</v>
      </c>
      <c r="R16" s="18"/>
      <c r="S16" s="19"/>
    </row>
    <row r="17">
      <c r="A17" s="10">
        <v>37.0</v>
      </c>
      <c r="B17" s="11" t="s">
        <v>43</v>
      </c>
      <c r="C17" s="12">
        <v>1.0</v>
      </c>
      <c r="D17" s="10" t="s">
        <v>44</v>
      </c>
      <c r="E17" s="10">
        <v>2025.0</v>
      </c>
      <c r="F17" s="10" t="s">
        <v>23</v>
      </c>
      <c r="G17" s="13"/>
      <c r="H17" s="13"/>
      <c r="I17" s="14">
        <f>IFERROR(_xlfn.FORECAST.LINEAR('BD_LeiturasHidrômetro_PRJ01'!$A17,G:G,A:A),"0000")</f>
        <v>5714.673111</v>
      </c>
      <c r="J17" s="14">
        <f>IF('BD_LeiturasHidrômetro_PRJ01'!$G17&amp;'BD_LeiturasHidrômetro_PRJ01'!$H17="",'BD_LeiturasHidrômetro_PRJ01'!$I17,'BD_LeiturasHidrômetro_PRJ01'!$G17&amp;'BD_LeiturasHidrômetro_PRJ01'!$H17)</f>
        <v>5714.673111</v>
      </c>
      <c r="K17" s="14">
        <f t="shared" si="1"/>
        <v>5699.59051</v>
      </c>
      <c r="L17" s="15"/>
      <c r="M17" s="15"/>
      <c r="N17" s="17">
        <f t="shared" si="2"/>
        <v>15.08260105</v>
      </c>
      <c r="O17" s="15" t="s">
        <v>21</v>
      </c>
      <c r="R17" s="18"/>
      <c r="S17" s="19"/>
    </row>
    <row r="18">
      <c r="A18" s="10">
        <v>38.0</v>
      </c>
      <c r="B18" s="11" t="s">
        <v>45</v>
      </c>
      <c r="C18" s="12">
        <v>2.0</v>
      </c>
      <c r="D18" s="10" t="s">
        <v>44</v>
      </c>
      <c r="E18" s="10">
        <v>2025.0</v>
      </c>
      <c r="F18" s="10" t="s">
        <v>26</v>
      </c>
      <c r="G18" s="13"/>
      <c r="H18" s="13"/>
      <c r="I18" s="14">
        <f>IFERROR(_xlfn.FORECAST.LINEAR('BD_LeiturasHidrômetro_PRJ01'!$A18,G:G,A:A),"0000")</f>
        <v>5729.755712</v>
      </c>
      <c r="J18" s="14">
        <f>IF('BD_LeiturasHidrômetro_PRJ01'!$G18&amp;'BD_LeiturasHidrômetro_PRJ01'!$H18="",'BD_LeiturasHidrômetro_PRJ01'!$I18,'BD_LeiturasHidrômetro_PRJ01'!$G18&amp;'BD_LeiturasHidrômetro_PRJ01'!$H18)</f>
        <v>5729.755712</v>
      </c>
      <c r="K18" s="14">
        <f t="shared" si="1"/>
        <v>5714.673111</v>
      </c>
      <c r="L18" s="15"/>
      <c r="M18" s="15"/>
      <c r="N18" s="17">
        <f t="shared" si="2"/>
        <v>15.08260105</v>
      </c>
      <c r="O18" s="15" t="s">
        <v>21</v>
      </c>
      <c r="R18" s="18"/>
      <c r="S18" s="19"/>
    </row>
    <row r="19">
      <c r="A19" s="10">
        <v>39.0</v>
      </c>
      <c r="B19" s="11" t="s">
        <v>46</v>
      </c>
      <c r="C19" s="12">
        <v>3.0</v>
      </c>
      <c r="D19" s="10" t="s">
        <v>44</v>
      </c>
      <c r="E19" s="10">
        <v>2025.0</v>
      </c>
      <c r="F19" s="10" t="s">
        <v>28</v>
      </c>
      <c r="G19" s="13"/>
      <c r="H19" s="13"/>
      <c r="I19" s="14">
        <f>IFERROR(_xlfn.FORECAST.LINEAR('BD_LeiturasHidrômetro_PRJ01'!$A19,G:G,A:A),"0000")</f>
        <v>5744.838313</v>
      </c>
      <c r="J19" s="14">
        <f>IF('BD_LeiturasHidrômetro_PRJ01'!$G19&amp;'BD_LeiturasHidrômetro_PRJ01'!$H19="",'BD_LeiturasHidrômetro_PRJ01'!$I19,'BD_LeiturasHidrômetro_PRJ01'!$G19&amp;'BD_LeiturasHidrômetro_PRJ01'!$H19)</f>
        <v>5744.838313</v>
      </c>
      <c r="K19" s="14">
        <f t="shared" si="1"/>
        <v>5729.755712</v>
      </c>
      <c r="L19" s="15"/>
      <c r="M19" s="15"/>
      <c r="N19" s="17">
        <f t="shared" si="2"/>
        <v>15.08260105</v>
      </c>
      <c r="O19" s="15" t="s">
        <v>21</v>
      </c>
      <c r="R19" s="18"/>
      <c r="S19" s="19"/>
    </row>
    <row r="20">
      <c r="A20" s="10">
        <v>40.0</v>
      </c>
      <c r="B20" s="11" t="s">
        <v>47</v>
      </c>
      <c r="C20" s="12">
        <v>4.0</v>
      </c>
      <c r="D20" s="10" t="s">
        <v>44</v>
      </c>
      <c r="E20" s="10">
        <v>2025.0</v>
      </c>
      <c r="F20" s="10" t="s">
        <v>30</v>
      </c>
      <c r="G20" s="13"/>
      <c r="H20" s="13"/>
      <c r="I20" s="14">
        <f>IFERROR(_xlfn.FORECAST.LINEAR('BD_LeiturasHidrômetro_PRJ01'!$A20,G:G,A:A),"0000")</f>
        <v>5759.920914</v>
      </c>
      <c r="J20" s="14">
        <f>IF('BD_LeiturasHidrômetro_PRJ01'!$G20&amp;'BD_LeiturasHidrômetro_PRJ01'!$H20="",'BD_LeiturasHidrômetro_PRJ01'!$I20,'BD_LeiturasHidrômetro_PRJ01'!$G20&amp;'BD_LeiturasHidrômetro_PRJ01'!$H20)</f>
        <v>5759.920914</v>
      </c>
      <c r="K20" s="14">
        <f t="shared" si="1"/>
        <v>5744.838313</v>
      </c>
      <c r="L20" s="15"/>
      <c r="M20" s="15"/>
      <c r="N20" s="17">
        <f t="shared" si="2"/>
        <v>15.08260105</v>
      </c>
      <c r="O20" s="15" t="s">
        <v>21</v>
      </c>
      <c r="R20" s="18"/>
      <c r="S20" s="19"/>
    </row>
    <row r="21" ht="15.75" customHeight="1">
      <c r="A21" s="10">
        <v>41.0</v>
      </c>
      <c r="B21" s="11" t="s">
        <v>48</v>
      </c>
      <c r="C21" s="12">
        <v>5.0</v>
      </c>
      <c r="D21" s="10" t="s">
        <v>44</v>
      </c>
      <c r="E21" s="10">
        <v>2025.0</v>
      </c>
      <c r="F21" s="10" t="s">
        <v>32</v>
      </c>
      <c r="G21" s="13"/>
      <c r="H21" s="13"/>
      <c r="I21" s="14">
        <f>IFERROR(_xlfn.FORECAST.LINEAR('BD_LeiturasHidrômetro_PRJ01'!$A21,G:G,A:A),"0000")</f>
        <v>5775.003515</v>
      </c>
      <c r="J21" s="14">
        <f>IF('BD_LeiturasHidrômetro_PRJ01'!$G21&amp;'BD_LeiturasHidrômetro_PRJ01'!$H21="",'BD_LeiturasHidrômetro_PRJ01'!$I21,'BD_LeiturasHidrômetro_PRJ01'!$G21&amp;'BD_LeiturasHidrômetro_PRJ01'!$H21)</f>
        <v>5775.003515</v>
      </c>
      <c r="K21" s="14">
        <f t="shared" si="1"/>
        <v>5759.920914</v>
      </c>
      <c r="L21" s="15"/>
      <c r="M21" s="15"/>
      <c r="N21" s="17">
        <f t="shared" si="2"/>
        <v>15.08260105</v>
      </c>
      <c r="O21" s="15" t="s">
        <v>21</v>
      </c>
      <c r="R21" s="18"/>
      <c r="S21" s="19"/>
    </row>
    <row r="22" ht="15.75" customHeight="1">
      <c r="A22" s="10">
        <v>42.0</v>
      </c>
      <c r="B22" s="11" t="s">
        <v>49</v>
      </c>
      <c r="C22" s="12">
        <v>6.0</v>
      </c>
      <c r="D22" s="10" t="s">
        <v>44</v>
      </c>
      <c r="E22" s="10">
        <v>2025.0</v>
      </c>
      <c r="F22" s="10" t="s">
        <v>34</v>
      </c>
      <c r="G22" s="13"/>
      <c r="H22" s="13"/>
      <c r="I22" s="14">
        <f>IFERROR(_xlfn.FORECAST.LINEAR('BD_LeiturasHidrômetro_PRJ01'!$A22,G:G,A:A),"0000")</f>
        <v>5790.086116</v>
      </c>
      <c r="J22" s="14">
        <f>IF('BD_LeiturasHidrômetro_PRJ01'!$G22&amp;'BD_LeiturasHidrômetro_PRJ01'!$H22="",'BD_LeiturasHidrômetro_PRJ01'!$I22,'BD_LeiturasHidrômetro_PRJ01'!$G22&amp;'BD_LeiturasHidrômetro_PRJ01'!$H22)</f>
        <v>5790.086116</v>
      </c>
      <c r="K22" s="14">
        <f t="shared" si="1"/>
        <v>5775.003515</v>
      </c>
      <c r="L22" s="15"/>
      <c r="M22" s="15"/>
      <c r="N22" s="17">
        <f t="shared" si="2"/>
        <v>15.08260105</v>
      </c>
      <c r="O22" s="15" t="s">
        <v>21</v>
      </c>
      <c r="R22" s="18"/>
      <c r="S22" s="19"/>
    </row>
    <row r="23" ht="15.75" customHeight="1">
      <c r="A23" s="10">
        <v>43.0</v>
      </c>
      <c r="B23" s="11" t="s">
        <v>50</v>
      </c>
      <c r="C23" s="12">
        <v>7.0</v>
      </c>
      <c r="D23" s="10" t="s">
        <v>44</v>
      </c>
      <c r="E23" s="10">
        <v>2025.0</v>
      </c>
      <c r="F23" s="10" t="s">
        <v>19</v>
      </c>
      <c r="G23" s="13"/>
      <c r="H23" s="13"/>
      <c r="I23" s="14">
        <f>IFERROR(_xlfn.FORECAST.LINEAR('BD_LeiturasHidrômetro_PRJ01'!$A23,G:G,A:A),"0000")</f>
        <v>5805.168717</v>
      </c>
      <c r="J23" s="14">
        <f>IF('BD_LeiturasHidrômetro_PRJ01'!$G23&amp;'BD_LeiturasHidrômetro_PRJ01'!$H23="",'BD_LeiturasHidrômetro_PRJ01'!$I23,'BD_LeiturasHidrômetro_PRJ01'!$G23&amp;'BD_LeiturasHidrômetro_PRJ01'!$H23)</f>
        <v>5805.168717</v>
      </c>
      <c r="K23" s="14">
        <f t="shared" si="1"/>
        <v>5790.086116</v>
      </c>
      <c r="L23" s="15"/>
      <c r="M23" s="15"/>
      <c r="N23" s="17">
        <f t="shared" si="2"/>
        <v>15.08260105</v>
      </c>
      <c r="O23" s="15" t="s">
        <v>21</v>
      </c>
      <c r="R23" s="18"/>
      <c r="S23" s="19"/>
    </row>
    <row r="24" ht="15.75" customHeight="1">
      <c r="A24" s="10">
        <v>44.0</v>
      </c>
      <c r="B24" s="11" t="s">
        <v>51</v>
      </c>
      <c r="C24" s="12">
        <v>8.0</v>
      </c>
      <c r="D24" s="10" t="s">
        <v>44</v>
      </c>
      <c r="E24" s="10">
        <v>2025.0</v>
      </c>
      <c r="F24" s="10" t="s">
        <v>23</v>
      </c>
      <c r="G24" s="13"/>
      <c r="H24" s="13"/>
      <c r="I24" s="14">
        <f>IFERROR(_xlfn.FORECAST.LINEAR('BD_LeiturasHidrômetro_PRJ01'!$A24,G:G,A:A),"0000")</f>
        <v>5820.251318</v>
      </c>
      <c r="J24" s="14">
        <f>IF('BD_LeiturasHidrômetro_PRJ01'!$G24&amp;'BD_LeiturasHidrômetro_PRJ01'!$H24="",'BD_LeiturasHidrômetro_PRJ01'!$I24,'BD_LeiturasHidrômetro_PRJ01'!$G24&amp;'BD_LeiturasHidrômetro_PRJ01'!$H24)</f>
        <v>5820.251318</v>
      </c>
      <c r="K24" s="14">
        <f t="shared" si="1"/>
        <v>5805.168717</v>
      </c>
      <c r="L24" s="15"/>
      <c r="M24" s="15"/>
      <c r="N24" s="17">
        <f t="shared" si="2"/>
        <v>15.08260105</v>
      </c>
      <c r="O24" s="15" t="s">
        <v>21</v>
      </c>
      <c r="R24" s="18"/>
      <c r="S24" s="19"/>
    </row>
    <row r="25" ht="15.75" customHeight="1">
      <c r="A25" s="10">
        <v>45.0</v>
      </c>
      <c r="B25" s="11" t="s">
        <v>52</v>
      </c>
      <c r="C25" s="12">
        <v>9.0</v>
      </c>
      <c r="D25" s="10" t="s">
        <v>44</v>
      </c>
      <c r="E25" s="10">
        <v>2025.0</v>
      </c>
      <c r="F25" s="10" t="s">
        <v>26</v>
      </c>
      <c r="G25" s="13"/>
      <c r="H25" s="13"/>
      <c r="I25" s="14">
        <f>IFERROR(_xlfn.FORECAST.LINEAR('BD_LeiturasHidrômetro_PRJ01'!$A25,G:G,A:A),"0000")</f>
        <v>5835.333919</v>
      </c>
      <c r="J25" s="14">
        <f>IF('BD_LeiturasHidrômetro_PRJ01'!$G25&amp;'BD_LeiturasHidrômetro_PRJ01'!$H25="",'BD_LeiturasHidrômetro_PRJ01'!$I25,'BD_LeiturasHidrômetro_PRJ01'!$G25&amp;'BD_LeiturasHidrômetro_PRJ01'!$H25)</f>
        <v>5835.333919</v>
      </c>
      <c r="K25" s="14">
        <f t="shared" si="1"/>
        <v>5820.251318</v>
      </c>
      <c r="L25" s="15"/>
      <c r="M25" s="15"/>
      <c r="N25" s="17">
        <f t="shared" si="2"/>
        <v>15.08260105</v>
      </c>
      <c r="O25" s="15" t="s">
        <v>21</v>
      </c>
      <c r="R25" s="18"/>
      <c r="S25" s="19"/>
    </row>
    <row r="26" ht="15.75" customHeight="1">
      <c r="A26" s="10">
        <v>46.0</v>
      </c>
      <c r="B26" s="11" t="s">
        <v>53</v>
      </c>
      <c r="C26" s="12">
        <v>10.0</v>
      </c>
      <c r="D26" s="10" t="s">
        <v>44</v>
      </c>
      <c r="E26" s="10">
        <v>2025.0</v>
      </c>
      <c r="F26" s="10" t="s">
        <v>28</v>
      </c>
      <c r="G26" s="13"/>
      <c r="H26" s="13"/>
      <c r="I26" s="14">
        <f>IFERROR(_xlfn.FORECAST.LINEAR('BD_LeiturasHidrômetro_PRJ01'!$A26,G:G,A:A),"0000")</f>
        <v>5850.41652</v>
      </c>
      <c r="J26" s="14">
        <f>IF('BD_LeiturasHidrômetro_PRJ01'!$G26&amp;'BD_LeiturasHidrômetro_PRJ01'!$H26="",'BD_LeiturasHidrômetro_PRJ01'!$I26,'BD_LeiturasHidrômetro_PRJ01'!$G26&amp;'BD_LeiturasHidrômetro_PRJ01'!$H26)</f>
        <v>5850.41652</v>
      </c>
      <c r="K26" s="14">
        <f t="shared" si="1"/>
        <v>5835.333919</v>
      </c>
      <c r="L26" s="15"/>
      <c r="M26" s="15"/>
      <c r="N26" s="17">
        <f t="shared" si="2"/>
        <v>15.08260105</v>
      </c>
      <c r="O26" s="15" t="s">
        <v>21</v>
      </c>
      <c r="R26" s="18"/>
      <c r="S26" s="19"/>
    </row>
    <row r="27" ht="15.75" customHeight="1">
      <c r="A27" s="10">
        <v>47.0</v>
      </c>
      <c r="B27" s="11" t="s">
        <v>54</v>
      </c>
      <c r="C27" s="12">
        <v>11.0</v>
      </c>
      <c r="D27" s="10" t="s">
        <v>44</v>
      </c>
      <c r="E27" s="10">
        <v>2025.0</v>
      </c>
      <c r="F27" s="10" t="s">
        <v>30</v>
      </c>
      <c r="G27" s="13"/>
      <c r="H27" s="13"/>
      <c r="I27" s="14">
        <f>IFERROR(_xlfn.FORECAST.LINEAR('BD_LeiturasHidrômetro_PRJ01'!$A27,G:G,A:A),"0000")</f>
        <v>5865.499121</v>
      </c>
      <c r="J27" s="14">
        <f>IF('BD_LeiturasHidrômetro_PRJ01'!$G27&amp;'BD_LeiturasHidrômetro_PRJ01'!$H27="",'BD_LeiturasHidrômetro_PRJ01'!$I27,'BD_LeiturasHidrômetro_PRJ01'!$G27&amp;'BD_LeiturasHidrômetro_PRJ01'!$H27)</f>
        <v>5865.499121</v>
      </c>
      <c r="K27" s="14">
        <f t="shared" si="1"/>
        <v>5850.41652</v>
      </c>
      <c r="L27" s="15"/>
      <c r="M27" s="15"/>
      <c r="N27" s="17">
        <f t="shared" si="2"/>
        <v>15.08260105</v>
      </c>
      <c r="O27" s="15" t="s">
        <v>21</v>
      </c>
      <c r="R27" s="18"/>
      <c r="S27" s="19"/>
    </row>
    <row r="28" ht="15.75" customHeight="1">
      <c r="A28" s="10">
        <v>48.0</v>
      </c>
      <c r="B28" s="11" t="s">
        <v>55</v>
      </c>
      <c r="C28" s="12">
        <v>12.0</v>
      </c>
      <c r="D28" s="10" t="s">
        <v>44</v>
      </c>
      <c r="E28" s="10">
        <v>2025.0</v>
      </c>
      <c r="F28" s="10" t="s">
        <v>32</v>
      </c>
      <c r="G28" s="13"/>
      <c r="H28" s="13"/>
      <c r="I28" s="14">
        <f>IFERROR(_xlfn.FORECAST.LINEAR('BD_LeiturasHidrômetro_PRJ01'!$A28,G:G,A:A),"0000")</f>
        <v>5880.581722</v>
      </c>
      <c r="J28" s="14">
        <f>IF('BD_LeiturasHidrômetro_PRJ01'!$G28&amp;'BD_LeiturasHidrômetro_PRJ01'!$H28="",'BD_LeiturasHidrômetro_PRJ01'!$I28,'BD_LeiturasHidrômetro_PRJ01'!$G28&amp;'BD_LeiturasHidrômetro_PRJ01'!$H28)</f>
        <v>5880.581722</v>
      </c>
      <c r="K28" s="14">
        <f t="shared" si="1"/>
        <v>5865.499121</v>
      </c>
      <c r="L28" s="15"/>
      <c r="M28" s="15"/>
      <c r="N28" s="17">
        <f t="shared" si="2"/>
        <v>15.08260105</v>
      </c>
      <c r="O28" s="15" t="s">
        <v>21</v>
      </c>
      <c r="R28" s="18"/>
      <c r="S28" s="19"/>
    </row>
    <row r="29" ht="15.75" customHeight="1">
      <c r="A29" s="10">
        <v>49.0</v>
      </c>
      <c r="B29" s="11" t="s">
        <v>56</v>
      </c>
      <c r="C29" s="12">
        <v>13.0</v>
      </c>
      <c r="D29" s="10" t="s">
        <v>44</v>
      </c>
      <c r="E29" s="10">
        <v>2025.0</v>
      </c>
      <c r="F29" s="10" t="s">
        <v>34</v>
      </c>
      <c r="G29" s="13"/>
      <c r="H29" s="13"/>
      <c r="I29" s="14">
        <f>IFERROR(_xlfn.FORECAST.LINEAR('BD_LeiturasHidrômetro_PRJ01'!$A29,G:G,A:A),"0000")</f>
        <v>5895.664323</v>
      </c>
      <c r="J29" s="14">
        <f>IF('BD_LeiturasHidrômetro_PRJ01'!$G29&amp;'BD_LeiturasHidrômetro_PRJ01'!$H29="",'BD_LeiturasHidrômetro_PRJ01'!$I29,'BD_LeiturasHidrômetro_PRJ01'!$G29&amp;'BD_LeiturasHidrômetro_PRJ01'!$H29)</f>
        <v>5895.664323</v>
      </c>
      <c r="K29" s="14">
        <f t="shared" si="1"/>
        <v>5880.581722</v>
      </c>
      <c r="L29" s="15"/>
      <c r="M29" s="15"/>
      <c r="N29" s="17">
        <f t="shared" si="2"/>
        <v>15.08260105</v>
      </c>
      <c r="O29" s="15" t="s">
        <v>21</v>
      </c>
      <c r="R29" s="18"/>
      <c r="S29" s="19"/>
    </row>
    <row r="30" ht="15.75" customHeight="1">
      <c r="A30" s="10">
        <v>50.0</v>
      </c>
      <c r="B30" s="11" t="s">
        <v>57</v>
      </c>
      <c r="C30" s="12">
        <v>14.0</v>
      </c>
      <c r="D30" s="10" t="s">
        <v>44</v>
      </c>
      <c r="E30" s="10">
        <v>2025.0</v>
      </c>
      <c r="F30" s="10" t="s">
        <v>19</v>
      </c>
      <c r="G30" s="13"/>
      <c r="H30" s="13"/>
      <c r="I30" s="14">
        <f>IFERROR(_xlfn.FORECAST.LINEAR('BD_LeiturasHidrômetro_PRJ01'!$A30,G:G,A:A),"0000")</f>
        <v>5910.746924</v>
      </c>
      <c r="J30" s="14">
        <f>IF('BD_LeiturasHidrômetro_PRJ01'!$G30&amp;'BD_LeiturasHidrômetro_PRJ01'!$H30="",'BD_LeiturasHidrômetro_PRJ01'!$I30,'BD_LeiturasHidrômetro_PRJ01'!$G30&amp;'BD_LeiturasHidrômetro_PRJ01'!$H30)</f>
        <v>5910.746924</v>
      </c>
      <c r="K30" s="14">
        <f t="shared" si="1"/>
        <v>5895.664323</v>
      </c>
      <c r="L30" s="15"/>
      <c r="M30" s="15"/>
      <c r="N30" s="17">
        <f t="shared" si="2"/>
        <v>15.08260105</v>
      </c>
      <c r="O30" s="15" t="s">
        <v>21</v>
      </c>
      <c r="R30" s="18"/>
      <c r="S30" s="19"/>
    </row>
    <row r="31" ht="15.75" customHeight="1">
      <c r="A31" s="10">
        <v>51.0</v>
      </c>
      <c r="B31" s="11" t="s">
        <v>58</v>
      </c>
      <c r="C31" s="12">
        <v>15.0</v>
      </c>
      <c r="D31" s="10" t="s">
        <v>44</v>
      </c>
      <c r="E31" s="10">
        <v>2025.0</v>
      </c>
      <c r="F31" s="10" t="s">
        <v>23</v>
      </c>
      <c r="G31" s="13"/>
      <c r="H31" s="13"/>
      <c r="I31" s="14">
        <f>IFERROR(_xlfn.FORECAST.LINEAR('BD_LeiturasHidrômetro_PRJ01'!$A31,G:G,A:A),"0000")</f>
        <v>5925.829525</v>
      </c>
      <c r="J31" s="14">
        <f>IF('BD_LeiturasHidrômetro_PRJ01'!$G31&amp;'BD_LeiturasHidrômetro_PRJ01'!$H31="",'BD_LeiturasHidrômetro_PRJ01'!$I31,'BD_LeiturasHidrômetro_PRJ01'!$G31&amp;'BD_LeiturasHidrômetro_PRJ01'!$H31)</f>
        <v>5925.829525</v>
      </c>
      <c r="K31" s="14">
        <f t="shared" si="1"/>
        <v>5910.746924</v>
      </c>
      <c r="L31" s="15"/>
      <c r="M31" s="15"/>
      <c r="N31" s="17">
        <f t="shared" si="2"/>
        <v>15.08260105</v>
      </c>
      <c r="O31" s="15" t="s">
        <v>21</v>
      </c>
      <c r="R31" s="18"/>
      <c r="S31" s="19"/>
    </row>
    <row r="32" ht="15.75" customHeight="1">
      <c r="A32" s="10">
        <v>52.0</v>
      </c>
      <c r="B32" s="11" t="s">
        <v>59</v>
      </c>
      <c r="C32" s="12">
        <v>16.0</v>
      </c>
      <c r="D32" s="10" t="s">
        <v>44</v>
      </c>
      <c r="E32" s="10">
        <v>2025.0</v>
      </c>
      <c r="F32" s="10" t="s">
        <v>26</v>
      </c>
      <c r="G32" s="13"/>
      <c r="H32" s="13"/>
      <c r="I32" s="14">
        <f>IFERROR(_xlfn.FORECAST.LINEAR('BD_LeiturasHidrômetro_PRJ01'!$A32,G:G,A:A),"0000")</f>
        <v>5940.912127</v>
      </c>
      <c r="J32" s="14">
        <f>IF('BD_LeiturasHidrômetro_PRJ01'!$G32&amp;'BD_LeiturasHidrômetro_PRJ01'!$H32="",'BD_LeiturasHidrômetro_PRJ01'!$I32,'BD_LeiturasHidrômetro_PRJ01'!$G32&amp;'BD_LeiturasHidrômetro_PRJ01'!$H32)</f>
        <v>5940.912127</v>
      </c>
      <c r="K32" s="14">
        <f t="shared" si="1"/>
        <v>5925.829525</v>
      </c>
      <c r="L32" s="15"/>
      <c r="M32" s="15"/>
      <c r="N32" s="17">
        <f t="shared" si="2"/>
        <v>15.08260105</v>
      </c>
      <c r="O32" s="15" t="s">
        <v>21</v>
      </c>
      <c r="R32" s="18"/>
      <c r="S32" s="19"/>
    </row>
    <row r="33" ht="15.75" customHeight="1">
      <c r="A33" s="10">
        <v>53.0</v>
      </c>
      <c r="B33" s="11" t="s">
        <v>60</v>
      </c>
      <c r="C33" s="12">
        <v>17.0</v>
      </c>
      <c r="D33" s="10" t="s">
        <v>44</v>
      </c>
      <c r="E33" s="10">
        <v>2025.0</v>
      </c>
      <c r="F33" s="10" t="s">
        <v>28</v>
      </c>
      <c r="G33" s="13"/>
      <c r="H33" s="13"/>
      <c r="I33" s="14">
        <f>IFERROR(_xlfn.FORECAST.LINEAR('BD_LeiturasHidrômetro_PRJ01'!$A33,G:G,A:A),"0000")</f>
        <v>5955.994728</v>
      </c>
      <c r="J33" s="14">
        <f>IF('BD_LeiturasHidrômetro_PRJ01'!$G33&amp;'BD_LeiturasHidrômetro_PRJ01'!$H33="",'BD_LeiturasHidrômetro_PRJ01'!$I33,'BD_LeiturasHidrômetro_PRJ01'!$G33&amp;'BD_LeiturasHidrômetro_PRJ01'!$H33)</f>
        <v>5955.994728</v>
      </c>
      <c r="K33" s="14">
        <f t="shared" si="1"/>
        <v>5940.912127</v>
      </c>
      <c r="L33" s="15"/>
      <c r="M33" s="15"/>
      <c r="N33" s="17">
        <f t="shared" si="2"/>
        <v>15.08260105</v>
      </c>
      <c r="O33" s="15" t="s">
        <v>21</v>
      </c>
      <c r="R33" s="18"/>
      <c r="S33" s="19"/>
    </row>
    <row r="34" ht="15.75" customHeight="1">
      <c r="A34" s="10">
        <v>54.0</v>
      </c>
      <c r="B34" s="11" t="s">
        <v>61</v>
      </c>
      <c r="C34" s="12">
        <v>18.0</v>
      </c>
      <c r="D34" s="10" t="s">
        <v>44</v>
      </c>
      <c r="E34" s="10">
        <v>2025.0</v>
      </c>
      <c r="F34" s="10" t="s">
        <v>30</v>
      </c>
      <c r="G34" s="13"/>
      <c r="H34" s="13"/>
      <c r="I34" s="14">
        <f>IFERROR(_xlfn.FORECAST.LINEAR('BD_LeiturasHidrômetro_PRJ01'!$A34,G:G,A:A),"0000")</f>
        <v>5971.077329</v>
      </c>
      <c r="J34" s="14">
        <f>IF('BD_LeiturasHidrômetro_PRJ01'!$G34&amp;'BD_LeiturasHidrômetro_PRJ01'!$H34="",'BD_LeiturasHidrômetro_PRJ01'!$I34,'BD_LeiturasHidrômetro_PRJ01'!$G34&amp;'BD_LeiturasHidrômetro_PRJ01'!$H34)</f>
        <v>5971.077329</v>
      </c>
      <c r="K34" s="14">
        <f t="shared" si="1"/>
        <v>5955.994728</v>
      </c>
      <c r="L34" s="15"/>
      <c r="M34" s="15"/>
      <c r="N34" s="17">
        <f t="shared" si="2"/>
        <v>15.08260105</v>
      </c>
      <c r="O34" s="15" t="s">
        <v>21</v>
      </c>
      <c r="R34" s="18"/>
      <c r="S34" s="19"/>
    </row>
    <row r="35" ht="15.75" customHeight="1">
      <c r="A35" s="10">
        <v>55.0</v>
      </c>
      <c r="B35" s="11" t="s">
        <v>62</v>
      </c>
      <c r="C35" s="12">
        <v>19.0</v>
      </c>
      <c r="D35" s="10" t="s">
        <v>44</v>
      </c>
      <c r="E35" s="10">
        <v>2025.0</v>
      </c>
      <c r="F35" s="10" t="s">
        <v>32</v>
      </c>
      <c r="G35" s="13"/>
      <c r="H35" s="13"/>
      <c r="I35" s="14">
        <f>IFERROR(_xlfn.FORECAST.LINEAR('BD_LeiturasHidrômetro_PRJ01'!$A35,G:G,A:A),"0000")</f>
        <v>5986.15993</v>
      </c>
      <c r="J35" s="14">
        <f>IF('BD_LeiturasHidrômetro_PRJ01'!$G35&amp;'BD_LeiturasHidrômetro_PRJ01'!$H35="",'BD_LeiturasHidrômetro_PRJ01'!$I35,'BD_LeiturasHidrômetro_PRJ01'!$G35&amp;'BD_LeiturasHidrômetro_PRJ01'!$H35)</f>
        <v>5986.15993</v>
      </c>
      <c r="K35" s="14">
        <f t="shared" si="1"/>
        <v>5971.077329</v>
      </c>
      <c r="L35" s="15"/>
      <c r="M35" s="15"/>
      <c r="N35" s="17">
        <f t="shared" si="2"/>
        <v>15.08260105</v>
      </c>
      <c r="O35" s="15" t="s">
        <v>21</v>
      </c>
      <c r="R35" s="18"/>
      <c r="S35" s="19"/>
    </row>
    <row r="36" ht="15.75" customHeight="1">
      <c r="A36" s="10">
        <v>56.0</v>
      </c>
      <c r="B36" s="11" t="s">
        <v>63</v>
      </c>
      <c r="C36" s="12">
        <v>20.0</v>
      </c>
      <c r="D36" s="10" t="s">
        <v>44</v>
      </c>
      <c r="E36" s="10">
        <v>2025.0</v>
      </c>
      <c r="F36" s="10" t="s">
        <v>34</v>
      </c>
      <c r="G36" s="13"/>
      <c r="H36" s="13"/>
      <c r="I36" s="14">
        <f>IFERROR(_xlfn.FORECAST.LINEAR('BD_LeiturasHidrômetro_PRJ01'!$A36,G:G,A:A),"0000")</f>
        <v>6001.242531</v>
      </c>
      <c r="J36" s="14">
        <f>IF('BD_LeiturasHidrômetro_PRJ01'!$G36&amp;'BD_LeiturasHidrômetro_PRJ01'!$H36="",'BD_LeiturasHidrômetro_PRJ01'!$I36,'BD_LeiturasHidrômetro_PRJ01'!$G36&amp;'BD_LeiturasHidrômetro_PRJ01'!$H36)</f>
        <v>6001.242531</v>
      </c>
      <c r="K36" s="14">
        <f t="shared" si="1"/>
        <v>5986.15993</v>
      </c>
      <c r="L36" s="15"/>
      <c r="M36" s="15"/>
      <c r="N36" s="17">
        <f t="shared" si="2"/>
        <v>15.08260105</v>
      </c>
      <c r="O36" s="15" t="s">
        <v>21</v>
      </c>
      <c r="R36" s="18"/>
      <c r="S36" s="19"/>
    </row>
    <row r="37" ht="15.75" customHeight="1">
      <c r="A37" s="10">
        <v>57.0</v>
      </c>
      <c r="B37" s="11" t="s">
        <v>64</v>
      </c>
      <c r="C37" s="12">
        <v>21.0</v>
      </c>
      <c r="D37" s="10" t="s">
        <v>44</v>
      </c>
      <c r="E37" s="10">
        <v>2025.0</v>
      </c>
      <c r="F37" s="10" t="s">
        <v>19</v>
      </c>
      <c r="G37" s="13"/>
      <c r="H37" s="13"/>
      <c r="I37" s="14">
        <f>IFERROR(_xlfn.FORECAST.LINEAR('BD_LeiturasHidrômetro_PRJ01'!$A37,G:G,A:A),"0000")</f>
        <v>6016.325132</v>
      </c>
      <c r="J37" s="14">
        <f>IF('BD_LeiturasHidrômetro_PRJ01'!$G37&amp;'BD_LeiturasHidrômetro_PRJ01'!$H37="",'BD_LeiturasHidrômetro_PRJ01'!$I37,'BD_LeiturasHidrômetro_PRJ01'!$G37&amp;'BD_LeiturasHidrômetro_PRJ01'!$H37)</f>
        <v>6016.325132</v>
      </c>
      <c r="K37" s="14">
        <f t="shared" si="1"/>
        <v>6001.242531</v>
      </c>
      <c r="L37" s="15"/>
      <c r="M37" s="15"/>
      <c r="N37" s="17">
        <f t="shared" si="2"/>
        <v>15.08260105</v>
      </c>
      <c r="O37" s="15" t="s">
        <v>21</v>
      </c>
      <c r="R37" s="18"/>
      <c r="S37" s="19"/>
    </row>
    <row r="38" ht="15.75" customHeight="1">
      <c r="A38" s="10">
        <v>58.0</v>
      </c>
      <c r="B38" s="11" t="s">
        <v>65</v>
      </c>
      <c r="C38" s="12">
        <v>22.0</v>
      </c>
      <c r="D38" s="10" t="s">
        <v>44</v>
      </c>
      <c r="E38" s="10">
        <v>2025.0</v>
      </c>
      <c r="F38" s="10" t="s">
        <v>23</v>
      </c>
      <c r="G38" s="13"/>
      <c r="H38" s="13"/>
      <c r="I38" s="14">
        <f>IFERROR(_xlfn.FORECAST.LINEAR('BD_LeiturasHidrômetro_PRJ01'!$A38,G:G,A:A),"0000")</f>
        <v>6031.407733</v>
      </c>
      <c r="J38" s="14">
        <f>IF('BD_LeiturasHidrômetro_PRJ01'!$G38&amp;'BD_LeiturasHidrômetro_PRJ01'!$H38="",'BD_LeiturasHidrômetro_PRJ01'!$I38,'BD_LeiturasHidrômetro_PRJ01'!$G38&amp;'BD_LeiturasHidrômetro_PRJ01'!$H38)</f>
        <v>6031.407733</v>
      </c>
      <c r="K38" s="14">
        <f t="shared" si="1"/>
        <v>6016.325132</v>
      </c>
      <c r="L38" s="15"/>
      <c r="M38" s="15"/>
      <c r="N38" s="17">
        <f t="shared" si="2"/>
        <v>15.08260105</v>
      </c>
      <c r="O38" s="15" t="s">
        <v>21</v>
      </c>
      <c r="R38" s="18"/>
      <c r="S38" s="19"/>
    </row>
    <row r="39" ht="15.75" customHeight="1">
      <c r="A39" s="10">
        <v>59.0</v>
      </c>
      <c r="B39" s="11" t="s">
        <v>66</v>
      </c>
      <c r="C39" s="12">
        <v>23.0</v>
      </c>
      <c r="D39" s="10" t="s">
        <v>44</v>
      </c>
      <c r="E39" s="10">
        <v>2025.0</v>
      </c>
      <c r="F39" s="10" t="s">
        <v>26</v>
      </c>
      <c r="G39" s="13"/>
      <c r="H39" s="13"/>
      <c r="I39" s="14">
        <f>IFERROR(_xlfn.FORECAST.LINEAR('BD_LeiturasHidrômetro_PRJ01'!$A39,G:G,A:A),"0000")</f>
        <v>6046.490334</v>
      </c>
      <c r="J39" s="14">
        <f>IF('BD_LeiturasHidrômetro_PRJ01'!$G39&amp;'BD_LeiturasHidrômetro_PRJ01'!$H39="",'BD_LeiturasHidrômetro_PRJ01'!$I39,'BD_LeiturasHidrômetro_PRJ01'!$G39&amp;'BD_LeiturasHidrômetro_PRJ01'!$H39)</f>
        <v>6046.490334</v>
      </c>
      <c r="K39" s="14">
        <f t="shared" si="1"/>
        <v>6031.407733</v>
      </c>
      <c r="L39" s="15"/>
      <c r="M39" s="15"/>
      <c r="N39" s="17">
        <f t="shared" si="2"/>
        <v>15.08260105</v>
      </c>
      <c r="O39" s="15" t="s">
        <v>21</v>
      </c>
      <c r="R39" s="18"/>
      <c r="S39" s="19"/>
    </row>
    <row r="40" ht="15.75" customHeight="1">
      <c r="A40" s="10">
        <v>60.0</v>
      </c>
      <c r="B40" s="11" t="s">
        <v>67</v>
      </c>
      <c r="C40" s="12">
        <v>24.0</v>
      </c>
      <c r="D40" s="10" t="s">
        <v>44</v>
      </c>
      <c r="E40" s="10">
        <v>2025.0</v>
      </c>
      <c r="F40" s="10" t="s">
        <v>28</v>
      </c>
      <c r="G40" s="13"/>
      <c r="H40" s="13"/>
      <c r="I40" s="14">
        <f>IFERROR(_xlfn.FORECAST.LINEAR('BD_LeiturasHidrômetro_PRJ01'!$A40,G:G,A:A),"0000")</f>
        <v>6061.572935</v>
      </c>
      <c r="J40" s="14">
        <f>IF('BD_LeiturasHidrômetro_PRJ01'!$G40&amp;'BD_LeiturasHidrômetro_PRJ01'!$H40="",'BD_LeiturasHidrômetro_PRJ01'!$I40,'BD_LeiturasHidrômetro_PRJ01'!$G40&amp;'BD_LeiturasHidrômetro_PRJ01'!$H40)</f>
        <v>6061.572935</v>
      </c>
      <c r="K40" s="14">
        <f t="shared" si="1"/>
        <v>6046.490334</v>
      </c>
      <c r="L40" s="15"/>
      <c r="M40" s="15"/>
      <c r="N40" s="17">
        <f t="shared" si="2"/>
        <v>15.08260105</v>
      </c>
      <c r="O40" s="15" t="s">
        <v>21</v>
      </c>
      <c r="R40" s="18"/>
      <c r="S40" s="19"/>
    </row>
    <row r="41" ht="15.75" customHeight="1">
      <c r="A41" s="10">
        <v>61.0</v>
      </c>
      <c r="B41" s="11" t="s">
        <v>68</v>
      </c>
      <c r="C41" s="12">
        <v>25.0</v>
      </c>
      <c r="D41" s="10" t="s">
        <v>44</v>
      </c>
      <c r="E41" s="10">
        <v>2025.0</v>
      </c>
      <c r="F41" s="10" t="s">
        <v>30</v>
      </c>
      <c r="G41" s="13"/>
      <c r="H41" s="13"/>
      <c r="I41" s="14">
        <f>IFERROR(_xlfn.FORECAST.LINEAR('BD_LeiturasHidrômetro_PRJ01'!$A41,G:G,A:A),"0000")</f>
        <v>6076.655536</v>
      </c>
      <c r="J41" s="14">
        <f>IF('BD_LeiturasHidrômetro_PRJ01'!$G41&amp;'BD_LeiturasHidrômetro_PRJ01'!$H41="",'BD_LeiturasHidrômetro_PRJ01'!$I41,'BD_LeiturasHidrômetro_PRJ01'!$G41&amp;'BD_LeiturasHidrômetro_PRJ01'!$H41)</f>
        <v>6076.655536</v>
      </c>
      <c r="K41" s="14">
        <f t="shared" si="1"/>
        <v>6061.572935</v>
      </c>
      <c r="L41" s="15"/>
      <c r="M41" s="15"/>
      <c r="N41" s="17">
        <f t="shared" si="2"/>
        <v>15.08260105</v>
      </c>
      <c r="O41" s="15" t="s">
        <v>21</v>
      </c>
      <c r="R41" s="18"/>
      <c r="S41" s="19"/>
    </row>
    <row r="42" ht="15.75" customHeight="1">
      <c r="A42" s="10">
        <v>62.0</v>
      </c>
      <c r="B42" s="11" t="s">
        <v>69</v>
      </c>
      <c r="C42" s="12">
        <v>26.0</v>
      </c>
      <c r="D42" s="10" t="s">
        <v>44</v>
      </c>
      <c r="E42" s="10">
        <v>2025.0</v>
      </c>
      <c r="F42" s="10" t="s">
        <v>32</v>
      </c>
      <c r="G42" s="13"/>
      <c r="H42" s="13"/>
      <c r="I42" s="14">
        <f>IFERROR(_xlfn.FORECAST.LINEAR('BD_LeiturasHidrômetro_PRJ01'!$A42,G:G,A:A),"0000")</f>
        <v>6091.738137</v>
      </c>
      <c r="J42" s="14">
        <f>IF('BD_LeiturasHidrômetro_PRJ01'!$G42&amp;'BD_LeiturasHidrômetro_PRJ01'!$H42="",'BD_LeiturasHidrômetro_PRJ01'!$I42,'BD_LeiturasHidrômetro_PRJ01'!$G42&amp;'BD_LeiturasHidrômetro_PRJ01'!$H42)</f>
        <v>6091.738137</v>
      </c>
      <c r="K42" s="14">
        <f t="shared" si="1"/>
        <v>6076.655536</v>
      </c>
      <c r="L42" s="15"/>
      <c r="M42" s="15"/>
      <c r="N42" s="17">
        <f t="shared" si="2"/>
        <v>15.08260105</v>
      </c>
      <c r="O42" s="15" t="s">
        <v>21</v>
      </c>
      <c r="R42" s="18"/>
      <c r="S42" s="19"/>
    </row>
    <row r="43" ht="15.75" customHeight="1">
      <c r="A43" s="10">
        <v>63.0</v>
      </c>
      <c r="B43" s="11" t="s">
        <v>70</v>
      </c>
      <c r="C43" s="12">
        <v>27.0</v>
      </c>
      <c r="D43" s="10" t="s">
        <v>44</v>
      </c>
      <c r="E43" s="10">
        <v>2025.0</v>
      </c>
      <c r="F43" s="10" t="s">
        <v>34</v>
      </c>
      <c r="G43" s="13"/>
      <c r="H43" s="13"/>
      <c r="I43" s="14">
        <f>IFERROR(_xlfn.FORECAST.LINEAR('BD_LeiturasHidrômetro_PRJ01'!$A43,G:G,A:A),"0000")</f>
        <v>6106.820738</v>
      </c>
      <c r="J43" s="14">
        <f>IF('BD_LeiturasHidrômetro_PRJ01'!$G43&amp;'BD_LeiturasHidrômetro_PRJ01'!$H43="",'BD_LeiturasHidrômetro_PRJ01'!$I43,'BD_LeiturasHidrômetro_PRJ01'!$G43&amp;'BD_LeiturasHidrômetro_PRJ01'!$H43)</f>
        <v>6106.820738</v>
      </c>
      <c r="K43" s="14">
        <f t="shared" si="1"/>
        <v>6091.738137</v>
      </c>
      <c r="L43" s="15"/>
      <c r="M43" s="15"/>
      <c r="N43" s="17">
        <f t="shared" si="2"/>
        <v>15.08260105</v>
      </c>
      <c r="O43" s="15" t="s">
        <v>21</v>
      </c>
      <c r="R43" s="18"/>
      <c r="S43" s="19"/>
    </row>
    <row r="44" ht="15.75" customHeight="1">
      <c r="A44" s="10">
        <v>64.0</v>
      </c>
      <c r="B44" s="11" t="s">
        <v>71</v>
      </c>
      <c r="C44" s="12">
        <v>28.0</v>
      </c>
      <c r="D44" s="10" t="s">
        <v>44</v>
      </c>
      <c r="E44" s="10">
        <v>2025.0</v>
      </c>
      <c r="F44" s="10" t="s">
        <v>19</v>
      </c>
      <c r="G44" s="13"/>
      <c r="H44" s="13"/>
      <c r="I44" s="14">
        <f>IFERROR(_xlfn.FORECAST.LINEAR('BD_LeiturasHidrômetro_PRJ01'!$A44,G:G,A:A),"0000")</f>
        <v>6121.903339</v>
      </c>
      <c r="J44" s="14">
        <f>IF('BD_LeiturasHidrômetro_PRJ01'!$G44&amp;'BD_LeiturasHidrômetro_PRJ01'!$H44="",'BD_LeiturasHidrômetro_PRJ01'!$I44,'BD_LeiturasHidrômetro_PRJ01'!$G44&amp;'BD_LeiturasHidrômetro_PRJ01'!$H44)</f>
        <v>6121.903339</v>
      </c>
      <c r="K44" s="14">
        <f t="shared" si="1"/>
        <v>6106.820738</v>
      </c>
      <c r="L44" s="15"/>
      <c r="M44" s="15"/>
      <c r="N44" s="17">
        <f t="shared" si="2"/>
        <v>15.08260105</v>
      </c>
      <c r="O44" s="15" t="s">
        <v>21</v>
      </c>
      <c r="R44" s="18"/>
      <c r="S44" s="19"/>
    </row>
    <row r="45" ht="15.75" customHeight="1">
      <c r="A45" s="10">
        <v>65.0</v>
      </c>
      <c r="B45" s="11" t="s">
        <v>72</v>
      </c>
      <c r="C45" s="12">
        <v>29.0</v>
      </c>
      <c r="D45" s="10" t="s">
        <v>44</v>
      </c>
      <c r="E45" s="10">
        <v>2025.0</v>
      </c>
      <c r="F45" s="10" t="s">
        <v>23</v>
      </c>
      <c r="G45" s="13"/>
      <c r="H45" s="13"/>
      <c r="I45" s="14">
        <f>IFERROR(_xlfn.FORECAST.LINEAR('BD_LeiturasHidrômetro_PRJ01'!$A45,G:G,A:A),"0000")</f>
        <v>6136.98594</v>
      </c>
      <c r="J45" s="14">
        <f>IF('BD_LeiturasHidrômetro_PRJ01'!$G45&amp;'BD_LeiturasHidrômetro_PRJ01'!$H45="",'BD_LeiturasHidrômetro_PRJ01'!$I45,'BD_LeiturasHidrômetro_PRJ01'!$G45&amp;'BD_LeiturasHidrômetro_PRJ01'!$H45)</f>
        <v>6136.98594</v>
      </c>
      <c r="K45" s="14">
        <f t="shared" si="1"/>
        <v>6121.903339</v>
      </c>
      <c r="L45" s="15"/>
      <c r="M45" s="15"/>
      <c r="N45" s="17">
        <f t="shared" si="2"/>
        <v>15.08260105</v>
      </c>
      <c r="O45" s="15" t="s">
        <v>21</v>
      </c>
      <c r="R45" s="18"/>
      <c r="S45" s="19"/>
    </row>
    <row r="46" ht="15.75" customHeight="1">
      <c r="A46" s="10">
        <v>66.0</v>
      </c>
      <c r="B46" s="11" t="s">
        <v>73</v>
      </c>
      <c r="C46" s="12">
        <v>30.0</v>
      </c>
      <c r="D46" s="10" t="s">
        <v>44</v>
      </c>
      <c r="E46" s="10">
        <v>2025.0</v>
      </c>
      <c r="F46" s="10" t="s">
        <v>26</v>
      </c>
      <c r="G46" s="13"/>
      <c r="H46" s="13"/>
      <c r="I46" s="14">
        <f>IFERROR(_xlfn.FORECAST.LINEAR('BD_LeiturasHidrômetro_PRJ01'!$A46,G:G,A:A),"0000")</f>
        <v>6152.068541</v>
      </c>
      <c r="J46" s="14">
        <f>IF('BD_LeiturasHidrômetro_PRJ01'!$G46&amp;'BD_LeiturasHidrômetro_PRJ01'!$H46="",'BD_LeiturasHidrômetro_PRJ01'!$I46,'BD_LeiturasHidrômetro_PRJ01'!$G46&amp;'BD_LeiturasHidrômetro_PRJ01'!$H46)</f>
        <v>6152.068541</v>
      </c>
      <c r="K46" s="14">
        <f t="shared" si="1"/>
        <v>6136.98594</v>
      </c>
      <c r="L46" s="15"/>
      <c r="M46" s="15"/>
      <c r="N46" s="17">
        <f t="shared" si="2"/>
        <v>15.08260105</v>
      </c>
      <c r="O46" s="15" t="s">
        <v>21</v>
      </c>
      <c r="R46" s="18"/>
      <c r="S46" s="19"/>
    </row>
    <row r="47" ht="15.75" customHeight="1">
      <c r="A47" s="10">
        <v>67.0</v>
      </c>
      <c r="B47" s="11" t="s">
        <v>74</v>
      </c>
      <c r="C47" s="12">
        <v>31.0</v>
      </c>
      <c r="D47" s="10" t="s">
        <v>44</v>
      </c>
      <c r="E47" s="10">
        <v>2025.0</v>
      </c>
      <c r="F47" s="10" t="s">
        <v>28</v>
      </c>
      <c r="G47" s="13"/>
      <c r="H47" s="13"/>
      <c r="I47" s="14">
        <f>IFERROR(_xlfn.FORECAST.LINEAR('BD_LeiturasHidrômetro_PRJ01'!$A47,G:G,A:A),"0000")</f>
        <v>6167.151142</v>
      </c>
      <c r="J47" s="14">
        <f>IF('BD_LeiturasHidrômetro_PRJ01'!$G47&amp;'BD_LeiturasHidrômetro_PRJ01'!$H47="",'BD_LeiturasHidrômetro_PRJ01'!$I47,'BD_LeiturasHidrômetro_PRJ01'!$G47&amp;'BD_LeiturasHidrômetro_PRJ01'!$H47)</f>
        <v>6167.151142</v>
      </c>
      <c r="K47" s="14">
        <f t="shared" si="1"/>
        <v>6152.068541</v>
      </c>
      <c r="L47" s="15"/>
      <c r="M47" s="15"/>
      <c r="N47" s="17">
        <f t="shared" si="2"/>
        <v>15.08260105</v>
      </c>
      <c r="O47" s="15" t="s">
        <v>21</v>
      </c>
      <c r="R47" s="18"/>
      <c r="S47" s="19"/>
    </row>
    <row r="48" ht="15.75" customHeight="1">
      <c r="A48" s="10">
        <v>68.0</v>
      </c>
      <c r="B48" s="11" t="s">
        <v>75</v>
      </c>
      <c r="C48" s="12">
        <v>1.0</v>
      </c>
      <c r="D48" s="10" t="s">
        <v>76</v>
      </c>
      <c r="E48" s="10">
        <v>2025.0</v>
      </c>
      <c r="F48" s="10" t="s">
        <v>30</v>
      </c>
      <c r="G48" s="13"/>
      <c r="H48" s="13"/>
      <c r="I48" s="14">
        <f>IFERROR(_xlfn.FORECAST.LINEAR('BD_LeiturasHidrômetro_PRJ01'!$A48,G:G,A:A),"0000")</f>
        <v>6182.233743</v>
      </c>
      <c r="J48" s="14">
        <f>IF('BD_LeiturasHidrômetro_PRJ01'!$G48&amp;'BD_LeiturasHidrômetro_PRJ01'!$H48="",'BD_LeiturasHidrômetro_PRJ01'!$I48,'BD_LeiturasHidrômetro_PRJ01'!$G48&amp;'BD_LeiturasHidrômetro_PRJ01'!$H48)</f>
        <v>6182.233743</v>
      </c>
      <c r="K48" s="14">
        <f t="shared" si="1"/>
        <v>6167.151142</v>
      </c>
      <c r="L48" s="15"/>
      <c r="M48" s="15"/>
      <c r="N48" s="17">
        <f t="shared" si="2"/>
        <v>15.08260105</v>
      </c>
      <c r="O48" s="15" t="s">
        <v>21</v>
      </c>
      <c r="R48" s="18"/>
      <c r="S48" s="19"/>
    </row>
    <row r="49" ht="15.75" customHeight="1">
      <c r="A49" s="10">
        <v>69.0</v>
      </c>
      <c r="B49" s="11" t="s">
        <v>77</v>
      </c>
      <c r="C49" s="12">
        <v>2.0</v>
      </c>
      <c r="D49" s="10" t="s">
        <v>76</v>
      </c>
      <c r="E49" s="10">
        <v>2025.0</v>
      </c>
      <c r="F49" s="10" t="s">
        <v>32</v>
      </c>
      <c r="G49" s="13"/>
      <c r="H49" s="13"/>
      <c r="I49" s="14">
        <f>IFERROR(_xlfn.FORECAST.LINEAR('BD_LeiturasHidrômetro_PRJ01'!$A49,G:G,A:A),"0000")</f>
        <v>6197.316344</v>
      </c>
      <c r="J49" s="14">
        <f>IF('BD_LeiturasHidrômetro_PRJ01'!$G49&amp;'BD_LeiturasHidrômetro_PRJ01'!$H49="",'BD_LeiturasHidrômetro_PRJ01'!$I49,'BD_LeiturasHidrômetro_PRJ01'!$G49&amp;'BD_LeiturasHidrômetro_PRJ01'!$H49)</f>
        <v>6197.316344</v>
      </c>
      <c r="K49" s="14">
        <f t="shared" si="1"/>
        <v>6182.233743</v>
      </c>
      <c r="L49" s="15"/>
      <c r="M49" s="15"/>
      <c r="N49" s="17">
        <f t="shared" si="2"/>
        <v>15.08260105</v>
      </c>
      <c r="O49" s="15" t="s">
        <v>21</v>
      </c>
      <c r="R49" s="18"/>
      <c r="S49" s="19"/>
    </row>
    <row r="50" ht="15.75" customHeight="1">
      <c r="A50" s="10">
        <v>70.0</v>
      </c>
      <c r="B50" s="11" t="s">
        <v>78</v>
      </c>
      <c r="C50" s="12">
        <v>3.0</v>
      </c>
      <c r="D50" s="10" t="s">
        <v>76</v>
      </c>
      <c r="E50" s="10">
        <v>2025.0</v>
      </c>
      <c r="F50" s="10" t="s">
        <v>34</v>
      </c>
      <c r="G50" s="13"/>
      <c r="H50" s="13"/>
      <c r="I50" s="14">
        <f>IFERROR(_xlfn.FORECAST.LINEAR('BD_LeiturasHidrômetro_PRJ01'!$A50,G:G,A:A),"0000")</f>
        <v>6212.398946</v>
      </c>
      <c r="J50" s="14">
        <f>IF('BD_LeiturasHidrômetro_PRJ01'!$G50&amp;'BD_LeiturasHidrômetro_PRJ01'!$H50="",'BD_LeiturasHidrômetro_PRJ01'!$I50,'BD_LeiturasHidrômetro_PRJ01'!$G50&amp;'BD_LeiturasHidrômetro_PRJ01'!$H50)</f>
        <v>6212.398946</v>
      </c>
      <c r="K50" s="14">
        <f t="shared" si="1"/>
        <v>6197.316344</v>
      </c>
      <c r="L50" s="15"/>
      <c r="M50" s="15"/>
      <c r="N50" s="17">
        <f t="shared" si="2"/>
        <v>15.08260105</v>
      </c>
      <c r="O50" s="15" t="s">
        <v>21</v>
      </c>
      <c r="R50" s="18"/>
      <c r="S50" s="19"/>
    </row>
    <row r="51" ht="15.75" customHeight="1">
      <c r="A51" s="10">
        <v>71.0</v>
      </c>
      <c r="B51" s="11" t="s">
        <v>79</v>
      </c>
      <c r="C51" s="12">
        <v>4.0</v>
      </c>
      <c r="D51" s="10" t="s">
        <v>76</v>
      </c>
      <c r="E51" s="10">
        <v>2025.0</v>
      </c>
      <c r="F51" s="10" t="s">
        <v>19</v>
      </c>
      <c r="G51" s="13"/>
      <c r="H51" s="13"/>
      <c r="I51" s="14">
        <f>IFERROR(_xlfn.FORECAST.LINEAR('BD_LeiturasHidrômetro_PRJ01'!$A51,G:G,A:A),"0000")</f>
        <v>6227.481547</v>
      </c>
      <c r="J51" s="14">
        <f>IF('BD_LeiturasHidrômetro_PRJ01'!$G51&amp;'BD_LeiturasHidrômetro_PRJ01'!$H51="",'BD_LeiturasHidrômetro_PRJ01'!$I51,'BD_LeiturasHidrômetro_PRJ01'!$G51&amp;'BD_LeiturasHidrômetro_PRJ01'!$H51)</f>
        <v>6227.481547</v>
      </c>
      <c r="K51" s="14">
        <f t="shared" si="1"/>
        <v>6212.398946</v>
      </c>
      <c r="L51" s="15"/>
      <c r="M51" s="15"/>
      <c r="N51" s="17">
        <f t="shared" si="2"/>
        <v>15.08260105</v>
      </c>
      <c r="O51" s="15" t="s">
        <v>21</v>
      </c>
      <c r="R51" s="18"/>
      <c r="S51" s="19"/>
    </row>
    <row r="52" ht="15.75" customHeight="1">
      <c r="A52" s="10">
        <v>72.0</v>
      </c>
      <c r="B52" s="11" t="s">
        <v>80</v>
      </c>
      <c r="C52" s="12">
        <v>5.0</v>
      </c>
      <c r="D52" s="10" t="s">
        <v>76</v>
      </c>
      <c r="E52" s="10">
        <v>2025.0</v>
      </c>
      <c r="F52" s="10" t="s">
        <v>23</v>
      </c>
      <c r="G52" s="13"/>
      <c r="H52" s="13"/>
      <c r="I52" s="14">
        <f>IFERROR(_xlfn.FORECAST.LINEAR('BD_LeiturasHidrômetro_PRJ01'!$A52,G:G,A:A),"0000")</f>
        <v>6242.564148</v>
      </c>
      <c r="J52" s="14">
        <f>IF('BD_LeiturasHidrômetro_PRJ01'!$G52&amp;'BD_LeiturasHidrômetro_PRJ01'!$H52="",'BD_LeiturasHidrômetro_PRJ01'!$I52,'BD_LeiturasHidrômetro_PRJ01'!$G52&amp;'BD_LeiturasHidrômetro_PRJ01'!$H52)</f>
        <v>6242.564148</v>
      </c>
      <c r="K52" s="14">
        <f t="shared" si="1"/>
        <v>6227.481547</v>
      </c>
      <c r="L52" s="15"/>
      <c r="M52" s="15"/>
      <c r="N52" s="17">
        <f t="shared" si="2"/>
        <v>15.08260105</v>
      </c>
      <c r="O52" s="15" t="s">
        <v>21</v>
      </c>
      <c r="R52" s="18"/>
      <c r="S52" s="19"/>
    </row>
    <row r="53" ht="15.75" customHeight="1">
      <c r="A53" s="10">
        <v>73.0</v>
      </c>
      <c r="B53" s="11" t="s">
        <v>81</v>
      </c>
      <c r="C53" s="12">
        <v>6.0</v>
      </c>
      <c r="D53" s="10" t="s">
        <v>76</v>
      </c>
      <c r="E53" s="10">
        <v>2025.0</v>
      </c>
      <c r="F53" s="10" t="s">
        <v>26</v>
      </c>
      <c r="G53" s="13"/>
      <c r="H53" s="13"/>
      <c r="I53" s="14">
        <f>IFERROR(_xlfn.FORECAST.LINEAR('BD_LeiturasHidrômetro_PRJ01'!$A53,G:G,A:A),"0000")</f>
        <v>6257.646749</v>
      </c>
      <c r="J53" s="14">
        <f>IF('BD_LeiturasHidrômetro_PRJ01'!$G53&amp;'BD_LeiturasHidrômetro_PRJ01'!$H53="",'BD_LeiturasHidrômetro_PRJ01'!$I53,'BD_LeiturasHidrômetro_PRJ01'!$G53&amp;'BD_LeiturasHidrômetro_PRJ01'!$H53)</f>
        <v>6257.646749</v>
      </c>
      <c r="K53" s="14">
        <f t="shared" si="1"/>
        <v>6242.564148</v>
      </c>
      <c r="L53" s="15"/>
      <c r="M53" s="15"/>
      <c r="N53" s="17">
        <f t="shared" si="2"/>
        <v>15.08260105</v>
      </c>
      <c r="O53" s="15" t="s">
        <v>21</v>
      </c>
      <c r="R53" s="18"/>
      <c r="S53" s="19"/>
    </row>
    <row r="54" ht="15.75" customHeight="1">
      <c r="A54" s="10">
        <v>74.0</v>
      </c>
      <c r="B54" s="11" t="s">
        <v>82</v>
      </c>
      <c r="C54" s="12">
        <v>7.0</v>
      </c>
      <c r="D54" s="10" t="s">
        <v>76</v>
      </c>
      <c r="E54" s="10">
        <v>2025.0</v>
      </c>
      <c r="F54" s="10" t="s">
        <v>28</v>
      </c>
      <c r="G54" s="13"/>
      <c r="H54" s="13"/>
      <c r="I54" s="14">
        <f>IFERROR(_xlfn.FORECAST.LINEAR('BD_LeiturasHidrômetro_PRJ01'!$A54,G:G,A:A),"0000")</f>
        <v>6272.72935</v>
      </c>
      <c r="J54" s="14">
        <f>IF('BD_LeiturasHidrômetro_PRJ01'!$G54&amp;'BD_LeiturasHidrômetro_PRJ01'!$H54="",'BD_LeiturasHidrômetro_PRJ01'!$I54,'BD_LeiturasHidrômetro_PRJ01'!$G54&amp;'BD_LeiturasHidrômetro_PRJ01'!$H54)</f>
        <v>6272.72935</v>
      </c>
      <c r="K54" s="14">
        <f t="shared" si="1"/>
        <v>6257.646749</v>
      </c>
      <c r="L54" s="15"/>
      <c r="M54" s="15"/>
      <c r="N54" s="17">
        <f t="shared" si="2"/>
        <v>15.08260105</v>
      </c>
      <c r="O54" s="15" t="s">
        <v>21</v>
      </c>
      <c r="R54" s="18"/>
      <c r="S54" s="19"/>
    </row>
    <row r="55" ht="15.75" customHeight="1">
      <c r="A55" s="10">
        <v>75.0</v>
      </c>
      <c r="B55" s="11" t="s">
        <v>83</v>
      </c>
      <c r="C55" s="12">
        <v>8.0</v>
      </c>
      <c r="D55" s="10" t="s">
        <v>76</v>
      </c>
      <c r="E55" s="10">
        <v>2025.0</v>
      </c>
      <c r="F55" s="10" t="s">
        <v>30</v>
      </c>
      <c r="G55" s="13"/>
      <c r="H55" s="13"/>
      <c r="I55" s="14">
        <f>IFERROR(_xlfn.FORECAST.LINEAR('BD_LeiturasHidrômetro_PRJ01'!$A55,G:G,A:A),"0000")</f>
        <v>6287.811951</v>
      </c>
      <c r="J55" s="14">
        <f>IF('BD_LeiturasHidrômetro_PRJ01'!$G55&amp;'BD_LeiturasHidrômetro_PRJ01'!$H55="",'BD_LeiturasHidrômetro_PRJ01'!$I55,'BD_LeiturasHidrômetro_PRJ01'!$G55&amp;'BD_LeiturasHidrômetro_PRJ01'!$H55)</f>
        <v>6287.811951</v>
      </c>
      <c r="K55" s="14">
        <f t="shared" si="1"/>
        <v>6272.72935</v>
      </c>
      <c r="L55" s="15"/>
      <c r="M55" s="15"/>
      <c r="N55" s="17">
        <f t="shared" si="2"/>
        <v>15.08260105</v>
      </c>
      <c r="O55" s="15" t="s">
        <v>21</v>
      </c>
      <c r="R55" s="18"/>
      <c r="S55" s="19"/>
    </row>
    <row r="56" ht="15.75" customHeight="1">
      <c r="A56" s="10">
        <v>76.0</v>
      </c>
      <c r="B56" s="11" t="s">
        <v>84</v>
      </c>
      <c r="C56" s="12">
        <v>9.0</v>
      </c>
      <c r="D56" s="10" t="s">
        <v>76</v>
      </c>
      <c r="E56" s="10">
        <v>2025.0</v>
      </c>
      <c r="F56" s="10" t="s">
        <v>32</v>
      </c>
      <c r="G56" s="13"/>
      <c r="H56" s="13"/>
      <c r="I56" s="14">
        <f>IFERROR(_xlfn.FORECAST.LINEAR('BD_LeiturasHidrômetro_PRJ01'!$A56,G:G,A:A),"0000")</f>
        <v>6302.894552</v>
      </c>
      <c r="J56" s="14">
        <f>IF('BD_LeiturasHidrômetro_PRJ01'!$G56&amp;'BD_LeiturasHidrômetro_PRJ01'!$H56="",'BD_LeiturasHidrômetro_PRJ01'!$I56,'BD_LeiturasHidrômetro_PRJ01'!$G56&amp;'BD_LeiturasHidrômetro_PRJ01'!$H56)</f>
        <v>6302.894552</v>
      </c>
      <c r="K56" s="14">
        <f t="shared" si="1"/>
        <v>6287.811951</v>
      </c>
      <c r="L56" s="15"/>
      <c r="M56" s="15"/>
      <c r="N56" s="17">
        <f t="shared" si="2"/>
        <v>15.08260105</v>
      </c>
      <c r="O56" s="15" t="s">
        <v>21</v>
      </c>
      <c r="R56" s="18"/>
      <c r="S56" s="19"/>
    </row>
    <row r="57" ht="15.75" customHeight="1">
      <c r="A57" s="10">
        <v>77.0</v>
      </c>
      <c r="B57" s="11" t="s">
        <v>85</v>
      </c>
      <c r="C57" s="12">
        <v>10.0</v>
      </c>
      <c r="D57" s="10" t="s">
        <v>76</v>
      </c>
      <c r="E57" s="10">
        <v>2025.0</v>
      </c>
      <c r="F57" s="10" t="s">
        <v>34</v>
      </c>
      <c r="G57" s="13"/>
      <c r="H57" s="13"/>
      <c r="I57" s="14">
        <f>IFERROR(_xlfn.FORECAST.LINEAR('BD_LeiturasHidrômetro_PRJ01'!$A57,G:G,A:A),"0000")</f>
        <v>6317.977153</v>
      </c>
      <c r="J57" s="14">
        <f>IF('BD_LeiturasHidrômetro_PRJ01'!$G57&amp;'BD_LeiturasHidrômetro_PRJ01'!$H57="",'BD_LeiturasHidrômetro_PRJ01'!$I57,'BD_LeiturasHidrômetro_PRJ01'!$G57&amp;'BD_LeiturasHidrômetro_PRJ01'!$H57)</f>
        <v>6317.977153</v>
      </c>
      <c r="K57" s="14">
        <f t="shared" si="1"/>
        <v>6302.894552</v>
      </c>
      <c r="L57" s="15"/>
      <c r="M57" s="15"/>
      <c r="N57" s="17">
        <f t="shared" si="2"/>
        <v>15.08260105</v>
      </c>
      <c r="O57" s="15" t="s">
        <v>21</v>
      </c>
      <c r="R57" s="18"/>
      <c r="S57" s="19"/>
    </row>
    <row r="58" ht="15.75" customHeight="1">
      <c r="A58" s="10">
        <v>78.0</v>
      </c>
      <c r="B58" s="11" t="s">
        <v>86</v>
      </c>
      <c r="C58" s="12">
        <v>11.0</v>
      </c>
      <c r="D58" s="10" t="s">
        <v>76</v>
      </c>
      <c r="E58" s="10">
        <v>2025.0</v>
      </c>
      <c r="F58" s="10" t="s">
        <v>19</v>
      </c>
      <c r="G58" s="13"/>
      <c r="H58" s="13"/>
      <c r="I58" s="14">
        <f>IFERROR(_xlfn.FORECAST.LINEAR('BD_LeiturasHidrômetro_PRJ01'!$A58,G:G,A:A),"0000")</f>
        <v>6333.059754</v>
      </c>
      <c r="J58" s="14">
        <f>IF('BD_LeiturasHidrômetro_PRJ01'!$G58&amp;'BD_LeiturasHidrômetro_PRJ01'!$H58="",'BD_LeiturasHidrômetro_PRJ01'!$I58,'BD_LeiturasHidrômetro_PRJ01'!$G58&amp;'BD_LeiturasHidrômetro_PRJ01'!$H58)</f>
        <v>6333.059754</v>
      </c>
      <c r="K58" s="14">
        <f t="shared" si="1"/>
        <v>6317.977153</v>
      </c>
      <c r="L58" s="15"/>
      <c r="M58" s="15"/>
      <c r="N58" s="17">
        <f t="shared" si="2"/>
        <v>15.08260105</v>
      </c>
      <c r="O58" s="15" t="s">
        <v>21</v>
      </c>
      <c r="R58" s="18"/>
      <c r="S58" s="19"/>
    </row>
    <row r="59" ht="15.75" customHeight="1">
      <c r="A59" s="10">
        <v>79.0</v>
      </c>
      <c r="B59" s="11" t="s">
        <v>87</v>
      </c>
      <c r="C59" s="12">
        <v>12.0</v>
      </c>
      <c r="D59" s="10" t="s">
        <v>76</v>
      </c>
      <c r="E59" s="10">
        <v>2025.0</v>
      </c>
      <c r="F59" s="10" t="s">
        <v>23</v>
      </c>
      <c r="G59" s="13"/>
      <c r="H59" s="13"/>
      <c r="I59" s="14">
        <f>IFERROR(_xlfn.FORECAST.LINEAR('BD_LeiturasHidrômetro_PRJ01'!$A59,G:G,A:A),"0000")</f>
        <v>6348.142355</v>
      </c>
      <c r="J59" s="14">
        <f>IF('BD_LeiturasHidrômetro_PRJ01'!$G59&amp;'BD_LeiturasHidrômetro_PRJ01'!$H59="",'BD_LeiturasHidrômetro_PRJ01'!$I59,'BD_LeiturasHidrômetro_PRJ01'!$G59&amp;'BD_LeiturasHidrômetro_PRJ01'!$H59)</f>
        <v>6348.142355</v>
      </c>
      <c r="K59" s="14">
        <f t="shared" si="1"/>
        <v>6333.059754</v>
      </c>
      <c r="L59" s="15"/>
      <c r="M59" s="15"/>
      <c r="N59" s="17">
        <f t="shared" si="2"/>
        <v>15.08260105</v>
      </c>
      <c r="O59" s="15" t="s">
        <v>21</v>
      </c>
      <c r="R59" s="18"/>
      <c r="S59" s="19"/>
    </row>
    <row r="60" ht="15.75" customHeight="1">
      <c r="A60" s="10">
        <v>80.0</v>
      </c>
      <c r="B60" s="11" t="s">
        <v>88</v>
      </c>
      <c r="C60" s="12">
        <v>13.0</v>
      </c>
      <c r="D60" s="10" t="s">
        <v>76</v>
      </c>
      <c r="E60" s="10">
        <v>2025.0</v>
      </c>
      <c r="F60" s="10" t="s">
        <v>26</v>
      </c>
      <c r="G60" s="13"/>
      <c r="H60" s="13"/>
      <c r="I60" s="14">
        <f>IFERROR(_xlfn.FORECAST.LINEAR('BD_LeiturasHidrômetro_PRJ01'!$A60,G:G,A:A),"0000")</f>
        <v>6363.224956</v>
      </c>
      <c r="J60" s="14">
        <f>IF('BD_LeiturasHidrômetro_PRJ01'!$G60&amp;'BD_LeiturasHidrômetro_PRJ01'!$H60="",'BD_LeiturasHidrômetro_PRJ01'!$I60,'BD_LeiturasHidrômetro_PRJ01'!$G60&amp;'BD_LeiturasHidrômetro_PRJ01'!$H60)</f>
        <v>6363.224956</v>
      </c>
      <c r="K60" s="14">
        <f t="shared" si="1"/>
        <v>6348.142355</v>
      </c>
      <c r="L60" s="15"/>
      <c r="M60" s="15"/>
      <c r="N60" s="17">
        <f t="shared" si="2"/>
        <v>15.08260105</v>
      </c>
      <c r="O60" s="15" t="s">
        <v>21</v>
      </c>
      <c r="R60" s="18"/>
      <c r="S60" s="19"/>
    </row>
    <row r="61" ht="15.75" customHeight="1">
      <c r="A61" s="10">
        <v>81.0</v>
      </c>
      <c r="B61" s="11" t="s">
        <v>89</v>
      </c>
      <c r="C61" s="12">
        <v>14.0</v>
      </c>
      <c r="D61" s="10" t="s">
        <v>76</v>
      </c>
      <c r="E61" s="10">
        <v>2025.0</v>
      </c>
      <c r="F61" s="10" t="s">
        <v>28</v>
      </c>
      <c r="G61" s="13"/>
      <c r="H61" s="13"/>
      <c r="I61" s="14">
        <f>IFERROR(_xlfn.FORECAST.LINEAR('BD_LeiturasHidrômetro_PRJ01'!$A61,G:G,A:A),"0000")</f>
        <v>6378.307557</v>
      </c>
      <c r="J61" s="14">
        <f>IF('BD_LeiturasHidrômetro_PRJ01'!$G61&amp;'BD_LeiturasHidrômetro_PRJ01'!$H61="",'BD_LeiturasHidrômetro_PRJ01'!$I61,'BD_LeiturasHidrômetro_PRJ01'!$G61&amp;'BD_LeiturasHidrômetro_PRJ01'!$H61)</f>
        <v>6378.307557</v>
      </c>
      <c r="K61" s="14">
        <f t="shared" si="1"/>
        <v>6363.224956</v>
      </c>
      <c r="L61" s="15"/>
      <c r="M61" s="15"/>
      <c r="N61" s="17">
        <f t="shared" si="2"/>
        <v>15.08260105</v>
      </c>
      <c r="O61" s="15" t="s">
        <v>21</v>
      </c>
      <c r="R61" s="18"/>
      <c r="S61" s="19"/>
    </row>
    <row r="62" ht="15.75" customHeight="1">
      <c r="A62" s="10">
        <v>82.0</v>
      </c>
      <c r="B62" s="11" t="s">
        <v>90</v>
      </c>
      <c r="C62" s="12">
        <v>15.0</v>
      </c>
      <c r="D62" s="10" t="s">
        <v>76</v>
      </c>
      <c r="E62" s="10">
        <v>2025.0</v>
      </c>
      <c r="F62" s="10" t="s">
        <v>30</v>
      </c>
      <c r="G62" s="13"/>
      <c r="H62" s="13"/>
      <c r="I62" s="14">
        <f>IFERROR(_xlfn.FORECAST.LINEAR('BD_LeiturasHidrômetro_PRJ01'!$A62,G:G,A:A),"0000")</f>
        <v>6393.390158</v>
      </c>
      <c r="J62" s="14">
        <f>IF('BD_LeiturasHidrômetro_PRJ01'!$G62&amp;'BD_LeiturasHidrômetro_PRJ01'!$H62="",'BD_LeiturasHidrômetro_PRJ01'!$I62,'BD_LeiturasHidrômetro_PRJ01'!$G62&amp;'BD_LeiturasHidrômetro_PRJ01'!$H62)</f>
        <v>6393.390158</v>
      </c>
      <c r="K62" s="14">
        <f t="shared" si="1"/>
        <v>6378.307557</v>
      </c>
      <c r="L62" s="15"/>
      <c r="M62" s="15"/>
      <c r="N62" s="17">
        <f t="shared" si="2"/>
        <v>15.08260105</v>
      </c>
      <c r="O62" s="15" t="s">
        <v>21</v>
      </c>
      <c r="R62" s="18"/>
      <c r="S62" s="19"/>
    </row>
    <row r="63" ht="15.75" customHeight="1">
      <c r="A63" s="10">
        <v>83.0</v>
      </c>
      <c r="B63" s="11" t="s">
        <v>91</v>
      </c>
      <c r="C63" s="12">
        <v>16.0</v>
      </c>
      <c r="D63" s="10" t="s">
        <v>76</v>
      </c>
      <c r="E63" s="10">
        <v>2025.0</v>
      </c>
      <c r="F63" s="10" t="s">
        <v>32</v>
      </c>
      <c r="G63" s="13"/>
      <c r="H63" s="13"/>
      <c r="I63" s="14">
        <f>IFERROR(_xlfn.FORECAST.LINEAR('BD_LeiturasHidrômetro_PRJ01'!$A63,G:G,A:A),"0000")</f>
        <v>6408.472759</v>
      </c>
      <c r="J63" s="14">
        <f>IF('BD_LeiturasHidrômetro_PRJ01'!$G63&amp;'BD_LeiturasHidrômetro_PRJ01'!$H63="",'BD_LeiturasHidrômetro_PRJ01'!$I63,'BD_LeiturasHidrômetro_PRJ01'!$G63&amp;'BD_LeiturasHidrômetro_PRJ01'!$H63)</f>
        <v>6408.472759</v>
      </c>
      <c r="K63" s="14">
        <f t="shared" si="1"/>
        <v>6393.390158</v>
      </c>
      <c r="L63" s="15"/>
      <c r="M63" s="15"/>
      <c r="N63" s="17">
        <f t="shared" si="2"/>
        <v>15.08260105</v>
      </c>
      <c r="O63" s="15" t="s">
        <v>21</v>
      </c>
      <c r="R63" s="18"/>
      <c r="S63" s="19"/>
    </row>
    <row r="64" ht="15.75" customHeight="1">
      <c r="A64" s="10">
        <v>84.0</v>
      </c>
      <c r="B64" s="11" t="s">
        <v>92</v>
      </c>
      <c r="C64" s="12">
        <v>17.0</v>
      </c>
      <c r="D64" s="10" t="s">
        <v>76</v>
      </c>
      <c r="E64" s="10">
        <v>2025.0</v>
      </c>
      <c r="F64" s="10" t="s">
        <v>34</v>
      </c>
      <c r="G64" s="13"/>
      <c r="H64" s="13"/>
      <c r="I64" s="14">
        <f>IFERROR(_xlfn.FORECAST.LINEAR('BD_LeiturasHidrômetro_PRJ01'!$A64,G:G,A:A),"0000")</f>
        <v>6423.55536</v>
      </c>
      <c r="J64" s="14">
        <f>IF('BD_LeiturasHidrômetro_PRJ01'!$G64&amp;'BD_LeiturasHidrômetro_PRJ01'!$H64="",'BD_LeiturasHidrômetro_PRJ01'!$I64,'BD_LeiturasHidrômetro_PRJ01'!$G64&amp;'BD_LeiturasHidrômetro_PRJ01'!$H64)</f>
        <v>6423.55536</v>
      </c>
      <c r="K64" s="14">
        <f t="shared" si="1"/>
        <v>6408.472759</v>
      </c>
      <c r="L64" s="15"/>
      <c r="M64" s="15"/>
      <c r="N64" s="17">
        <f t="shared" si="2"/>
        <v>15.08260105</v>
      </c>
      <c r="O64" s="15" t="s">
        <v>21</v>
      </c>
      <c r="R64" s="18"/>
      <c r="S64" s="19"/>
    </row>
    <row r="65" ht="15.75" customHeight="1">
      <c r="A65" s="10">
        <v>85.0</v>
      </c>
      <c r="B65" s="11" t="s">
        <v>93</v>
      </c>
      <c r="C65" s="12">
        <v>18.0</v>
      </c>
      <c r="D65" s="10" t="s">
        <v>76</v>
      </c>
      <c r="E65" s="10">
        <v>2025.0</v>
      </c>
      <c r="F65" s="10" t="s">
        <v>19</v>
      </c>
      <c r="G65" s="13"/>
      <c r="H65" s="13"/>
      <c r="I65" s="14">
        <f>IFERROR(_xlfn.FORECAST.LINEAR('BD_LeiturasHidrômetro_PRJ01'!$A65,G:G,A:A),"0000")</f>
        <v>6438.637961</v>
      </c>
      <c r="J65" s="14">
        <f>IF('BD_LeiturasHidrômetro_PRJ01'!$G65&amp;'BD_LeiturasHidrômetro_PRJ01'!$H65="",'BD_LeiturasHidrômetro_PRJ01'!$I65,'BD_LeiturasHidrômetro_PRJ01'!$G65&amp;'BD_LeiturasHidrômetro_PRJ01'!$H65)</f>
        <v>6438.637961</v>
      </c>
      <c r="K65" s="14">
        <f t="shared" si="1"/>
        <v>6423.55536</v>
      </c>
      <c r="L65" s="15"/>
      <c r="M65" s="15"/>
      <c r="N65" s="17">
        <f t="shared" si="2"/>
        <v>15.08260105</v>
      </c>
      <c r="O65" s="15" t="s">
        <v>21</v>
      </c>
      <c r="R65" s="18"/>
      <c r="S65" s="19"/>
    </row>
    <row r="66" ht="15.75" customHeight="1">
      <c r="A66" s="10">
        <v>86.0</v>
      </c>
      <c r="B66" s="11" t="s">
        <v>94</v>
      </c>
      <c r="C66" s="12">
        <v>19.0</v>
      </c>
      <c r="D66" s="10" t="s">
        <v>76</v>
      </c>
      <c r="E66" s="10">
        <v>2025.0</v>
      </c>
      <c r="F66" s="10" t="s">
        <v>23</v>
      </c>
      <c r="G66" s="13"/>
      <c r="H66" s="13"/>
      <c r="I66" s="14">
        <f>IFERROR(_xlfn.FORECAST.LINEAR('BD_LeiturasHidrômetro_PRJ01'!$A66,G:G,A:A),"0000")</f>
        <v>6453.720562</v>
      </c>
      <c r="J66" s="14">
        <f>IF('BD_LeiturasHidrômetro_PRJ01'!$G66&amp;'BD_LeiturasHidrômetro_PRJ01'!$H66="",'BD_LeiturasHidrômetro_PRJ01'!$I66,'BD_LeiturasHidrômetro_PRJ01'!$G66&amp;'BD_LeiturasHidrômetro_PRJ01'!$H66)</f>
        <v>6453.720562</v>
      </c>
      <c r="K66" s="14">
        <f t="shared" si="1"/>
        <v>6438.637961</v>
      </c>
      <c r="L66" s="15"/>
      <c r="M66" s="15"/>
      <c r="N66" s="17">
        <f t="shared" si="2"/>
        <v>15.08260105</v>
      </c>
      <c r="O66" s="15" t="s">
        <v>21</v>
      </c>
      <c r="R66" s="18"/>
      <c r="S66" s="19"/>
    </row>
    <row r="67" ht="15.75" customHeight="1">
      <c r="A67" s="10">
        <v>87.0</v>
      </c>
      <c r="B67" s="11" t="s">
        <v>95</v>
      </c>
      <c r="C67" s="12">
        <v>20.0</v>
      </c>
      <c r="D67" s="10" t="s">
        <v>76</v>
      </c>
      <c r="E67" s="10">
        <v>2025.0</v>
      </c>
      <c r="F67" s="10" t="s">
        <v>26</v>
      </c>
      <c r="G67" s="13"/>
      <c r="H67" s="13"/>
      <c r="I67" s="14">
        <f>IFERROR(_xlfn.FORECAST.LINEAR('BD_LeiturasHidrômetro_PRJ01'!$A67,G:G,A:A),"0000")</f>
        <v>6468.803163</v>
      </c>
      <c r="J67" s="14">
        <f>IF('BD_LeiturasHidrômetro_PRJ01'!$G67&amp;'BD_LeiturasHidrômetro_PRJ01'!$H67="",'BD_LeiturasHidrômetro_PRJ01'!$I67,'BD_LeiturasHidrômetro_PRJ01'!$G67&amp;'BD_LeiturasHidrômetro_PRJ01'!$H67)</f>
        <v>6468.803163</v>
      </c>
      <c r="K67" s="14">
        <f t="shared" si="1"/>
        <v>6453.720562</v>
      </c>
      <c r="L67" s="15"/>
      <c r="M67" s="15"/>
      <c r="N67" s="17">
        <f t="shared" si="2"/>
        <v>15.08260105</v>
      </c>
      <c r="O67" s="15" t="s">
        <v>21</v>
      </c>
      <c r="R67" s="18"/>
      <c r="S67" s="19"/>
    </row>
    <row r="68" ht="15.75" customHeight="1">
      <c r="A68" s="10">
        <v>88.0</v>
      </c>
      <c r="B68" s="11" t="s">
        <v>96</v>
      </c>
      <c r="C68" s="12">
        <v>21.0</v>
      </c>
      <c r="D68" s="10" t="s">
        <v>76</v>
      </c>
      <c r="E68" s="10">
        <v>2025.0</v>
      </c>
      <c r="F68" s="10" t="s">
        <v>28</v>
      </c>
      <c r="G68" s="13"/>
      <c r="H68" s="13"/>
      <c r="I68" s="14">
        <f>IFERROR(_xlfn.FORECAST.LINEAR('BD_LeiturasHidrômetro_PRJ01'!$A68,G:G,A:A),"0000")</f>
        <v>6483.885764</v>
      </c>
      <c r="J68" s="14">
        <f>IF('BD_LeiturasHidrômetro_PRJ01'!$G68&amp;'BD_LeiturasHidrômetro_PRJ01'!$H68="",'BD_LeiturasHidrômetro_PRJ01'!$I68,'BD_LeiturasHidrômetro_PRJ01'!$G68&amp;'BD_LeiturasHidrômetro_PRJ01'!$H68)</f>
        <v>6483.885764</v>
      </c>
      <c r="K68" s="14">
        <f t="shared" si="1"/>
        <v>6468.803163</v>
      </c>
      <c r="L68" s="15"/>
      <c r="M68" s="15"/>
      <c r="N68" s="17">
        <f t="shared" si="2"/>
        <v>15.08260105</v>
      </c>
      <c r="O68" s="15" t="s">
        <v>21</v>
      </c>
      <c r="R68" s="18"/>
      <c r="S68" s="19"/>
    </row>
    <row r="69" ht="15.75" customHeight="1">
      <c r="A69" s="10">
        <v>89.0</v>
      </c>
      <c r="B69" s="11" t="s">
        <v>97</v>
      </c>
      <c r="C69" s="12">
        <v>22.0</v>
      </c>
      <c r="D69" s="10" t="s">
        <v>76</v>
      </c>
      <c r="E69" s="10">
        <v>2025.0</v>
      </c>
      <c r="F69" s="10" t="s">
        <v>30</v>
      </c>
      <c r="G69" s="13"/>
      <c r="H69" s="13"/>
      <c r="I69" s="14">
        <f>IFERROR(_xlfn.FORECAST.LINEAR('BD_LeiturasHidrômetro_PRJ01'!$A69,G:G,A:A),"0000")</f>
        <v>6498.968366</v>
      </c>
      <c r="J69" s="14">
        <f>IF('BD_LeiturasHidrômetro_PRJ01'!$G69&amp;'BD_LeiturasHidrômetro_PRJ01'!$H69="",'BD_LeiturasHidrômetro_PRJ01'!$I69,'BD_LeiturasHidrômetro_PRJ01'!$G69&amp;'BD_LeiturasHidrômetro_PRJ01'!$H69)</f>
        <v>6498.968366</v>
      </c>
      <c r="K69" s="14">
        <f t="shared" si="1"/>
        <v>6483.885764</v>
      </c>
      <c r="L69" s="15"/>
      <c r="M69" s="15"/>
      <c r="N69" s="17">
        <f t="shared" si="2"/>
        <v>15.08260105</v>
      </c>
      <c r="O69" s="15" t="s">
        <v>21</v>
      </c>
      <c r="R69" s="18"/>
      <c r="S69" s="19"/>
    </row>
    <row r="70" ht="15.75" customHeight="1">
      <c r="A70" s="10">
        <v>90.0</v>
      </c>
      <c r="B70" s="11" t="s">
        <v>98</v>
      </c>
      <c r="C70" s="12">
        <v>23.0</v>
      </c>
      <c r="D70" s="10" t="s">
        <v>76</v>
      </c>
      <c r="E70" s="10">
        <v>2025.0</v>
      </c>
      <c r="F70" s="10" t="s">
        <v>32</v>
      </c>
      <c r="G70" s="13"/>
      <c r="H70" s="13"/>
      <c r="I70" s="14">
        <f>IFERROR(_xlfn.FORECAST.LINEAR('BD_LeiturasHidrômetro_PRJ01'!$A70,G:G,A:A),"0000")</f>
        <v>6514.050967</v>
      </c>
      <c r="J70" s="14">
        <f>IF('BD_LeiturasHidrômetro_PRJ01'!$G70&amp;'BD_LeiturasHidrômetro_PRJ01'!$H70="",'BD_LeiturasHidrômetro_PRJ01'!$I70,'BD_LeiturasHidrômetro_PRJ01'!$G70&amp;'BD_LeiturasHidrômetro_PRJ01'!$H70)</f>
        <v>6514.050967</v>
      </c>
      <c r="K70" s="14">
        <f t="shared" si="1"/>
        <v>6498.968366</v>
      </c>
      <c r="L70" s="15"/>
      <c r="M70" s="15"/>
      <c r="N70" s="17">
        <f t="shared" si="2"/>
        <v>15.08260105</v>
      </c>
      <c r="O70" s="15" t="s">
        <v>21</v>
      </c>
      <c r="R70" s="18"/>
      <c r="S70" s="19"/>
    </row>
    <row r="71" ht="15.75" customHeight="1">
      <c r="A71" s="10">
        <v>91.0</v>
      </c>
      <c r="B71" s="11" t="s">
        <v>99</v>
      </c>
      <c r="C71" s="12">
        <v>24.0</v>
      </c>
      <c r="D71" s="10" t="s">
        <v>76</v>
      </c>
      <c r="E71" s="10">
        <v>2025.0</v>
      </c>
      <c r="F71" s="10" t="s">
        <v>34</v>
      </c>
      <c r="G71" s="13"/>
      <c r="H71" s="13"/>
      <c r="I71" s="14">
        <f>IFERROR(_xlfn.FORECAST.LINEAR('BD_LeiturasHidrômetro_PRJ01'!$A71,G:G,A:A),"0000")</f>
        <v>6529.133568</v>
      </c>
      <c r="J71" s="14">
        <f>IF('BD_LeiturasHidrômetro_PRJ01'!$G71&amp;'BD_LeiturasHidrômetro_PRJ01'!$H71="",'BD_LeiturasHidrômetro_PRJ01'!$I71,'BD_LeiturasHidrômetro_PRJ01'!$G71&amp;'BD_LeiturasHidrômetro_PRJ01'!$H71)</f>
        <v>6529.133568</v>
      </c>
      <c r="K71" s="14">
        <f t="shared" si="1"/>
        <v>6514.050967</v>
      </c>
      <c r="L71" s="15"/>
      <c r="M71" s="15"/>
      <c r="N71" s="17">
        <f t="shared" si="2"/>
        <v>15.08260105</v>
      </c>
      <c r="O71" s="15" t="s">
        <v>21</v>
      </c>
      <c r="R71" s="18"/>
      <c r="S71" s="19"/>
    </row>
    <row r="72" ht="15.75" customHeight="1">
      <c r="A72" s="10">
        <v>92.0</v>
      </c>
      <c r="B72" s="11" t="s">
        <v>100</v>
      </c>
      <c r="C72" s="12">
        <v>25.0</v>
      </c>
      <c r="D72" s="10" t="s">
        <v>76</v>
      </c>
      <c r="E72" s="10">
        <v>2025.0</v>
      </c>
      <c r="F72" s="10" t="s">
        <v>19</v>
      </c>
      <c r="G72" s="13"/>
      <c r="H72" s="13"/>
      <c r="I72" s="14">
        <f>IFERROR(_xlfn.FORECAST.LINEAR('BD_LeiturasHidrômetro_PRJ01'!$A72,G:G,A:A),"0000")</f>
        <v>6544.216169</v>
      </c>
      <c r="J72" s="14">
        <f>IF('BD_LeiturasHidrômetro_PRJ01'!$G72&amp;'BD_LeiturasHidrômetro_PRJ01'!$H72="",'BD_LeiturasHidrômetro_PRJ01'!$I72,'BD_LeiturasHidrômetro_PRJ01'!$G72&amp;'BD_LeiturasHidrômetro_PRJ01'!$H72)</f>
        <v>6544.216169</v>
      </c>
      <c r="K72" s="14">
        <f t="shared" si="1"/>
        <v>6529.133568</v>
      </c>
      <c r="L72" s="15"/>
      <c r="M72" s="15"/>
      <c r="N72" s="17">
        <f t="shared" si="2"/>
        <v>15.08260105</v>
      </c>
      <c r="O72" s="15" t="s">
        <v>21</v>
      </c>
      <c r="R72" s="18"/>
      <c r="S72" s="19"/>
    </row>
    <row r="73" ht="15.75" customHeight="1">
      <c r="A73" s="10">
        <v>93.0</v>
      </c>
      <c r="B73" s="11" t="s">
        <v>101</v>
      </c>
      <c r="C73" s="12">
        <v>26.0</v>
      </c>
      <c r="D73" s="10" t="s">
        <v>76</v>
      </c>
      <c r="E73" s="10">
        <v>2025.0</v>
      </c>
      <c r="F73" s="10" t="s">
        <v>23</v>
      </c>
      <c r="G73" s="13"/>
      <c r="H73" s="13"/>
      <c r="I73" s="14">
        <f>IFERROR(_xlfn.FORECAST.LINEAR('BD_LeiturasHidrômetro_PRJ01'!$A73,G:G,A:A),"0000")</f>
        <v>6559.29877</v>
      </c>
      <c r="J73" s="14">
        <f>IF('BD_LeiturasHidrômetro_PRJ01'!$G73&amp;'BD_LeiturasHidrômetro_PRJ01'!$H73="",'BD_LeiturasHidrômetro_PRJ01'!$I73,'BD_LeiturasHidrômetro_PRJ01'!$G73&amp;'BD_LeiturasHidrômetro_PRJ01'!$H73)</f>
        <v>6559.29877</v>
      </c>
      <c r="K73" s="14">
        <f t="shared" si="1"/>
        <v>6544.216169</v>
      </c>
      <c r="L73" s="15"/>
      <c r="M73" s="15"/>
      <c r="N73" s="17">
        <f t="shared" si="2"/>
        <v>15.08260105</v>
      </c>
      <c r="O73" s="15" t="s">
        <v>21</v>
      </c>
      <c r="R73" s="18"/>
      <c r="S73" s="19"/>
    </row>
    <row r="74" ht="15.75" customHeight="1">
      <c r="A74" s="10">
        <v>94.0</v>
      </c>
      <c r="B74" s="11" t="s">
        <v>102</v>
      </c>
      <c r="C74" s="12">
        <v>27.0</v>
      </c>
      <c r="D74" s="10" t="s">
        <v>76</v>
      </c>
      <c r="E74" s="10">
        <v>2025.0</v>
      </c>
      <c r="F74" s="10" t="s">
        <v>26</v>
      </c>
      <c r="G74" s="13"/>
      <c r="H74" s="13"/>
      <c r="I74" s="14">
        <f>IFERROR(_xlfn.FORECAST.LINEAR('BD_LeiturasHidrômetro_PRJ01'!$A74,G:G,A:A),"0000")</f>
        <v>6574.381371</v>
      </c>
      <c r="J74" s="14">
        <f>IF('BD_LeiturasHidrômetro_PRJ01'!$G74&amp;'BD_LeiturasHidrômetro_PRJ01'!$H74="",'BD_LeiturasHidrômetro_PRJ01'!$I74,'BD_LeiturasHidrômetro_PRJ01'!$G74&amp;'BD_LeiturasHidrômetro_PRJ01'!$H74)</f>
        <v>6574.381371</v>
      </c>
      <c r="K74" s="14">
        <f t="shared" si="1"/>
        <v>6559.29877</v>
      </c>
      <c r="L74" s="15"/>
      <c r="M74" s="15"/>
      <c r="N74" s="17">
        <f t="shared" si="2"/>
        <v>15.08260105</v>
      </c>
      <c r="O74" s="15" t="s">
        <v>21</v>
      </c>
      <c r="R74" s="18"/>
      <c r="S74" s="19"/>
    </row>
    <row r="75" ht="15.75" customHeight="1">
      <c r="A75" s="10">
        <v>95.0</v>
      </c>
      <c r="B75" s="11" t="s">
        <v>103</v>
      </c>
      <c r="C75" s="12">
        <v>28.0</v>
      </c>
      <c r="D75" s="10" t="s">
        <v>76</v>
      </c>
      <c r="E75" s="10">
        <v>2025.0</v>
      </c>
      <c r="F75" s="10" t="s">
        <v>28</v>
      </c>
      <c r="G75" s="13"/>
      <c r="H75" s="13"/>
      <c r="I75" s="14">
        <f>IFERROR(_xlfn.FORECAST.LINEAR('BD_LeiturasHidrômetro_PRJ01'!$A75,G:G,A:A),"0000")</f>
        <v>6589.463972</v>
      </c>
      <c r="J75" s="14">
        <f>IF('BD_LeiturasHidrômetro_PRJ01'!$G75&amp;'BD_LeiturasHidrômetro_PRJ01'!$H75="",'BD_LeiturasHidrômetro_PRJ01'!$I75,'BD_LeiturasHidrômetro_PRJ01'!$G75&amp;'BD_LeiturasHidrômetro_PRJ01'!$H75)</f>
        <v>6589.463972</v>
      </c>
      <c r="K75" s="14">
        <f t="shared" si="1"/>
        <v>6574.381371</v>
      </c>
      <c r="L75" s="15"/>
      <c r="M75" s="15"/>
      <c r="N75" s="17">
        <f t="shared" si="2"/>
        <v>15.08260105</v>
      </c>
      <c r="O75" s="15" t="s">
        <v>21</v>
      </c>
      <c r="R75" s="18"/>
      <c r="S75" s="19"/>
    </row>
    <row r="76" ht="15.75" customHeight="1">
      <c r="A76" s="10">
        <v>96.0</v>
      </c>
      <c r="B76" s="11" t="s">
        <v>104</v>
      </c>
      <c r="C76" s="12">
        <v>29.0</v>
      </c>
      <c r="D76" s="10" t="s">
        <v>76</v>
      </c>
      <c r="E76" s="10">
        <v>2025.0</v>
      </c>
      <c r="F76" s="10" t="s">
        <v>30</v>
      </c>
      <c r="G76" s="13"/>
      <c r="H76" s="13"/>
      <c r="I76" s="14">
        <f>IFERROR(_xlfn.FORECAST.LINEAR('BD_LeiturasHidrômetro_PRJ01'!$A76,G:G,A:A),"0000")</f>
        <v>6604.546573</v>
      </c>
      <c r="J76" s="14">
        <f>IF('BD_LeiturasHidrômetro_PRJ01'!$G76&amp;'BD_LeiturasHidrômetro_PRJ01'!$H76="",'BD_LeiturasHidrômetro_PRJ01'!$I76,'BD_LeiturasHidrômetro_PRJ01'!$G76&amp;'BD_LeiturasHidrômetro_PRJ01'!$H76)</f>
        <v>6604.546573</v>
      </c>
      <c r="K76" s="14">
        <f t="shared" si="1"/>
        <v>6589.463972</v>
      </c>
      <c r="L76" s="15"/>
      <c r="M76" s="15"/>
      <c r="N76" s="17">
        <f t="shared" si="2"/>
        <v>15.08260105</v>
      </c>
      <c r="O76" s="15" t="s">
        <v>21</v>
      </c>
      <c r="R76" s="18"/>
      <c r="S76" s="19"/>
    </row>
    <row r="77" ht="15.75" customHeight="1">
      <c r="A77" s="10">
        <v>97.0</v>
      </c>
      <c r="B77" s="11" t="s">
        <v>105</v>
      </c>
      <c r="C77" s="12">
        <v>30.0</v>
      </c>
      <c r="D77" s="10" t="s">
        <v>76</v>
      </c>
      <c r="E77" s="10">
        <v>2025.0</v>
      </c>
      <c r="F77" s="10" t="s">
        <v>32</v>
      </c>
      <c r="G77" s="13"/>
      <c r="H77" s="13"/>
      <c r="I77" s="14">
        <f>IFERROR(_xlfn.FORECAST.LINEAR('BD_LeiturasHidrômetro_PRJ01'!$A77,G:G,A:A),"0000")</f>
        <v>6619.629174</v>
      </c>
      <c r="J77" s="14">
        <f>IF('BD_LeiturasHidrômetro_PRJ01'!$G77&amp;'BD_LeiturasHidrômetro_PRJ01'!$H77="",'BD_LeiturasHidrômetro_PRJ01'!$I77,'BD_LeiturasHidrômetro_PRJ01'!$G77&amp;'BD_LeiturasHidrômetro_PRJ01'!$H77)</f>
        <v>6619.629174</v>
      </c>
      <c r="K77" s="14">
        <f t="shared" si="1"/>
        <v>6604.546573</v>
      </c>
      <c r="L77" s="15"/>
      <c r="M77" s="15"/>
      <c r="N77" s="17">
        <f t="shared" si="2"/>
        <v>15.08260105</v>
      </c>
      <c r="O77" s="15" t="s">
        <v>21</v>
      </c>
      <c r="R77" s="18"/>
      <c r="S77" s="19"/>
    </row>
    <row r="78" ht="15.75" customHeight="1">
      <c r="A78" s="10">
        <v>98.0</v>
      </c>
      <c r="B78" s="11" t="s">
        <v>106</v>
      </c>
      <c r="C78" s="12">
        <v>31.0</v>
      </c>
      <c r="D78" s="10" t="s">
        <v>76</v>
      </c>
      <c r="E78" s="10">
        <v>2025.0</v>
      </c>
      <c r="F78" s="10" t="s">
        <v>34</v>
      </c>
      <c r="G78" s="13"/>
      <c r="H78" s="13"/>
      <c r="I78" s="14">
        <f>IFERROR(_xlfn.FORECAST.LINEAR('BD_LeiturasHidrômetro_PRJ01'!$A78,G:G,A:A),"0000")</f>
        <v>6634.711775</v>
      </c>
      <c r="J78" s="14">
        <f>IF('BD_LeiturasHidrômetro_PRJ01'!$G78&amp;'BD_LeiturasHidrômetro_PRJ01'!$H78="",'BD_LeiturasHidrômetro_PRJ01'!$I78,'BD_LeiturasHidrômetro_PRJ01'!$G78&amp;'BD_LeiturasHidrômetro_PRJ01'!$H78)</f>
        <v>6634.711775</v>
      </c>
      <c r="K78" s="14">
        <f t="shared" si="1"/>
        <v>6619.629174</v>
      </c>
      <c r="L78" s="15"/>
      <c r="M78" s="15"/>
      <c r="N78" s="17">
        <f t="shared" si="2"/>
        <v>15.08260105</v>
      </c>
      <c r="O78" s="15" t="s">
        <v>21</v>
      </c>
      <c r="R78" s="18"/>
      <c r="S78" s="19"/>
    </row>
    <row r="79" ht="15.75" customHeight="1">
      <c r="A79" s="10">
        <v>99.0</v>
      </c>
      <c r="B79" s="11" t="s">
        <v>107</v>
      </c>
      <c r="C79" s="12">
        <v>1.0</v>
      </c>
      <c r="D79" s="10" t="s">
        <v>108</v>
      </c>
      <c r="E79" s="10">
        <v>2025.0</v>
      </c>
      <c r="F79" s="10" t="s">
        <v>19</v>
      </c>
      <c r="G79" s="13"/>
      <c r="H79" s="13"/>
      <c r="I79" s="14">
        <f>IFERROR(_xlfn.FORECAST.LINEAR('BD_LeiturasHidrômetro_PRJ01'!$A79,G:G,A:A),"0000")</f>
        <v>6649.794376</v>
      </c>
      <c r="J79" s="14">
        <f>IF('BD_LeiturasHidrômetro_PRJ01'!$G79&amp;'BD_LeiturasHidrômetro_PRJ01'!$H79="",'BD_LeiturasHidrômetro_PRJ01'!$I79,'BD_LeiturasHidrômetro_PRJ01'!$G79&amp;'BD_LeiturasHidrômetro_PRJ01'!$H79)</f>
        <v>6649.794376</v>
      </c>
      <c r="K79" s="14">
        <f t="shared" si="1"/>
        <v>6634.711775</v>
      </c>
      <c r="L79" s="15"/>
      <c r="M79" s="15"/>
      <c r="N79" s="17">
        <f t="shared" si="2"/>
        <v>15.08260105</v>
      </c>
      <c r="O79" s="15" t="s">
        <v>21</v>
      </c>
      <c r="R79" s="18"/>
      <c r="S79" s="19"/>
    </row>
    <row r="80" ht="15.75" customHeight="1">
      <c r="A80" s="10">
        <v>100.0</v>
      </c>
      <c r="B80" s="11" t="s">
        <v>109</v>
      </c>
      <c r="C80" s="12">
        <v>2.0</v>
      </c>
      <c r="D80" s="10" t="s">
        <v>108</v>
      </c>
      <c r="E80" s="10">
        <v>2025.0</v>
      </c>
      <c r="F80" s="10" t="s">
        <v>23</v>
      </c>
      <c r="G80" s="13"/>
      <c r="H80" s="13"/>
      <c r="I80" s="14">
        <f>IFERROR(_xlfn.FORECAST.LINEAR('BD_LeiturasHidrômetro_PRJ01'!$A80,G:G,A:A),"0000")</f>
        <v>6664.876977</v>
      </c>
      <c r="J80" s="14">
        <f>IF('BD_LeiturasHidrômetro_PRJ01'!$G80&amp;'BD_LeiturasHidrômetro_PRJ01'!$H80="",'BD_LeiturasHidrômetro_PRJ01'!$I80,'BD_LeiturasHidrômetro_PRJ01'!$G80&amp;'BD_LeiturasHidrômetro_PRJ01'!$H80)</f>
        <v>6664.876977</v>
      </c>
      <c r="K80" s="14">
        <f t="shared" si="1"/>
        <v>6649.794376</v>
      </c>
      <c r="L80" s="15"/>
      <c r="M80" s="15"/>
      <c r="N80" s="17">
        <f t="shared" si="2"/>
        <v>15.08260105</v>
      </c>
      <c r="O80" s="15" t="s">
        <v>21</v>
      </c>
      <c r="R80" s="18"/>
      <c r="S80" s="19"/>
    </row>
    <row r="81" ht="15.75" customHeight="1">
      <c r="A81" s="10">
        <v>101.0</v>
      </c>
      <c r="B81" s="11" t="s">
        <v>110</v>
      </c>
      <c r="C81" s="12">
        <v>3.0</v>
      </c>
      <c r="D81" s="10" t="s">
        <v>108</v>
      </c>
      <c r="E81" s="10">
        <v>2025.0</v>
      </c>
      <c r="F81" s="10" t="s">
        <v>26</v>
      </c>
      <c r="G81" s="13"/>
      <c r="H81" s="13"/>
      <c r="I81" s="14">
        <f>IFERROR(_xlfn.FORECAST.LINEAR('BD_LeiturasHidrômetro_PRJ01'!$A81,G:G,A:A),"0000")</f>
        <v>6679.959578</v>
      </c>
      <c r="J81" s="14">
        <f>IF('BD_LeiturasHidrômetro_PRJ01'!$G81&amp;'BD_LeiturasHidrômetro_PRJ01'!$H81="",'BD_LeiturasHidrômetro_PRJ01'!$I81,'BD_LeiturasHidrômetro_PRJ01'!$G81&amp;'BD_LeiturasHidrômetro_PRJ01'!$H81)</f>
        <v>6679.959578</v>
      </c>
      <c r="K81" s="14">
        <f t="shared" si="1"/>
        <v>6664.876977</v>
      </c>
      <c r="L81" s="15"/>
      <c r="M81" s="15"/>
      <c r="N81" s="17">
        <f t="shared" si="2"/>
        <v>15.08260105</v>
      </c>
      <c r="O81" s="15" t="s">
        <v>21</v>
      </c>
      <c r="R81" s="18"/>
      <c r="S81" s="19"/>
    </row>
    <row r="82" ht="15.75" customHeight="1">
      <c r="A82" s="10">
        <v>102.0</v>
      </c>
      <c r="B82" s="11" t="s">
        <v>111</v>
      </c>
      <c r="C82" s="12">
        <v>4.0</v>
      </c>
      <c r="D82" s="10" t="s">
        <v>108</v>
      </c>
      <c r="E82" s="10">
        <v>2025.0</v>
      </c>
      <c r="F82" s="10" t="s">
        <v>28</v>
      </c>
      <c r="G82" s="13"/>
      <c r="H82" s="13"/>
      <c r="I82" s="14">
        <f>IFERROR(_xlfn.FORECAST.LINEAR('BD_LeiturasHidrômetro_PRJ01'!$A82,G:G,A:A),"0000")</f>
        <v>6695.042179</v>
      </c>
      <c r="J82" s="14">
        <f>IF('BD_LeiturasHidrômetro_PRJ01'!$G82&amp;'BD_LeiturasHidrômetro_PRJ01'!$H82="",'BD_LeiturasHidrômetro_PRJ01'!$I82,'BD_LeiturasHidrômetro_PRJ01'!$G82&amp;'BD_LeiturasHidrômetro_PRJ01'!$H82)</f>
        <v>6695.042179</v>
      </c>
      <c r="K82" s="14">
        <f t="shared" si="1"/>
        <v>6679.959578</v>
      </c>
      <c r="L82" s="15"/>
      <c r="M82" s="15"/>
      <c r="N82" s="17">
        <f t="shared" si="2"/>
        <v>15.08260105</v>
      </c>
      <c r="O82" s="15" t="s">
        <v>21</v>
      </c>
      <c r="R82" s="18"/>
      <c r="S82" s="19"/>
    </row>
    <row r="83" ht="15.75" customHeight="1">
      <c r="A83" s="10">
        <v>103.0</v>
      </c>
      <c r="B83" s="11" t="s">
        <v>112</v>
      </c>
      <c r="C83" s="12">
        <v>5.0</v>
      </c>
      <c r="D83" s="10" t="s">
        <v>108</v>
      </c>
      <c r="E83" s="10">
        <v>2025.0</v>
      </c>
      <c r="F83" s="10" t="s">
        <v>30</v>
      </c>
      <c r="G83" s="13"/>
      <c r="H83" s="13"/>
      <c r="I83" s="14">
        <f>IFERROR(_xlfn.FORECAST.LINEAR('BD_LeiturasHidrômetro_PRJ01'!$A83,G:G,A:A),"0000")</f>
        <v>6710.12478</v>
      </c>
      <c r="J83" s="14">
        <f>IF('BD_LeiturasHidrômetro_PRJ01'!$G83&amp;'BD_LeiturasHidrômetro_PRJ01'!$H83="",'BD_LeiturasHidrômetro_PRJ01'!$I83,'BD_LeiturasHidrômetro_PRJ01'!$G83&amp;'BD_LeiturasHidrômetro_PRJ01'!$H83)</f>
        <v>6710.12478</v>
      </c>
      <c r="K83" s="14">
        <f t="shared" si="1"/>
        <v>6695.042179</v>
      </c>
      <c r="L83" s="15"/>
      <c r="M83" s="15"/>
      <c r="N83" s="17">
        <f t="shared" si="2"/>
        <v>15.08260105</v>
      </c>
      <c r="O83" s="15" t="s">
        <v>21</v>
      </c>
      <c r="R83" s="18"/>
      <c r="S83" s="19"/>
    </row>
    <row r="84" ht="15.75" customHeight="1">
      <c r="A84" s="10">
        <v>104.0</v>
      </c>
      <c r="B84" s="11" t="s">
        <v>113</v>
      </c>
      <c r="C84" s="12">
        <v>6.0</v>
      </c>
      <c r="D84" s="10" t="s">
        <v>108</v>
      </c>
      <c r="E84" s="10">
        <v>2025.0</v>
      </c>
      <c r="F84" s="10" t="s">
        <v>32</v>
      </c>
      <c r="G84" s="13"/>
      <c r="H84" s="13"/>
      <c r="I84" s="14">
        <f>IFERROR(_xlfn.FORECAST.LINEAR('BD_LeiturasHidrômetro_PRJ01'!$A84,G:G,A:A),"0000")</f>
        <v>6725.207381</v>
      </c>
      <c r="J84" s="14">
        <f>IF('BD_LeiturasHidrômetro_PRJ01'!$G84&amp;'BD_LeiturasHidrômetro_PRJ01'!$H84="",'BD_LeiturasHidrômetro_PRJ01'!$I84,'BD_LeiturasHidrômetro_PRJ01'!$G84&amp;'BD_LeiturasHidrômetro_PRJ01'!$H84)</f>
        <v>6725.207381</v>
      </c>
      <c r="K84" s="14">
        <f t="shared" si="1"/>
        <v>6710.12478</v>
      </c>
      <c r="L84" s="15"/>
      <c r="M84" s="15"/>
      <c r="N84" s="17">
        <f t="shared" si="2"/>
        <v>15.08260105</v>
      </c>
      <c r="O84" s="15" t="s">
        <v>21</v>
      </c>
      <c r="R84" s="18"/>
      <c r="S84" s="19"/>
    </row>
    <row r="85" ht="15.75" customHeight="1">
      <c r="A85" s="10">
        <v>105.0</v>
      </c>
      <c r="B85" s="11" t="s">
        <v>114</v>
      </c>
      <c r="C85" s="12">
        <v>7.0</v>
      </c>
      <c r="D85" s="10" t="s">
        <v>108</v>
      </c>
      <c r="E85" s="10">
        <v>2025.0</v>
      </c>
      <c r="F85" s="10" t="s">
        <v>34</v>
      </c>
      <c r="G85" s="13"/>
      <c r="H85" s="13"/>
      <c r="I85" s="14">
        <f>IFERROR(_xlfn.FORECAST.LINEAR('BD_LeiturasHidrômetro_PRJ01'!$A85,G:G,A:A),"0000")</f>
        <v>6740.289982</v>
      </c>
      <c r="J85" s="14">
        <f>IF('BD_LeiturasHidrômetro_PRJ01'!$G85&amp;'BD_LeiturasHidrômetro_PRJ01'!$H85="",'BD_LeiturasHidrômetro_PRJ01'!$I85,'BD_LeiturasHidrômetro_PRJ01'!$G85&amp;'BD_LeiturasHidrômetro_PRJ01'!$H85)</f>
        <v>6740.289982</v>
      </c>
      <c r="K85" s="14">
        <f t="shared" si="1"/>
        <v>6725.207381</v>
      </c>
      <c r="L85" s="15"/>
      <c r="M85" s="15"/>
      <c r="N85" s="17">
        <f t="shared" si="2"/>
        <v>15.08260105</v>
      </c>
      <c r="O85" s="15" t="s">
        <v>21</v>
      </c>
      <c r="R85" s="18"/>
      <c r="S85" s="19"/>
    </row>
    <row r="86" ht="15.75" customHeight="1">
      <c r="A86" s="10">
        <v>106.0</v>
      </c>
      <c r="B86" s="11" t="s">
        <v>115</v>
      </c>
      <c r="C86" s="12">
        <v>8.0</v>
      </c>
      <c r="D86" s="10" t="s">
        <v>108</v>
      </c>
      <c r="E86" s="10">
        <v>2025.0</v>
      </c>
      <c r="F86" s="10" t="s">
        <v>19</v>
      </c>
      <c r="G86" s="13"/>
      <c r="H86" s="13"/>
      <c r="I86" s="14">
        <f>IFERROR(_xlfn.FORECAST.LINEAR('BD_LeiturasHidrômetro_PRJ01'!$A86,G:G,A:A),"0000")</f>
        <v>6755.372583</v>
      </c>
      <c r="J86" s="14">
        <f>IF('BD_LeiturasHidrômetro_PRJ01'!$G86&amp;'BD_LeiturasHidrômetro_PRJ01'!$H86="",'BD_LeiturasHidrômetro_PRJ01'!$I86,'BD_LeiturasHidrômetro_PRJ01'!$G86&amp;'BD_LeiturasHidrômetro_PRJ01'!$H86)</f>
        <v>6755.372583</v>
      </c>
      <c r="K86" s="14">
        <f t="shared" si="1"/>
        <v>6740.289982</v>
      </c>
      <c r="L86" s="15"/>
      <c r="M86" s="15"/>
      <c r="N86" s="17">
        <f t="shared" si="2"/>
        <v>15.08260105</v>
      </c>
      <c r="O86" s="15" t="s">
        <v>21</v>
      </c>
      <c r="R86" s="18"/>
      <c r="S86" s="19"/>
    </row>
    <row r="87" ht="15.75" customHeight="1">
      <c r="A87" s="10">
        <v>107.0</v>
      </c>
      <c r="B87" s="11" t="s">
        <v>116</v>
      </c>
      <c r="C87" s="12">
        <v>9.0</v>
      </c>
      <c r="D87" s="10" t="s">
        <v>108</v>
      </c>
      <c r="E87" s="10">
        <v>2025.0</v>
      </c>
      <c r="F87" s="10" t="s">
        <v>23</v>
      </c>
      <c r="G87" s="13"/>
      <c r="H87" s="13"/>
      <c r="I87" s="14">
        <f>IFERROR(_xlfn.FORECAST.LINEAR('BD_LeiturasHidrômetro_PRJ01'!$A87,G:G,A:A),"0000")</f>
        <v>6770.455185</v>
      </c>
      <c r="J87" s="14">
        <f>IF('BD_LeiturasHidrômetro_PRJ01'!$G87&amp;'BD_LeiturasHidrômetro_PRJ01'!$H87="",'BD_LeiturasHidrômetro_PRJ01'!$I87,'BD_LeiturasHidrômetro_PRJ01'!$G87&amp;'BD_LeiturasHidrômetro_PRJ01'!$H87)</f>
        <v>6770.455185</v>
      </c>
      <c r="K87" s="14">
        <f t="shared" si="1"/>
        <v>6755.372583</v>
      </c>
      <c r="L87" s="15"/>
      <c r="M87" s="15"/>
      <c r="N87" s="17">
        <f t="shared" si="2"/>
        <v>15.08260105</v>
      </c>
      <c r="O87" s="15" t="s">
        <v>21</v>
      </c>
      <c r="R87" s="18"/>
      <c r="S87" s="19"/>
    </row>
    <row r="88" ht="15.75" customHeight="1">
      <c r="A88" s="10">
        <v>108.0</v>
      </c>
      <c r="B88" s="11" t="s">
        <v>117</v>
      </c>
      <c r="C88" s="12">
        <v>10.0</v>
      </c>
      <c r="D88" s="10" t="s">
        <v>108</v>
      </c>
      <c r="E88" s="10">
        <v>2025.0</v>
      </c>
      <c r="F88" s="10" t="s">
        <v>26</v>
      </c>
      <c r="G88" s="13"/>
      <c r="H88" s="13"/>
      <c r="I88" s="14">
        <f>IFERROR(_xlfn.FORECAST.LINEAR('BD_LeiturasHidrômetro_PRJ01'!$A88,G:G,A:A),"0000")</f>
        <v>6785.537786</v>
      </c>
      <c r="J88" s="14">
        <f>IF('BD_LeiturasHidrômetro_PRJ01'!$G88&amp;'BD_LeiturasHidrômetro_PRJ01'!$H88="",'BD_LeiturasHidrômetro_PRJ01'!$I88,'BD_LeiturasHidrômetro_PRJ01'!$G88&amp;'BD_LeiturasHidrômetro_PRJ01'!$H88)</f>
        <v>6785.537786</v>
      </c>
      <c r="K88" s="14">
        <f t="shared" si="1"/>
        <v>6770.455185</v>
      </c>
      <c r="L88" s="15"/>
      <c r="M88" s="15"/>
      <c r="N88" s="17">
        <f t="shared" si="2"/>
        <v>15.08260105</v>
      </c>
      <c r="O88" s="15" t="s">
        <v>21</v>
      </c>
      <c r="R88" s="18"/>
      <c r="S88" s="19"/>
    </row>
    <row r="89" ht="15.75" customHeight="1">
      <c r="A89" s="10">
        <v>109.0</v>
      </c>
      <c r="B89" s="11" t="s">
        <v>118</v>
      </c>
      <c r="C89" s="12">
        <v>11.0</v>
      </c>
      <c r="D89" s="10" t="s">
        <v>108</v>
      </c>
      <c r="E89" s="10">
        <v>2025.0</v>
      </c>
      <c r="F89" s="10" t="s">
        <v>28</v>
      </c>
      <c r="G89" s="13"/>
      <c r="H89" s="13"/>
      <c r="I89" s="14">
        <f>IFERROR(_xlfn.FORECAST.LINEAR('BD_LeiturasHidrômetro_PRJ01'!$A89,G:G,A:A),"0000")</f>
        <v>6800.620387</v>
      </c>
      <c r="J89" s="14">
        <f>IF('BD_LeiturasHidrômetro_PRJ01'!$G89&amp;'BD_LeiturasHidrômetro_PRJ01'!$H89="",'BD_LeiturasHidrômetro_PRJ01'!$I89,'BD_LeiturasHidrômetro_PRJ01'!$G89&amp;'BD_LeiturasHidrômetro_PRJ01'!$H89)</f>
        <v>6800.620387</v>
      </c>
      <c r="K89" s="14">
        <f t="shared" si="1"/>
        <v>6785.537786</v>
      </c>
      <c r="L89" s="15"/>
      <c r="M89" s="15"/>
      <c r="N89" s="17">
        <f t="shared" si="2"/>
        <v>15.08260105</v>
      </c>
      <c r="O89" s="15" t="s">
        <v>21</v>
      </c>
      <c r="R89" s="18"/>
      <c r="S89" s="19"/>
    </row>
    <row r="90" ht="15.75" customHeight="1">
      <c r="A90" s="10">
        <v>110.0</v>
      </c>
      <c r="B90" s="11" t="s">
        <v>119</v>
      </c>
      <c r="C90" s="12">
        <v>12.0</v>
      </c>
      <c r="D90" s="10" t="s">
        <v>108</v>
      </c>
      <c r="E90" s="10">
        <v>2025.0</v>
      </c>
      <c r="F90" s="10" t="s">
        <v>30</v>
      </c>
      <c r="G90" s="13"/>
      <c r="H90" s="13"/>
      <c r="I90" s="14">
        <f>IFERROR(_xlfn.FORECAST.LINEAR('BD_LeiturasHidrômetro_PRJ01'!$A90,G:G,A:A),"0000")</f>
        <v>6815.702988</v>
      </c>
      <c r="J90" s="14">
        <f>IF('BD_LeiturasHidrômetro_PRJ01'!$G90&amp;'BD_LeiturasHidrômetro_PRJ01'!$H90="",'BD_LeiturasHidrômetro_PRJ01'!$I90,'BD_LeiturasHidrômetro_PRJ01'!$G90&amp;'BD_LeiturasHidrômetro_PRJ01'!$H90)</f>
        <v>6815.702988</v>
      </c>
      <c r="K90" s="14">
        <f t="shared" si="1"/>
        <v>6800.620387</v>
      </c>
      <c r="L90" s="15"/>
      <c r="M90" s="15"/>
      <c r="N90" s="17">
        <f t="shared" si="2"/>
        <v>15.08260105</v>
      </c>
      <c r="O90" s="15" t="s">
        <v>21</v>
      </c>
      <c r="R90" s="18"/>
      <c r="S90" s="19"/>
    </row>
    <row r="91" ht="15.75" customHeight="1">
      <c r="A91" s="10">
        <v>111.0</v>
      </c>
      <c r="B91" s="11" t="s">
        <v>120</v>
      </c>
      <c r="C91" s="12">
        <v>13.0</v>
      </c>
      <c r="D91" s="10" t="s">
        <v>108</v>
      </c>
      <c r="E91" s="10">
        <v>2025.0</v>
      </c>
      <c r="F91" s="10" t="s">
        <v>32</v>
      </c>
      <c r="G91" s="13"/>
      <c r="H91" s="13"/>
      <c r="I91" s="14">
        <f>IFERROR(_xlfn.FORECAST.LINEAR('BD_LeiturasHidrômetro_PRJ01'!$A91,G:G,A:A),"0000")</f>
        <v>6830.785589</v>
      </c>
      <c r="J91" s="14">
        <f>IF('BD_LeiturasHidrômetro_PRJ01'!$G91&amp;'BD_LeiturasHidrômetro_PRJ01'!$H91="",'BD_LeiturasHidrômetro_PRJ01'!$I91,'BD_LeiturasHidrômetro_PRJ01'!$G91&amp;'BD_LeiturasHidrômetro_PRJ01'!$H91)</f>
        <v>6830.785589</v>
      </c>
      <c r="K91" s="14">
        <f t="shared" si="1"/>
        <v>6815.702988</v>
      </c>
      <c r="L91" s="15"/>
      <c r="M91" s="15"/>
      <c r="N91" s="17">
        <f t="shared" si="2"/>
        <v>15.08260105</v>
      </c>
      <c r="O91" s="15" t="s">
        <v>21</v>
      </c>
      <c r="R91" s="18"/>
      <c r="S91" s="19"/>
    </row>
    <row r="92" ht="15.75" customHeight="1">
      <c r="A92" s="10">
        <v>112.0</v>
      </c>
      <c r="B92" s="11" t="s">
        <v>121</v>
      </c>
      <c r="C92" s="12">
        <v>14.0</v>
      </c>
      <c r="D92" s="10" t="s">
        <v>108</v>
      </c>
      <c r="E92" s="10">
        <v>2025.0</v>
      </c>
      <c r="F92" s="10" t="s">
        <v>34</v>
      </c>
      <c r="G92" s="13"/>
      <c r="H92" s="13"/>
      <c r="I92" s="14">
        <f>IFERROR(_xlfn.FORECAST.LINEAR('BD_LeiturasHidrômetro_PRJ01'!$A92,G:G,A:A),"0000")</f>
        <v>6845.86819</v>
      </c>
      <c r="J92" s="14">
        <f>IF('BD_LeiturasHidrômetro_PRJ01'!$G92&amp;'BD_LeiturasHidrômetro_PRJ01'!$H92="",'BD_LeiturasHidrômetro_PRJ01'!$I92,'BD_LeiturasHidrômetro_PRJ01'!$G92&amp;'BD_LeiturasHidrômetro_PRJ01'!$H92)</f>
        <v>6845.86819</v>
      </c>
      <c r="K92" s="14">
        <f t="shared" si="1"/>
        <v>6830.785589</v>
      </c>
      <c r="L92" s="15"/>
      <c r="M92" s="15"/>
      <c r="N92" s="17">
        <f t="shared" si="2"/>
        <v>15.08260105</v>
      </c>
      <c r="O92" s="15" t="s">
        <v>21</v>
      </c>
      <c r="R92" s="18"/>
      <c r="S92" s="19"/>
    </row>
    <row r="93" ht="15.75" customHeight="1">
      <c r="A93" s="10">
        <v>113.0</v>
      </c>
      <c r="B93" s="11" t="s">
        <v>122</v>
      </c>
      <c r="C93" s="12">
        <v>15.0</v>
      </c>
      <c r="D93" s="10" t="s">
        <v>108</v>
      </c>
      <c r="E93" s="10">
        <v>2025.0</v>
      </c>
      <c r="F93" s="10" t="s">
        <v>19</v>
      </c>
      <c r="G93" s="13"/>
      <c r="H93" s="13"/>
      <c r="I93" s="14">
        <f>IFERROR(_xlfn.FORECAST.LINEAR('BD_LeiturasHidrômetro_PRJ01'!$A93,G:G,A:A),"0000")</f>
        <v>6860.950791</v>
      </c>
      <c r="J93" s="14">
        <f>IF('BD_LeiturasHidrômetro_PRJ01'!$G93&amp;'BD_LeiturasHidrômetro_PRJ01'!$H93="",'BD_LeiturasHidrômetro_PRJ01'!$I93,'BD_LeiturasHidrômetro_PRJ01'!$G93&amp;'BD_LeiturasHidrômetro_PRJ01'!$H93)</f>
        <v>6860.950791</v>
      </c>
      <c r="K93" s="14">
        <f t="shared" si="1"/>
        <v>6845.86819</v>
      </c>
      <c r="L93" s="15"/>
      <c r="M93" s="15"/>
      <c r="N93" s="17">
        <f t="shared" si="2"/>
        <v>15.08260105</v>
      </c>
      <c r="O93" s="15" t="s">
        <v>21</v>
      </c>
      <c r="R93" s="18"/>
      <c r="S93" s="19"/>
    </row>
    <row r="94" ht="15.75" customHeight="1">
      <c r="A94" s="10">
        <v>114.0</v>
      </c>
      <c r="B94" s="11" t="s">
        <v>123</v>
      </c>
      <c r="C94" s="12">
        <v>16.0</v>
      </c>
      <c r="D94" s="10" t="s">
        <v>108</v>
      </c>
      <c r="E94" s="10">
        <v>2025.0</v>
      </c>
      <c r="F94" s="10" t="s">
        <v>23</v>
      </c>
      <c r="G94" s="13"/>
      <c r="H94" s="13"/>
      <c r="I94" s="14">
        <f>IFERROR(_xlfn.FORECAST.LINEAR('BD_LeiturasHidrômetro_PRJ01'!$A94,G:G,A:A),"0000")</f>
        <v>6876.033392</v>
      </c>
      <c r="J94" s="14">
        <f>IF('BD_LeiturasHidrômetro_PRJ01'!$G94&amp;'BD_LeiturasHidrômetro_PRJ01'!$H94="",'BD_LeiturasHidrômetro_PRJ01'!$I94,'BD_LeiturasHidrômetro_PRJ01'!$G94&amp;'BD_LeiturasHidrômetro_PRJ01'!$H94)</f>
        <v>6876.033392</v>
      </c>
      <c r="K94" s="14">
        <f t="shared" si="1"/>
        <v>6860.950791</v>
      </c>
      <c r="L94" s="15"/>
      <c r="M94" s="15"/>
      <c r="N94" s="17">
        <f t="shared" si="2"/>
        <v>15.08260105</v>
      </c>
      <c r="O94" s="15" t="s">
        <v>21</v>
      </c>
      <c r="R94" s="18"/>
      <c r="S94" s="19"/>
    </row>
    <row r="95" ht="15.75" customHeight="1">
      <c r="A95" s="10">
        <v>115.0</v>
      </c>
      <c r="B95" s="11" t="s">
        <v>124</v>
      </c>
      <c r="C95" s="12">
        <v>17.0</v>
      </c>
      <c r="D95" s="10" t="s">
        <v>108</v>
      </c>
      <c r="E95" s="10">
        <v>2025.0</v>
      </c>
      <c r="F95" s="10" t="s">
        <v>26</v>
      </c>
      <c r="G95" s="13"/>
      <c r="H95" s="13"/>
      <c r="I95" s="14">
        <f>IFERROR(_xlfn.FORECAST.LINEAR('BD_LeiturasHidrômetro_PRJ01'!$A95,G:G,A:A),"0000")</f>
        <v>6891.115993</v>
      </c>
      <c r="J95" s="14">
        <f>IF('BD_LeiturasHidrômetro_PRJ01'!$G95&amp;'BD_LeiturasHidrômetro_PRJ01'!$H95="",'BD_LeiturasHidrômetro_PRJ01'!$I95,'BD_LeiturasHidrômetro_PRJ01'!$G95&amp;'BD_LeiturasHidrômetro_PRJ01'!$H95)</f>
        <v>6891.115993</v>
      </c>
      <c r="K95" s="14">
        <f t="shared" si="1"/>
        <v>6876.033392</v>
      </c>
      <c r="L95" s="15"/>
      <c r="M95" s="15"/>
      <c r="N95" s="17">
        <f t="shared" si="2"/>
        <v>15.08260105</v>
      </c>
      <c r="O95" s="15" t="s">
        <v>21</v>
      </c>
      <c r="R95" s="18"/>
      <c r="S95" s="19"/>
    </row>
    <row r="96" ht="15.75" customHeight="1">
      <c r="A96" s="10">
        <v>116.0</v>
      </c>
      <c r="B96" s="11" t="s">
        <v>125</v>
      </c>
      <c r="C96" s="12">
        <v>18.0</v>
      </c>
      <c r="D96" s="10" t="s">
        <v>108</v>
      </c>
      <c r="E96" s="10">
        <v>2025.0</v>
      </c>
      <c r="F96" s="10" t="s">
        <v>28</v>
      </c>
      <c r="G96" s="13"/>
      <c r="H96" s="13"/>
      <c r="I96" s="14">
        <f>IFERROR(_xlfn.FORECAST.LINEAR('BD_LeiturasHidrômetro_PRJ01'!$A96,G:G,A:A),"0000")</f>
        <v>6906.198594</v>
      </c>
      <c r="J96" s="14">
        <f>IF('BD_LeiturasHidrômetro_PRJ01'!$G96&amp;'BD_LeiturasHidrômetro_PRJ01'!$H96="",'BD_LeiturasHidrômetro_PRJ01'!$I96,'BD_LeiturasHidrômetro_PRJ01'!$G96&amp;'BD_LeiturasHidrômetro_PRJ01'!$H96)</f>
        <v>6906.198594</v>
      </c>
      <c r="K96" s="14">
        <f t="shared" si="1"/>
        <v>6891.115993</v>
      </c>
      <c r="L96" s="15"/>
      <c r="M96" s="15"/>
      <c r="N96" s="17">
        <f t="shared" si="2"/>
        <v>15.08260105</v>
      </c>
      <c r="O96" s="15" t="s">
        <v>21</v>
      </c>
      <c r="R96" s="18"/>
      <c r="S96" s="19"/>
    </row>
    <row r="97" ht="15.75" customHeight="1">
      <c r="A97" s="10">
        <v>117.0</v>
      </c>
      <c r="B97" s="11" t="s">
        <v>126</v>
      </c>
      <c r="C97" s="12">
        <v>19.0</v>
      </c>
      <c r="D97" s="10" t="s">
        <v>108</v>
      </c>
      <c r="E97" s="10">
        <v>2025.0</v>
      </c>
      <c r="F97" s="10" t="s">
        <v>30</v>
      </c>
      <c r="G97" s="13"/>
      <c r="H97" s="13"/>
      <c r="I97" s="14">
        <f>IFERROR(_xlfn.FORECAST.LINEAR('BD_LeiturasHidrômetro_PRJ01'!$A97,G:G,A:A),"0000")</f>
        <v>6921.281195</v>
      </c>
      <c r="J97" s="14">
        <f>IF('BD_LeiturasHidrômetro_PRJ01'!$G97&amp;'BD_LeiturasHidrômetro_PRJ01'!$H97="",'BD_LeiturasHidrômetro_PRJ01'!$I97,'BD_LeiturasHidrômetro_PRJ01'!$G97&amp;'BD_LeiturasHidrômetro_PRJ01'!$H97)</f>
        <v>6921.281195</v>
      </c>
      <c r="K97" s="14">
        <f t="shared" si="1"/>
        <v>6906.198594</v>
      </c>
      <c r="L97" s="15"/>
      <c r="M97" s="15"/>
      <c r="N97" s="17">
        <f t="shared" si="2"/>
        <v>15.08260105</v>
      </c>
      <c r="O97" s="15" t="s">
        <v>21</v>
      </c>
      <c r="R97" s="18"/>
      <c r="S97" s="19"/>
    </row>
    <row r="98" ht="15.75" customHeight="1">
      <c r="A98" s="10">
        <v>118.0</v>
      </c>
      <c r="B98" s="11" t="s">
        <v>127</v>
      </c>
      <c r="C98" s="12">
        <v>20.0</v>
      </c>
      <c r="D98" s="10" t="s">
        <v>108</v>
      </c>
      <c r="E98" s="10">
        <v>2025.0</v>
      </c>
      <c r="F98" s="10" t="s">
        <v>32</v>
      </c>
      <c r="G98" s="13"/>
      <c r="H98" s="13"/>
      <c r="I98" s="14">
        <f>IFERROR(_xlfn.FORECAST.LINEAR('BD_LeiturasHidrômetro_PRJ01'!$A98,G:G,A:A),"0000")</f>
        <v>6936.363796</v>
      </c>
      <c r="J98" s="14">
        <f>IF('BD_LeiturasHidrômetro_PRJ01'!$G98&amp;'BD_LeiturasHidrômetro_PRJ01'!$H98="",'BD_LeiturasHidrômetro_PRJ01'!$I98,'BD_LeiturasHidrômetro_PRJ01'!$G98&amp;'BD_LeiturasHidrômetro_PRJ01'!$H98)</f>
        <v>6936.363796</v>
      </c>
      <c r="K98" s="14">
        <f t="shared" si="1"/>
        <v>6921.281195</v>
      </c>
      <c r="L98" s="15"/>
      <c r="M98" s="15"/>
      <c r="N98" s="17">
        <f t="shared" si="2"/>
        <v>15.08260105</v>
      </c>
      <c r="O98" s="15" t="s">
        <v>21</v>
      </c>
      <c r="R98" s="18"/>
      <c r="S98" s="19"/>
    </row>
    <row r="99" ht="15.75" customHeight="1">
      <c r="A99" s="10">
        <v>119.0</v>
      </c>
      <c r="B99" s="11" t="s">
        <v>128</v>
      </c>
      <c r="C99" s="12">
        <v>21.0</v>
      </c>
      <c r="D99" s="10" t="s">
        <v>108</v>
      </c>
      <c r="E99" s="10">
        <v>2025.0</v>
      </c>
      <c r="F99" s="10" t="s">
        <v>34</v>
      </c>
      <c r="G99" s="13"/>
      <c r="H99" s="13"/>
      <c r="I99" s="14">
        <f>IFERROR(_xlfn.FORECAST.LINEAR('BD_LeiturasHidrômetro_PRJ01'!$A99,G:G,A:A),"0000")</f>
        <v>6951.446397</v>
      </c>
      <c r="J99" s="14">
        <f>IF('BD_LeiturasHidrômetro_PRJ01'!$G99&amp;'BD_LeiturasHidrômetro_PRJ01'!$H99="",'BD_LeiturasHidrômetro_PRJ01'!$I99,'BD_LeiturasHidrômetro_PRJ01'!$G99&amp;'BD_LeiturasHidrômetro_PRJ01'!$H99)</f>
        <v>6951.446397</v>
      </c>
      <c r="K99" s="14">
        <f t="shared" si="1"/>
        <v>6936.363796</v>
      </c>
      <c r="L99" s="15"/>
      <c r="M99" s="15"/>
      <c r="N99" s="17">
        <f t="shared" si="2"/>
        <v>15.08260105</v>
      </c>
      <c r="O99" s="15" t="s">
        <v>21</v>
      </c>
      <c r="R99" s="18"/>
      <c r="S99" s="19"/>
    </row>
    <row r="100" ht="15.75" customHeight="1">
      <c r="A100" s="10">
        <v>120.0</v>
      </c>
      <c r="B100" s="11" t="s">
        <v>129</v>
      </c>
      <c r="C100" s="12">
        <v>22.0</v>
      </c>
      <c r="D100" s="10" t="s">
        <v>108</v>
      </c>
      <c r="E100" s="10">
        <v>2025.0</v>
      </c>
      <c r="F100" s="10" t="s">
        <v>19</v>
      </c>
      <c r="G100" s="13"/>
      <c r="H100" s="13"/>
      <c r="I100" s="14">
        <f>IFERROR(_xlfn.FORECAST.LINEAR('BD_LeiturasHidrômetro_PRJ01'!$A100,G:G,A:A),"0000")</f>
        <v>6966.528998</v>
      </c>
      <c r="J100" s="14">
        <f>IF('BD_LeiturasHidrômetro_PRJ01'!$G100&amp;'BD_LeiturasHidrômetro_PRJ01'!$H100="",'BD_LeiturasHidrômetro_PRJ01'!$I100,'BD_LeiturasHidrômetro_PRJ01'!$G100&amp;'BD_LeiturasHidrômetro_PRJ01'!$H100)</f>
        <v>6966.528998</v>
      </c>
      <c r="K100" s="14">
        <f t="shared" si="1"/>
        <v>6951.446397</v>
      </c>
      <c r="L100" s="15"/>
      <c r="M100" s="15"/>
      <c r="N100" s="17">
        <f t="shared" si="2"/>
        <v>15.08260105</v>
      </c>
      <c r="O100" s="15" t="s">
        <v>21</v>
      </c>
      <c r="R100" s="18"/>
      <c r="S100" s="19"/>
    </row>
    <row r="101" ht="15.75" customHeight="1">
      <c r="A101" s="10">
        <v>121.0</v>
      </c>
      <c r="B101" s="11" t="s">
        <v>130</v>
      </c>
      <c r="C101" s="12">
        <v>23.0</v>
      </c>
      <c r="D101" s="10" t="s">
        <v>108</v>
      </c>
      <c r="E101" s="10">
        <v>2025.0</v>
      </c>
      <c r="F101" s="10" t="s">
        <v>23</v>
      </c>
      <c r="G101" s="13"/>
      <c r="H101" s="13"/>
      <c r="I101" s="14">
        <f>IFERROR(_xlfn.FORECAST.LINEAR('BD_LeiturasHidrômetro_PRJ01'!$A101,G:G,A:A),"0000")</f>
        <v>6981.611599</v>
      </c>
      <c r="J101" s="14">
        <f>IF('BD_LeiturasHidrômetro_PRJ01'!$G101&amp;'BD_LeiturasHidrômetro_PRJ01'!$H101="",'BD_LeiturasHidrômetro_PRJ01'!$I101,'BD_LeiturasHidrômetro_PRJ01'!$G101&amp;'BD_LeiturasHidrômetro_PRJ01'!$H101)</f>
        <v>6981.611599</v>
      </c>
      <c r="K101" s="14">
        <f t="shared" si="1"/>
        <v>6966.528998</v>
      </c>
      <c r="L101" s="15"/>
      <c r="M101" s="15"/>
      <c r="N101" s="17">
        <f t="shared" si="2"/>
        <v>15.08260105</v>
      </c>
      <c r="O101" s="15" t="s">
        <v>21</v>
      </c>
      <c r="S101" s="19"/>
    </row>
    <row r="102" ht="15.75" customHeight="1">
      <c r="A102" s="10">
        <v>122.0</v>
      </c>
      <c r="B102" s="11" t="s">
        <v>131</v>
      </c>
      <c r="C102" s="12">
        <v>24.0</v>
      </c>
      <c r="D102" s="10" t="s">
        <v>108</v>
      </c>
      <c r="E102" s="10">
        <v>2025.0</v>
      </c>
      <c r="F102" s="10" t="s">
        <v>26</v>
      </c>
      <c r="G102" s="13"/>
      <c r="H102" s="13"/>
      <c r="I102" s="14">
        <f>IFERROR(_xlfn.FORECAST.LINEAR('BD_LeiturasHidrômetro_PRJ01'!$A102,G:G,A:A),"0000")</f>
        <v>6996.6942</v>
      </c>
      <c r="J102" s="14">
        <f>IF('BD_LeiturasHidrômetro_PRJ01'!$G102&amp;'BD_LeiturasHidrômetro_PRJ01'!$H102="",'BD_LeiturasHidrômetro_PRJ01'!$I102,'BD_LeiturasHidrômetro_PRJ01'!$G102&amp;'BD_LeiturasHidrômetro_PRJ01'!$H102)</f>
        <v>6996.6942</v>
      </c>
      <c r="K102" s="14">
        <f t="shared" si="1"/>
        <v>6981.611599</v>
      </c>
      <c r="L102" s="15"/>
      <c r="M102" s="15"/>
      <c r="N102" s="17">
        <f t="shared" si="2"/>
        <v>15.08260105</v>
      </c>
      <c r="O102" s="15" t="s">
        <v>21</v>
      </c>
      <c r="S102" s="19"/>
    </row>
    <row r="103" ht="15.75" customHeight="1">
      <c r="A103" s="10">
        <v>123.0</v>
      </c>
      <c r="B103" s="11" t="s">
        <v>132</v>
      </c>
      <c r="C103" s="12">
        <v>25.0</v>
      </c>
      <c r="D103" s="10" t="s">
        <v>108</v>
      </c>
      <c r="E103" s="10">
        <v>2025.0</v>
      </c>
      <c r="F103" s="10" t="s">
        <v>28</v>
      </c>
      <c r="G103" s="13"/>
      <c r="H103" s="13"/>
      <c r="I103" s="14">
        <f>IFERROR(_xlfn.FORECAST.LINEAR('BD_LeiturasHidrômetro_PRJ01'!$A103,G:G,A:A),"0000")</f>
        <v>7011.776801</v>
      </c>
      <c r="J103" s="14">
        <f>IF('BD_LeiturasHidrômetro_PRJ01'!$G103&amp;'BD_LeiturasHidrômetro_PRJ01'!$H103="",'BD_LeiturasHidrômetro_PRJ01'!$I103,'BD_LeiturasHidrômetro_PRJ01'!$G103&amp;'BD_LeiturasHidrômetro_PRJ01'!$H103)</f>
        <v>7011.776801</v>
      </c>
      <c r="K103" s="14">
        <f t="shared" si="1"/>
        <v>6996.6942</v>
      </c>
      <c r="L103" s="15"/>
      <c r="M103" s="15"/>
      <c r="N103" s="17">
        <f t="shared" si="2"/>
        <v>15.08260105</v>
      </c>
      <c r="O103" s="15" t="s">
        <v>21</v>
      </c>
      <c r="S103" s="19"/>
    </row>
    <row r="104" ht="15.75" customHeight="1">
      <c r="A104" s="10">
        <v>124.0</v>
      </c>
      <c r="B104" s="11" t="s">
        <v>133</v>
      </c>
      <c r="C104" s="12">
        <v>26.0</v>
      </c>
      <c r="D104" s="10" t="s">
        <v>108</v>
      </c>
      <c r="E104" s="10">
        <v>2025.0</v>
      </c>
      <c r="F104" s="10" t="s">
        <v>30</v>
      </c>
      <c r="G104" s="13"/>
      <c r="H104" s="13"/>
      <c r="I104" s="14">
        <f>IFERROR(_xlfn.FORECAST.LINEAR('BD_LeiturasHidrômetro_PRJ01'!$A104,G:G,A:A),"0000")</f>
        <v>7026.859402</v>
      </c>
      <c r="J104" s="14">
        <f>IF('BD_LeiturasHidrômetro_PRJ01'!$G104&amp;'BD_LeiturasHidrômetro_PRJ01'!$H104="",'BD_LeiturasHidrômetro_PRJ01'!$I104,'BD_LeiturasHidrômetro_PRJ01'!$G104&amp;'BD_LeiturasHidrômetro_PRJ01'!$H104)</f>
        <v>7026.859402</v>
      </c>
      <c r="K104" s="14">
        <f t="shared" si="1"/>
        <v>7011.776801</v>
      </c>
      <c r="L104" s="15"/>
      <c r="M104" s="15"/>
      <c r="N104" s="17">
        <f t="shared" si="2"/>
        <v>15.08260105</v>
      </c>
      <c r="O104" s="15" t="s">
        <v>21</v>
      </c>
      <c r="S104" s="19"/>
    </row>
    <row r="105" ht="15.75" customHeight="1">
      <c r="A105" s="10">
        <v>125.0</v>
      </c>
      <c r="B105" s="11" t="s">
        <v>134</v>
      </c>
      <c r="C105" s="12">
        <v>27.0</v>
      </c>
      <c r="D105" s="10" t="s">
        <v>108</v>
      </c>
      <c r="E105" s="10">
        <v>2025.0</v>
      </c>
      <c r="F105" s="10" t="s">
        <v>32</v>
      </c>
      <c r="G105" s="13"/>
      <c r="H105" s="13"/>
      <c r="I105" s="14">
        <f>IFERROR(_xlfn.FORECAST.LINEAR('BD_LeiturasHidrômetro_PRJ01'!$A105,G:G,A:A),"0000")</f>
        <v>7041.942004</v>
      </c>
      <c r="J105" s="14">
        <f>IF('BD_LeiturasHidrômetro_PRJ01'!$G105&amp;'BD_LeiturasHidrômetro_PRJ01'!$H105="",'BD_LeiturasHidrômetro_PRJ01'!$I105,'BD_LeiturasHidrômetro_PRJ01'!$G105&amp;'BD_LeiturasHidrômetro_PRJ01'!$H105)</f>
        <v>7041.942004</v>
      </c>
      <c r="K105" s="14">
        <f t="shared" si="1"/>
        <v>7026.859402</v>
      </c>
      <c r="L105" s="15"/>
      <c r="M105" s="15"/>
      <c r="N105" s="17">
        <f t="shared" si="2"/>
        <v>15.08260105</v>
      </c>
      <c r="O105" s="15" t="s">
        <v>21</v>
      </c>
      <c r="S105" s="19"/>
    </row>
    <row r="106" ht="15.75" customHeight="1">
      <c r="A106" s="10">
        <v>126.0</v>
      </c>
      <c r="B106" s="11" t="s">
        <v>135</v>
      </c>
      <c r="C106" s="12">
        <v>28.0</v>
      </c>
      <c r="D106" s="10" t="s">
        <v>108</v>
      </c>
      <c r="E106" s="10">
        <v>2025.0</v>
      </c>
      <c r="F106" s="10" t="s">
        <v>34</v>
      </c>
      <c r="G106" s="13"/>
      <c r="H106" s="13"/>
      <c r="I106" s="14">
        <f>IFERROR(_xlfn.FORECAST.LINEAR('BD_LeiturasHidrômetro_PRJ01'!$A106,G:G,A:A),"0000")</f>
        <v>7057.024605</v>
      </c>
      <c r="J106" s="14">
        <f>IF('BD_LeiturasHidrômetro_PRJ01'!$G106&amp;'BD_LeiturasHidrômetro_PRJ01'!$H106="",'BD_LeiturasHidrômetro_PRJ01'!$I106,'BD_LeiturasHidrômetro_PRJ01'!$G106&amp;'BD_LeiturasHidrômetro_PRJ01'!$H106)</f>
        <v>7057.024605</v>
      </c>
      <c r="K106" s="14">
        <f t="shared" si="1"/>
        <v>7041.942004</v>
      </c>
      <c r="L106" s="15"/>
      <c r="M106" s="15"/>
      <c r="N106" s="17">
        <f t="shared" si="2"/>
        <v>15.08260105</v>
      </c>
      <c r="O106" s="15" t="s">
        <v>21</v>
      </c>
      <c r="S106" s="19"/>
    </row>
    <row r="107" ht="15.75" customHeight="1">
      <c r="A107" s="10">
        <v>127.0</v>
      </c>
      <c r="B107" s="11" t="s">
        <v>136</v>
      </c>
      <c r="C107" s="12">
        <v>29.0</v>
      </c>
      <c r="D107" s="10" t="s">
        <v>108</v>
      </c>
      <c r="E107" s="10">
        <v>2025.0</v>
      </c>
      <c r="F107" s="10" t="s">
        <v>19</v>
      </c>
      <c r="G107" s="13"/>
      <c r="H107" s="13"/>
      <c r="I107" s="14">
        <f>IFERROR(_xlfn.FORECAST.LINEAR('BD_LeiturasHidrômetro_PRJ01'!$A107,G:G,A:A),"0000")</f>
        <v>7072.107206</v>
      </c>
      <c r="J107" s="14">
        <f>IF('BD_LeiturasHidrômetro_PRJ01'!$G107&amp;'BD_LeiturasHidrômetro_PRJ01'!$H107="",'BD_LeiturasHidrômetro_PRJ01'!$I107,'BD_LeiturasHidrômetro_PRJ01'!$G107&amp;'BD_LeiturasHidrômetro_PRJ01'!$H107)</f>
        <v>7072.107206</v>
      </c>
      <c r="K107" s="14">
        <f t="shared" si="1"/>
        <v>7057.024605</v>
      </c>
      <c r="L107" s="15"/>
      <c r="M107" s="15"/>
      <c r="N107" s="17">
        <f t="shared" si="2"/>
        <v>15.08260105</v>
      </c>
      <c r="O107" s="15" t="s">
        <v>21</v>
      </c>
      <c r="S107" s="19"/>
    </row>
    <row r="108" ht="15.75" customHeight="1">
      <c r="A108" s="10">
        <v>128.0</v>
      </c>
      <c r="B108" s="11" t="s">
        <v>137</v>
      </c>
      <c r="C108" s="12">
        <v>30.0</v>
      </c>
      <c r="D108" s="10" t="s">
        <v>108</v>
      </c>
      <c r="E108" s="10">
        <v>2025.0</v>
      </c>
      <c r="F108" s="10" t="s">
        <v>23</v>
      </c>
      <c r="G108" s="13"/>
      <c r="H108" s="13"/>
      <c r="I108" s="14">
        <f>IFERROR(_xlfn.FORECAST.LINEAR('BD_LeiturasHidrômetro_PRJ01'!$A108,G:G,A:A),"0000")</f>
        <v>7087.189807</v>
      </c>
      <c r="J108" s="14">
        <f>IF('BD_LeiturasHidrômetro_PRJ01'!$G108&amp;'BD_LeiturasHidrômetro_PRJ01'!$H108="",'BD_LeiturasHidrômetro_PRJ01'!$I108,'BD_LeiturasHidrômetro_PRJ01'!$G108&amp;'BD_LeiturasHidrômetro_PRJ01'!$H108)</f>
        <v>7087.189807</v>
      </c>
      <c r="K108" s="14">
        <f t="shared" si="1"/>
        <v>7072.107206</v>
      </c>
      <c r="L108" s="15"/>
      <c r="M108" s="15"/>
      <c r="N108" s="17">
        <f t="shared" si="2"/>
        <v>15.08260105</v>
      </c>
      <c r="O108" s="15" t="s">
        <v>21</v>
      </c>
      <c r="S108" s="19"/>
    </row>
    <row r="109" ht="15.75" customHeight="1">
      <c r="A109" s="10">
        <v>129.0</v>
      </c>
      <c r="B109" s="11" t="s">
        <v>138</v>
      </c>
      <c r="C109" s="12">
        <v>1.0</v>
      </c>
      <c r="D109" s="10" t="s">
        <v>139</v>
      </c>
      <c r="E109" s="10">
        <v>2025.0</v>
      </c>
      <c r="F109" s="10" t="s">
        <v>26</v>
      </c>
      <c r="G109" s="13"/>
      <c r="H109" s="13"/>
      <c r="I109" s="14">
        <f>IFERROR(_xlfn.FORECAST.LINEAR('BD_LeiturasHidrômetro_PRJ01'!$A109,G:G,A:A),"0000")</f>
        <v>7102.272408</v>
      </c>
      <c r="J109" s="14">
        <f>IF('BD_LeiturasHidrômetro_PRJ01'!$G109&amp;'BD_LeiturasHidrômetro_PRJ01'!$H109="",'BD_LeiturasHidrômetro_PRJ01'!$I109,'BD_LeiturasHidrômetro_PRJ01'!$G109&amp;'BD_LeiturasHidrômetro_PRJ01'!$H109)</f>
        <v>7102.272408</v>
      </c>
      <c r="K109" s="14">
        <f t="shared" si="1"/>
        <v>7087.189807</v>
      </c>
      <c r="L109" s="15"/>
      <c r="M109" s="15"/>
      <c r="N109" s="17">
        <f t="shared" si="2"/>
        <v>15.08260105</v>
      </c>
      <c r="O109" s="15" t="s">
        <v>21</v>
      </c>
      <c r="S109" s="19"/>
    </row>
    <row r="110" ht="15.75" customHeight="1">
      <c r="A110" s="10">
        <v>130.0</v>
      </c>
      <c r="B110" s="11" t="s">
        <v>140</v>
      </c>
      <c r="C110" s="12">
        <v>2.0</v>
      </c>
      <c r="D110" s="10" t="s">
        <v>139</v>
      </c>
      <c r="E110" s="10">
        <v>2025.0</v>
      </c>
      <c r="F110" s="10" t="s">
        <v>28</v>
      </c>
      <c r="G110" s="13"/>
      <c r="H110" s="13"/>
      <c r="I110" s="14">
        <f>IFERROR(_xlfn.FORECAST.LINEAR('BD_LeiturasHidrômetro_PRJ01'!$A110,G:G,A:A),"0000")</f>
        <v>7117.355009</v>
      </c>
      <c r="J110" s="14">
        <f>IF('BD_LeiturasHidrômetro_PRJ01'!$G110&amp;'BD_LeiturasHidrômetro_PRJ01'!$H110="",'BD_LeiturasHidrômetro_PRJ01'!$I110,'BD_LeiturasHidrômetro_PRJ01'!$G110&amp;'BD_LeiturasHidrômetro_PRJ01'!$H110)</f>
        <v>7117.355009</v>
      </c>
      <c r="K110" s="14">
        <f t="shared" si="1"/>
        <v>7102.272408</v>
      </c>
      <c r="L110" s="15"/>
      <c r="M110" s="15"/>
      <c r="N110" s="17">
        <f t="shared" si="2"/>
        <v>15.08260105</v>
      </c>
      <c r="O110" s="15" t="s">
        <v>21</v>
      </c>
      <c r="S110" s="19"/>
    </row>
    <row r="111" ht="15.75" customHeight="1">
      <c r="A111" s="10">
        <v>131.0</v>
      </c>
      <c r="B111" s="11" t="s">
        <v>141</v>
      </c>
      <c r="C111" s="12">
        <v>3.0</v>
      </c>
      <c r="D111" s="10" t="s">
        <v>139</v>
      </c>
      <c r="E111" s="10">
        <v>2025.0</v>
      </c>
      <c r="F111" s="10" t="s">
        <v>30</v>
      </c>
      <c r="G111" s="13"/>
      <c r="H111" s="13"/>
      <c r="I111" s="14">
        <f>IFERROR(_xlfn.FORECAST.LINEAR('BD_LeiturasHidrômetro_PRJ01'!$A111,G:G,A:A),"0000")</f>
        <v>7132.43761</v>
      </c>
      <c r="J111" s="14">
        <f>IF('BD_LeiturasHidrômetro_PRJ01'!$G111&amp;'BD_LeiturasHidrômetro_PRJ01'!$H111="",'BD_LeiturasHidrômetro_PRJ01'!$I111,'BD_LeiturasHidrômetro_PRJ01'!$G111&amp;'BD_LeiturasHidrômetro_PRJ01'!$H111)</f>
        <v>7132.43761</v>
      </c>
      <c r="K111" s="14">
        <f t="shared" si="1"/>
        <v>7117.355009</v>
      </c>
      <c r="L111" s="15"/>
      <c r="M111" s="15"/>
      <c r="N111" s="17">
        <f t="shared" si="2"/>
        <v>15.08260105</v>
      </c>
      <c r="O111" s="15" t="s">
        <v>21</v>
      </c>
      <c r="S111" s="19"/>
    </row>
    <row r="112" ht="15.75" customHeight="1">
      <c r="A112" s="10">
        <v>132.0</v>
      </c>
      <c r="B112" s="11" t="s">
        <v>142</v>
      </c>
      <c r="C112" s="12">
        <v>4.0</v>
      </c>
      <c r="D112" s="10" t="s">
        <v>139</v>
      </c>
      <c r="E112" s="10">
        <v>2025.0</v>
      </c>
      <c r="F112" s="10" t="s">
        <v>32</v>
      </c>
      <c r="G112" s="13"/>
      <c r="H112" s="13"/>
      <c r="I112" s="14">
        <f>IFERROR(_xlfn.FORECAST.LINEAR('BD_LeiturasHidrômetro_PRJ01'!$A112,G:G,A:A),"0000")</f>
        <v>7147.520211</v>
      </c>
      <c r="J112" s="14">
        <f>IF('BD_LeiturasHidrômetro_PRJ01'!$G112&amp;'BD_LeiturasHidrômetro_PRJ01'!$H112="",'BD_LeiturasHidrômetro_PRJ01'!$I112,'BD_LeiturasHidrômetro_PRJ01'!$G112&amp;'BD_LeiturasHidrômetro_PRJ01'!$H112)</f>
        <v>7147.520211</v>
      </c>
      <c r="K112" s="14">
        <f t="shared" si="1"/>
        <v>7132.43761</v>
      </c>
      <c r="L112" s="15"/>
      <c r="M112" s="15"/>
      <c r="N112" s="17">
        <f t="shared" si="2"/>
        <v>15.08260105</v>
      </c>
      <c r="O112" s="15" t="s">
        <v>21</v>
      </c>
      <c r="S112" s="19"/>
    </row>
    <row r="113" ht="15.75" customHeight="1">
      <c r="A113" s="10">
        <v>133.0</v>
      </c>
      <c r="B113" s="11" t="s">
        <v>143</v>
      </c>
      <c r="C113" s="12">
        <v>5.0</v>
      </c>
      <c r="D113" s="10" t="s">
        <v>139</v>
      </c>
      <c r="E113" s="10">
        <v>2025.0</v>
      </c>
      <c r="F113" s="10" t="s">
        <v>34</v>
      </c>
      <c r="G113" s="13"/>
      <c r="H113" s="13"/>
      <c r="I113" s="14">
        <f>IFERROR(_xlfn.FORECAST.LINEAR('BD_LeiturasHidrômetro_PRJ01'!$A113,G:G,A:A),"0000")</f>
        <v>7162.602812</v>
      </c>
      <c r="J113" s="14">
        <f>IF('BD_LeiturasHidrômetro_PRJ01'!$G113&amp;'BD_LeiturasHidrômetro_PRJ01'!$H113="",'BD_LeiturasHidrômetro_PRJ01'!$I113,'BD_LeiturasHidrômetro_PRJ01'!$G113&amp;'BD_LeiturasHidrômetro_PRJ01'!$H113)</f>
        <v>7162.602812</v>
      </c>
      <c r="K113" s="14">
        <f t="shared" si="1"/>
        <v>7147.520211</v>
      </c>
      <c r="L113" s="15"/>
      <c r="M113" s="15"/>
      <c r="N113" s="17">
        <f t="shared" si="2"/>
        <v>15.08260105</v>
      </c>
      <c r="O113" s="15" t="s">
        <v>21</v>
      </c>
      <c r="S113" s="19"/>
    </row>
    <row r="114" ht="15.75" customHeight="1">
      <c r="A114" s="10">
        <v>134.0</v>
      </c>
      <c r="B114" s="11" t="s">
        <v>144</v>
      </c>
      <c r="C114" s="12">
        <v>6.0</v>
      </c>
      <c r="D114" s="10" t="s">
        <v>139</v>
      </c>
      <c r="E114" s="10">
        <v>2025.0</v>
      </c>
      <c r="F114" s="10" t="s">
        <v>19</v>
      </c>
      <c r="G114" s="13"/>
      <c r="H114" s="13"/>
      <c r="I114" s="14">
        <f>IFERROR(_xlfn.FORECAST.LINEAR('BD_LeiturasHidrômetro_PRJ01'!$A114,G:G,A:A),"0000")</f>
        <v>7177.685413</v>
      </c>
      <c r="J114" s="14">
        <f>IF('BD_LeiturasHidrômetro_PRJ01'!$G114&amp;'BD_LeiturasHidrômetro_PRJ01'!$H114="",'BD_LeiturasHidrômetro_PRJ01'!$I114,'BD_LeiturasHidrômetro_PRJ01'!$G114&amp;'BD_LeiturasHidrômetro_PRJ01'!$H114)</f>
        <v>7177.685413</v>
      </c>
      <c r="K114" s="14">
        <f t="shared" si="1"/>
        <v>7162.602812</v>
      </c>
      <c r="L114" s="15"/>
      <c r="M114" s="15"/>
      <c r="N114" s="17">
        <f t="shared" si="2"/>
        <v>15.08260105</v>
      </c>
      <c r="O114" s="15" t="s">
        <v>21</v>
      </c>
      <c r="S114" s="19"/>
    </row>
    <row r="115" ht="15.75" customHeight="1">
      <c r="A115" s="10">
        <v>135.0</v>
      </c>
      <c r="B115" s="11" t="s">
        <v>145</v>
      </c>
      <c r="C115" s="12">
        <v>7.0</v>
      </c>
      <c r="D115" s="10" t="s">
        <v>139</v>
      </c>
      <c r="E115" s="10">
        <v>2025.0</v>
      </c>
      <c r="F115" s="10" t="s">
        <v>23</v>
      </c>
      <c r="G115" s="13"/>
      <c r="H115" s="13"/>
      <c r="I115" s="14">
        <f>IFERROR(_xlfn.FORECAST.LINEAR('BD_LeiturasHidrômetro_PRJ01'!$A115,G:G,A:A),"0000")</f>
        <v>7192.768014</v>
      </c>
      <c r="J115" s="14">
        <f>IF('BD_LeiturasHidrômetro_PRJ01'!$G115&amp;'BD_LeiturasHidrômetro_PRJ01'!$H115="",'BD_LeiturasHidrômetro_PRJ01'!$I115,'BD_LeiturasHidrômetro_PRJ01'!$G115&amp;'BD_LeiturasHidrômetro_PRJ01'!$H115)</f>
        <v>7192.768014</v>
      </c>
      <c r="K115" s="14">
        <f t="shared" si="1"/>
        <v>7177.685413</v>
      </c>
      <c r="L115" s="15"/>
      <c r="M115" s="15"/>
      <c r="N115" s="17">
        <f t="shared" si="2"/>
        <v>15.08260105</v>
      </c>
      <c r="O115" s="15" t="s">
        <v>21</v>
      </c>
      <c r="S115" s="19"/>
    </row>
    <row r="116" ht="15.75" customHeight="1">
      <c r="A116" s="10">
        <v>136.0</v>
      </c>
      <c r="B116" s="11" t="s">
        <v>146</v>
      </c>
      <c r="C116" s="12">
        <v>8.0</v>
      </c>
      <c r="D116" s="10" t="s">
        <v>139</v>
      </c>
      <c r="E116" s="10">
        <v>2025.0</v>
      </c>
      <c r="F116" s="10" t="s">
        <v>26</v>
      </c>
      <c r="G116" s="13"/>
      <c r="H116" s="13"/>
      <c r="I116" s="14">
        <f>IFERROR(_xlfn.FORECAST.LINEAR('BD_LeiturasHidrômetro_PRJ01'!$A116,G:G,A:A),"0000")</f>
        <v>7207.850615</v>
      </c>
      <c r="J116" s="14">
        <f>IF('BD_LeiturasHidrômetro_PRJ01'!$G116&amp;'BD_LeiturasHidrômetro_PRJ01'!$H116="",'BD_LeiturasHidrômetro_PRJ01'!$I116,'BD_LeiturasHidrômetro_PRJ01'!$G116&amp;'BD_LeiturasHidrômetro_PRJ01'!$H116)</f>
        <v>7207.850615</v>
      </c>
      <c r="K116" s="14">
        <f t="shared" si="1"/>
        <v>7192.768014</v>
      </c>
      <c r="L116" s="15"/>
      <c r="M116" s="15"/>
      <c r="N116" s="17">
        <f t="shared" si="2"/>
        <v>15.08260105</v>
      </c>
      <c r="O116" s="15" t="s">
        <v>21</v>
      </c>
      <c r="S116" s="19"/>
    </row>
    <row r="117" ht="15.75" customHeight="1">
      <c r="A117" s="10">
        <v>137.0</v>
      </c>
      <c r="B117" s="11" t="s">
        <v>147</v>
      </c>
      <c r="C117" s="12">
        <v>9.0</v>
      </c>
      <c r="D117" s="10" t="s">
        <v>139</v>
      </c>
      <c r="E117" s="10">
        <v>2025.0</v>
      </c>
      <c r="F117" s="10" t="s">
        <v>28</v>
      </c>
      <c r="G117" s="13"/>
      <c r="H117" s="13"/>
      <c r="I117" s="14">
        <f>IFERROR(_xlfn.FORECAST.LINEAR('BD_LeiturasHidrômetro_PRJ01'!$A117,G:G,A:A),"0000")</f>
        <v>7222.933216</v>
      </c>
      <c r="J117" s="14">
        <f>IF('BD_LeiturasHidrômetro_PRJ01'!$G117&amp;'BD_LeiturasHidrômetro_PRJ01'!$H117="",'BD_LeiturasHidrômetro_PRJ01'!$I117,'BD_LeiturasHidrômetro_PRJ01'!$G117&amp;'BD_LeiturasHidrômetro_PRJ01'!$H117)</f>
        <v>7222.933216</v>
      </c>
      <c r="K117" s="14">
        <f t="shared" si="1"/>
        <v>7207.850615</v>
      </c>
      <c r="L117" s="15"/>
      <c r="M117" s="15"/>
      <c r="N117" s="17">
        <f t="shared" si="2"/>
        <v>15.08260105</v>
      </c>
      <c r="O117" s="15" t="s">
        <v>21</v>
      </c>
      <c r="S117" s="19"/>
    </row>
    <row r="118" ht="15.75" customHeight="1">
      <c r="A118" s="10">
        <v>138.0</v>
      </c>
      <c r="B118" s="11" t="s">
        <v>148</v>
      </c>
      <c r="C118" s="12">
        <v>10.0</v>
      </c>
      <c r="D118" s="10" t="s">
        <v>139</v>
      </c>
      <c r="E118" s="10">
        <v>2025.0</v>
      </c>
      <c r="F118" s="10" t="s">
        <v>30</v>
      </c>
      <c r="G118" s="13"/>
      <c r="H118" s="13"/>
      <c r="I118" s="14">
        <f>IFERROR(_xlfn.FORECAST.LINEAR('BD_LeiturasHidrômetro_PRJ01'!$A118,G:G,A:A),"0000")</f>
        <v>7238.015817</v>
      </c>
      <c r="J118" s="14">
        <f>IF('BD_LeiturasHidrômetro_PRJ01'!$G118&amp;'BD_LeiturasHidrômetro_PRJ01'!$H118="",'BD_LeiturasHidrômetro_PRJ01'!$I118,'BD_LeiturasHidrômetro_PRJ01'!$G118&amp;'BD_LeiturasHidrômetro_PRJ01'!$H118)</f>
        <v>7238.015817</v>
      </c>
      <c r="K118" s="14">
        <f t="shared" si="1"/>
        <v>7222.933216</v>
      </c>
      <c r="L118" s="15"/>
      <c r="M118" s="15"/>
      <c r="N118" s="17">
        <f t="shared" si="2"/>
        <v>15.08260105</v>
      </c>
      <c r="O118" s="15" t="s">
        <v>21</v>
      </c>
      <c r="S118" s="19"/>
    </row>
    <row r="119" ht="15.75" customHeight="1">
      <c r="A119" s="10">
        <v>139.0</v>
      </c>
      <c r="B119" s="11" t="s">
        <v>149</v>
      </c>
      <c r="C119" s="12">
        <v>11.0</v>
      </c>
      <c r="D119" s="10" t="s">
        <v>139</v>
      </c>
      <c r="E119" s="10">
        <v>2025.0</v>
      </c>
      <c r="F119" s="10" t="s">
        <v>32</v>
      </c>
      <c r="G119" s="13"/>
      <c r="H119" s="13"/>
      <c r="I119" s="14">
        <f>IFERROR(_xlfn.FORECAST.LINEAR('BD_LeiturasHidrômetro_PRJ01'!$A119,G:G,A:A),"0000")</f>
        <v>7253.098418</v>
      </c>
      <c r="J119" s="14">
        <f>IF('BD_LeiturasHidrômetro_PRJ01'!$G119&amp;'BD_LeiturasHidrômetro_PRJ01'!$H119="",'BD_LeiturasHidrômetro_PRJ01'!$I119,'BD_LeiturasHidrômetro_PRJ01'!$G119&amp;'BD_LeiturasHidrômetro_PRJ01'!$H119)</f>
        <v>7253.098418</v>
      </c>
      <c r="K119" s="14">
        <f t="shared" si="1"/>
        <v>7238.015817</v>
      </c>
      <c r="L119" s="15"/>
      <c r="M119" s="15"/>
      <c r="N119" s="17">
        <f t="shared" si="2"/>
        <v>15.08260105</v>
      </c>
      <c r="O119" s="15" t="s">
        <v>21</v>
      </c>
      <c r="S119" s="19"/>
    </row>
    <row r="120" ht="15.75" customHeight="1">
      <c r="A120" s="10">
        <v>140.0</v>
      </c>
      <c r="B120" s="11" t="s">
        <v>150</v>
      </c>
      <c r="C120" s="12">
        <v>12.0</v>
      </c>
      <c r="D120" s="10" t="s">
        <v>139</v>
      </c>
      <c r="E120" s="10">
        <v>2025.0</v>
      </c>
      <c r="F120" s="10" t="s">
        <v>34</v>
      </c>
      <c r="G120" s="13"/>
      <c r="H120" s="13"/>
      <c r="I120" s="14">
        <f>IFERROR(_xlfn.FORECAST.LINEAR('BD_LeiturasHidrômetro_PRJ01'!$A120,G:G,A:A),"0000")</f>
        <v>7268.181019</v>
      </c>
      <c r="J120" s="14">
        <f>IF('BD_LeiturasHidrômetro_PRJ01'!$G120&amp;'BD_LeiturasHidrômetro_PRJ01'!$H120="",'BD_LeiturasHidrômetro_PRJ01'!$I120,'BD_LeiturasHidrômetro_PRJ01'!$G120&amp;'BD_LeiturasHidrômetro_PRJ01'!$H120)</f>
        <v>7268.181019</v>
      </c>
      <c r="K120" s="14">
        <f t="shared" si="1"/>
        <v>7253.098418</v>
      </c>
      <c r="L120" s="15"/>
      <c r="M120" s="15"/>
      <c r="N120" s="17">
        <f t="shared" si="2"/>
        <v>15.08260105</v>
      </c>
      <c r="O120" s="15" t="s">
        <v>21</v>
      </c>
      <c r="S120" s="19"/>
    </row>
    <row r="121" ht="15.75" customHeight="1">
      <c r="A121" s="10">
        <v>141.0</v>
      </c>
      <c r="B121" s="11" t="s">
        <v>151</v>
      </c>
      <c r="C121" s="12">
        <v>13.0</v>
      </c>
      <c r="D121" s="10" t="s">
        <v>139</v>
      </c>
      <c r="E121" s="10">
        <v>2025.0</v>
      </c>
      <c r="F121" s="10" t="s">
        <v>19</v>
      </c>
      <c r="G121" s="13"/>
      <c r="H121" s="13"/>
      <c r="I121" s="14">
        <f>IFERROR(_xlfn.FORECAST.LINEAR('BD_LeiturasHidrômetro_PRJ01'!$A121,G:G,A:A),"0000")</f>
        <v>7283.26362</v>
      </c>
      <c r="J121" s="14">
        <f>IF('BD_LeiturasHidrômetro_PRJ01'!$G121&amp;'BD_LeiturasHidrômetro_PRJ01'!$H121="",'BD_LeiturasHidrômetro_PRJ01'!$I121,'BD_LeiturasHidrômetro_PRJ01'!$G121&amp;'BD_LeiturasHidrômetro_PRJ01'!$H121)</f>
        <v>7283.26362</v>
      </c>
      <c r="K121" s="14">
        <f t="shared" si="1"/>
        <v>7268.181019</v>
      </c>
      <c r="L121" s="15"/>
      <c r="M121" s="15"/>
      <c r="N121" s="17">
        <f t="shared" si="2"/>
        <v>15.08260105</v>
      </c>
      <c r="O121" s="15" t="s">
        <v>21</v>
      </c>
      <c r="S121" s="19"/>
    </row>
    <row r="122" ht="15.75" customHeight="1">
      <c r="A122" s="10">
        <v>142.0</v>
      </c>
      <c r="B122" s="11" t="s">
        <v>152</v>
      </c>
      <c r="C122" s="12">
        <v>14.0</v>
      </c>
      <c r="D122" s="10" t="s">
        <v>139</v>
      </c>
      <c r="E122" s="10">
        <v>2025.0</v>
      </c>
      <c r="F122" s="10" t="s">
        <v>23</v>
      </c>
      <c r="G122" s="13"/>
      <c r="H122" s="13"/>
      <c r="I122" s="14">
        <f>IFERROR(_xlfn.FORECAST.LINEAR('BD_LeiturasHidrômetro_PRJ01'!$A122,G:G,A:A),"0000")</f>
        <v>7298.346221</v>
      </c>
      <c r="J122" s="14">
        <f>IF('BD_LeiturasHidrômetro_PRJ01'!$G122&amp;'BD_LeiturasHidrômetro_PRJ01'!$H122="",'BD_LeiturasHidrômetro_PRJ01'!$I122,'BD_LeiturasHidrômetro_PRJ01'!$G122&amp;'BD_LeiturasHidrômetro_PRJ01'!$H122)</f>
        <v>7298.346221</v>
      </c>
      <c r="K122" s="14">
        <f t="shared" si="1"/>
        <v>7283.26362</v>
      </c>
      <c r="L122" s="15"/>
      <c r="M122" s="15"/>
      <c r="N122" s="17">
        <f t="shared" si="2"/>
        <v>15.08260105</v>
      </c>
      <c r="O122" s="15" t="s">
        <v>21</v>
      </c>
      <c r="S122" s="19"/>
    </row>
    <row r="123" ht="15.75" customHeight="1">
      <c r="A123" s="10">
        <v>143.0</v>
      </c>
      <c r="B123" s="11" t="s">
        <v>153</v>
      </c>
      <c r="C123" s="12">
        <v>15.0</v>
      </c>
      <c r="D123" s="10" t="s">
        <v>139</v>
      </c>
      <c r="E123" s="10">
        <v>2025.0</v>
      </c>
      <c r="F123" s="10" t="s">
        <v>26</v>
      </c>
      <c r="G123" s="13"/>
      <c r="H123" s="13"/>
      <c r="I123" s="14">
        <f>IFERROR(_xlfn.FORECAST.LINEAR('BD_LeiturasHidrômetro_PRJ01'!$A123,G:G,A:A),"0000")</f>
        <v>7313.428822</v>
      </c>
      <c r="J123" s="14">
        <f>IF('BD_LeiturasHidrômetro_PRJ01'!$G123&amp;'BD_LeiturasHidrômetro_PRJ01'!$H123="",'BD_LeiturasHidrômetro_PRJ01'!$I123,'BD_LeiturasHidrômetro_PRJ01'!$G123&amp;'BD_LeiturasHidrômetro_PRJ01'!$H123)</f>
        <v>7313.428822</v>
      </c>
      <c r="K123" s="14">
        <f t="shared" si="1"/>
        <v>7298.346221</v>
      </c>
      <c r="L123" s="15"/>
      <c r="M123" s="15"/>
      <c r="N123" s="17">
        <f t="shared" si="2"/>
        <v>15.08260105</v>
      </c>
      <c r="O123" s="15" t="s">
        <v>21</v>
      </c>
      <c r="S123" s="19"/>
    </row>
    <row r="124" ht="15.75" customHeight="1">
      <c r="A124" s="10">
        <v>144.0</v>
      </c>
      <c r="B124" s="11" t="s">
        <v>154</v>
      </c>
      <c r="C124" s="12">
        <v>16.0</v>
      </c>
      <c r="D124" s="10" t="s">
        <v>139</v>
      </c>
      <c r="E124" s="10">
        <v>2025.0</v>
      </c>
      <c r="F124" s="10" t="s">
        <v>28</v>
      </c>
      <c r="G124" s="13"/>
      <c r="H124" s="13"/>
      <c r="I124" s="14">
        <f>IFERROR(_xlfn.FORECAST.LINEAR('BD_LeiturasHidrômetro_PRJ01'!$A124,G:G,A:A),"0000")</f>
        <v>7328.511424</v>
      </c>
      <c r="J124" s="14">
        <f>IF('BD_LeiturasHidrômetro_PRJ01'!$G124&amp;'BD_LeiturasHidrômetro_PRJ01'!$H124="",'BD_LeiturasHidrômetro_PRJ01'!$I124,'BD_LeiturasHidrômetro_PRJ01'!$G124&amp;'BD_LeiturasHidrômetro_PRJ01'!$H124)</f>
        <v>7328.511424</v>
      </c>
      <c r="K124" s="14">
        <f t="shared" si="1"/>
        <v>7313.428822</v>
      </c>
      <c r="L124" s="15"/>
      <c r="M124" s="15"/>
      <c r="N124" s="17">
        <f t="shared" si="2"/>
        <v>15.08260105</v>
      </c>
      <c r="O124" s="15" t="s">
        <v>21</v>
      </c>
      <c r="S124" s="19"/>
    </row>
    <row r="125" ht="15.75" customHeight="1">
      <c r="A125" s="10">
        <v>145.0</v>
      </c>
      <c r="B125" s="11" t="s">
        <v>155</v>
      </c>
      <c r="C125" s="12">
        <v>17.0</v>
      </c>
      <c r="D125" s="10" t="s">
        <v>139</v>
      </c>
      <c r="E125" s="10">
        <v>2025.0</v>
      </c>
      <c r="F125" s="10" t="s">
        <v>30</v>
      </c>
      <c r="G125" s="13"/>
      <c r="H125" s="13"/>
      <c r="I125" s="14">
        <f>IFERROR(_xlfn.FORECAST.LINEAR('BD_LeiturasHidrômetro_PRJ01'!$A125,G:G,A:A),"0000")</f>
        <v>7343.594025</v>
      </c>
      <c r="J125" s="14">
        <f>IF('BD_LeiturasHidrômetro_PRJ01'!$G125&amp;'BD_LeiturasHidrômetro_PRJ01'!$H125="",'BD_LeiturasHidrômetro_PRJ01'!$I125,'BD_LeiturasHidrômetro_PRJ01'!$G125&amp;'BD_LeiturasHidrômetro_PRJ01'!$H125)</f>
        <v>7343.594025</v>
      </c>
      <c r="K125" s="14">
        <f t="shared" si="1"/>
        <v>7328.511424</v>
      </c>
      <c r="L125" s="15"/>
      <c r="M125" s="15"/>
      <c r="N125" s="17">
        <f t="shared" si="2"/>
        <v>15.08260105</v>
      </c>
      <c r="O125" s="15" t="s">
        <v>21</v>
      </c>
      <c r="S125" s="19"/>
    </row>
    <row r="126" ht="15.75" customHeight="1">
      <c r="A126" s="10">
        <v>146.0</v>
      </c>
      <c r="B126" s="11" t="s">
        <v>156</v>
      </c>
      <c r="C126" s="12">
        <v>18.0</v>
      </c>
      <c r="D126" s="10" t="s">
        <v>139</v>
      </c>
      <c r="E126" s="10">
        <v>2025.0</v>
      </c>
      <c r="F126" s="10" t="s">
        <v>32</v>
      </c>
      <c r="G126" s="13"/>
      <c r="H126" s="13"/>
      <c r="I126" s="14">
        <f>IFERROR(_xlfn.FORECAST.LINEAR('BD_LeiturasHidrômetro_PRJ01'!$A126,G:G,A:A),"0000")</f>
        <v>7358.676626</v>
      </c>
      <c r="J126" s="14">
        <f>IF('BD_LeiturasHidrômetro_PRJ01'!$G126&amp;'BD_LeiturasHidrômetro_PRJ01'!$H126="",'BD_LeiturasHidrômetro_PRJ01'!$I126,'BD_LeiturasHidrômetro_PRJ01'!$G126&amp;'BD_LeiturasHidrômetro_PRJ01'!$H126)</f>
        <v>7358.676626</v>
      </c>
      <c r="K126" s="14">
        <f t="shared" si="1"/>
        <v>7343.594025</v>
      </c>
      <c r="L126" s="15"/>
      <c r="M126" s="15"/>
      <c r="N126" s="17">
        <f t="shared" si="2"/>
        <v>15.08260105</v>
      </c>
      <c r="O126" s="15" t="s">
        <v>21</v>
      </c>
      <c r="S126" s="19"/>
    </row>
    <row r="127" ht="15.75" customHeight="1">
      <c r="A127" s="10">
        <v>147.0</v>
      </c>
      <c r="B127" s="11" t="s">
        <v>157</v>
      </c>
      <c r="C127" s="12">
        <v>19.0</v>
      </c>
      <c r="D127" s="10" t="s">
        <v>139</v>
      </c>
      <c r="E127" s="10">
        <v>2025.0</v>
      </c>
      <c r="F127" s="10" t="s">
        <v>34</v>
      </c>
      <c r="G127" s="13"/>
      <c r="H127" s="13"/>
      <c r="I127" s="14">
        <f>IFERROR(_xlfn.FORECAST.LINEAR('BD_LeiturasHidrômetro_PRJ01'!$A127,G:G,A:A),"0000")</f>
        <v>7373.759227</v>
      </c>
      <c r="J127" s="14">
        <f>IF('BD_LeiturasHidrômetro_PRJ01'!$G127&amp;'BD_LeiturasHidrômetro_PRJ01'!$H127="",'BD_LeiturasHidrômetro_PRJ01'!$I127,'BD_LeiturasHidrômetro_PRJ01'!$G127&amp;'BD_LeiturasHidrômetro_PRJ01'!$H127)</f>
        <v>7373.759227</v>
      </c>
      <c r="K127" s="14">
        <f t="shared" si="1"/>
        <v>7358.676626</v>
      </c>
      <c r="L127" s="15"/>
      <c r="M127" s="15"/>
      <c r="N127" s="17">
        <f t="shared" si="2"/>
        <v>15.08260105</v>
      </c>
      <c r="O127" s="15" t="s">
        <v>21</v>
      </c>
      <c r="S127" s="19"/>
    </row>
    <row r="128" ht="15.75" customHeight="1">
      <c r="A128" s="10">
        <v>148.0</v>
      </c>
      <c r="B128" s="11" t="s">
        <v>158</v>
      </c>
      <c r="C128" s="12">
        <v>20.0</v>
      </c>
      <c r="D128" s="10" t="s">
        <v>139</v>
      </c>
      <c r="E128" s="10">
        <v>2025.0</v>
      </c>
      <c r="F128" s="10" t="s">
        <v>19</v>
      </c>
      <c r="G128" s="13"/>
      <c r="H128" s="13"/>
      <c r="I128" s="14">
        <f>IFERROR(_xlfn.FORECAST.LINEAR('BD_LeiturasHidrômetro_PRJ01'!$A128,G:G,A:A),"0000")</f>
        <v>7388.841828</v>
      </c>
      <c r="J128" s="14">
        <f>IF('BD_LeiturasHidrômetro_PRJ01'!$G128&amp;'BD_LeiturasHidrômetro_PRJ01'!$H128="",'BD_LeiturasHidrômetro_PRJ01'!$I128,'BD_LeiturasHidrômetro_PRJ01'!$G128&amp;'BD_LeiturasHidrômetro_PRJ01'!$H128)</f>
        <v>7388.841828</v>
      </c>
      <c r="K128" s="14">
        <f t="shared" si="1"/>
        <v>7373.759227</v>
      </c>
      <c r="L128" s="15"/>
      <c r="M128" s="15"/>
      <c r="N128" s="17">
        <f t="shared" si="2"/>
        <v>15.08260105</v>
      </c>
      <c r="O128" s="15" t="s">
        <v>21</v>
      </c>
      <c r="S128" s="19"/>
    </row>
    <row r="129" ht="15.75" customHeight="1">
      <c r="A129" s="10">
        <v>149.0</v>
      </c>
      <c r="B129" s="11" t="s">
        <v>159</v>
      </c>
      <c r="C129" s="12">
        <v>21.0</v>
      </c>
      <c r="D129" s="10" t="s">
        <v>139</v>
      </c>
      <c r="E129" s="10">
        <v>2025.0</v>
      </c>
      <c r="F129" s="10" t="s">
        <v>23</v>
      </c>
      <c r="G129" s="13"/>
      <c r="H129" s="13"/>
      <c r="I129" s="14">
        <f>IFERROR(_xlfn.FORECAST.LINEAR('BD_LeiturasHidrômetro_PRJ01'!$A129,G:G,A:A),"0000")</f>
        <v>7403.924429</v>
      </c>
      <c r="J129" s="14">
        <f>IF('BD_LeiturasHidrômetro_PRJ01'!$G129&amp;'BD_LeiturasHidrômetro_PRJ01'!$H129="",'BD_LeiturasHidrômetro_PRJ01'!$I129,'BD_LeiturasHidrômetro_PRJ01'!$G129&amp;'BD_LeiturasHidrômetro_PRJ01'!$H129)</f>
        <v>7403.924429</v>
      </c>
      <c r="K129" s="14">
        <f t="shared" si="1"/>
        <v>7388.841828</v>
      </c>
      <c r="L129" s="15"/>
      <c r="M129" s="15"/>
      <c r="N129" s="17">
        <f t="shared" si="2"/>
        <v>15.08260105</v>
      </c>
      <c r="O129" s="15" t="s">
        <v>21</v>
      </c>
      <c r="S129" s="19"/>
    </row>
    <row r="130" ht="15.75" customHeight="1">
      <c r="A130" s="10">
        <v>150.0</v>
      </c>
      <c r="B130" s="11" t="s">
        <v>160</v>
      </c>
      <c r="C130" s="12">
        <v>22.0</v>
      </c>
      <c r="D130" s="10" t="s">
        <v>139</v>
      </c>
      <c r="E130" s="10">
        <v>2025.0</v>
      </c>
      <c r="F130" s="10" t="s">
        <v>26</v>
      </c>
      <c r="G130" s="13"/>
      <c r="H130" s="13"/>
      <c r="I130" s="14">
        <f>IFERROR(_xlfn.FORECAST.LINEAR('BD_LeiturasHidrômetro_PRJ01'!$A130,G:G,A:A),"0000")</f>
        <v>7419.00703</v>
      </c>
      <c r="J130" s="14">
        <f>IF('BD_LeiturasHidrômetro_PRJ01'!$G130&amp;'BD_LeiturasHidrômetro_PRJ01'!$H130="",'BD_LeiturasHidrômetro_PRJ01'!$I130,'BD_LeiturasHidrômetro_PRJ01'!$G130&amp;'BD_LeiturasHidrômetro_PRJ01'!$H130)</f>
        <v>7419.00703</v>
      </c>
      <c r="K130" s="14">
        <f t="shared" si="1"/>
        <v>7403.924429</v>
      </c>
      <c r="L130" s="15"/>
      <c r="M130" s="15"/>
      <c r="N130" s="17">
        <f t="shared" si="2"/>
        <v>15.08260105</v>
      </c>
      <c r="O130" s="15" t="s">
        <v>21</v>
      </c>
      <c r="S130" s="19"/>
    </row>
    <row r="131" ht="15.75" customHeight="1">
      <c r="A131" s="10">
        <v>151.0</v>
      </c>
      <c r="B131" s="11" t="s">
        <v>161</v>
      </c>
      <c r="C131" s="12">
        <v>23.0</v>
      </c>
      <c r="D131" s="10" t="s">
        <v>139</v>
      </c>
      <c r="E131" s="10">
        <v>2025.0</v>
      </c>
      <c r="F131" s="10" t="s">
        <v>28</v>
      </c>
      <c r="G131" s="13"/>
      <c r="H131" s="13"/>
      <c r="I131" s="14">
        <f>IFERROR(_xlfn.FORECAST.LINEAR('BD_LeiturasHidrômetro_PRJ01'!$A131,G:G,A:A),"0000")</f>
        <v>7434.089631</v>
      </c>
      <c r="J131" s="14">
        <f>IF('BD_LeiturasHidrômetro_PRJ01'!$G131&amp;'BD_LeiturasHidrômetro_PRJ01'!$H131="",'BD_LeiturasHidrômetro_PRJ01'!$I131,'BD_LeiturasHidrômetro_PRJ01'!$G131&amp;'BD_LeiturasHidrômetro_PRJ01'!$H131)</f>
        <v>7434.089631</v>
      </c>
      <c r="K131" s="14">
        <f t="shared" si="1"/>
        <v>7419.00703</v>
      </c>
      <c r="L131" s="15"/>
      <c r="M131" s="15"/>
      <c r="N131" s="17">
        <f t="shared" si="2"/>
        <v>15.08260105</v>
      </c>
      <c r="O131" s="15" t="s">
        <v>21</v>
      </c>
      <c r="S131" s="19"/>
    </row>
    <row r="132" ht="15.75" customHeight="1">
      <c r="A132" s="10">
        <v>152.0</v>
      </c>
      <c r="B132" s="11" t="s">
        <v>162</v>
      </c>
      <c r="C132" s="12">
        <v>24.0</v>
      </c>
      <c r="D132" s="10" t="s">
        <v>139</v>
      </c>
      <c r="E132" s="10">
        <v>2025.0</v>
      </c>
      <c r="F132" s="10" t="s">
        <v>30</v>
      </c>
      <c r="G132" s="13"/>
      <c r="H132" s="13"/>
      <c r="I132" s="14">
        <f>IFERROR(_xlfn.FORECAST.LINEAR('BD_LeiturasHidrômetro_PRJ01'!$A132,G:G,A:A),"0000")</f>
        <v>7449.172232</v>
      </c>
      <c r="J132" s="14">
        <f>IF('BD_LeiturasHidrômetro_PRJ01'!$G132&amp;'BD_LeiturasHidrômetro_PRJ01'!$H132="",'BD_LeiturasHidrômetro_PRJ01'!$I132,'BD_LeiturasHidrômetro_PRJ01'!$G132&amp;'BD_LeiturasHidrômetro_PRJ01'!$H132)</f>
        <v>7449.172232</v>
      </c>
      <c r="K132" s="14">
        <f t="shared" si="1"/>
        <v>7434.089631</v>
      </c>
      <c r="L132" s="15"/>
      <c r="M132" s="15"/>
      <c r="N132" s="17">
        <f t="shared" si="2"/>
        <v>15.08260105</v>
      </c>
      <c r="O132" s="15" t="s">
        <v>21</v>
      </c>
      <c r="S132" s="19"/>
    </row>
    <row r="133" ht="15.75" customHeight="1">
      <c r="A133" s="10">
        <v>153.0</v>
      </c>
      <c r="B133" s="11" t="s">
        <v>163</v>
      </c>
      <c r="C133" s="12">
        <v>25.0</v>
      </c>
      <c r="D133" s="10" t="s">
        <v>139</v>
      </c>
      <c r="E133" s="10">
        <v>2025.0</v>
      </c>
      <c r="F133" s="10" t="s">
        <v>32</v>
      </c>
      <c r="G133" s="13"/>
      <c r="H133" s="13"/>
      <c r="I133" s="14">
        <f>IFERROR(_xlfn.FORECAST.LINEAR('BD_LeiturasHidrômetro_PRJ01'!$A133,G:G,A:A),"0000")</f>
        <v>7464.254833</v>
      </c>
      <c r="J133" s="14">
        <f>IF('BD_LeiturasHidrômetro_PRJ01'!$G133&amp;'BD_LeiturasHidrômetro_PRJ01'!$H133="",'BD_LeiturasHidrômetro_PRJ01'!$I133,'BD_LeiturasHidrômetro_PRJ01'!$G133&amp;'BD_LeiturasHidrômetro_PRJ01'!$H133)</f>
        <v>7464.254833</v>
      </c>
      <c r="K133" s="14">
        <f t="shared" si="1"/>
        <v>7449.172232</v>
      </c>
      <c r="L133" s="15"/>
      <c r="M133" s="15"/>
      <c r="N133" s="17">
        <f t="shared" si="2"/>
        <v>15.08260105</v>
      </c>
      <c r="O133" s="15" t="s">
        <v>21</v>
      </c>
      <c r="S133" s="19"/>
    </row>
    <row r="134" ht="15.75" customHeight="1">
      <c r="A134" s="10">
        <v>154.0</v>
      </c>
      <c r="B134" s="11" t="s">
        <v>164</v>
      </c>
      <c r="C134" s="12">
        <v>26.0</v>
      </c>
      <c r="D134" s="10" t="s">
        <v>139</v>
      </c>
      <c r="E134" s="10">
        <v>2025.0</v>
      </c>
      <c r="F134" s="10" t="s">
        <v>34</v>
      </c>
      <c r="G134" s="13"/>
      <c r="H134" s="13"/>
      <c r="I134" s="14">
        <f>IFERROR(_xlfn.FORECAST.LINEAR('BD_LeiturasHidrômetro_PRJ01'!$A134,G:G,A:A),"0000")</f>
        <v>7479.337434</v>
      </c>
      <c r="J134" s="14">
        <f>IF('BD_LeiturasHidrômetro_PRJ01'!$G134&amp;'BD_LeiturasHidrômetro_PRJ01'!$H134="",'BD_LeiturasHidrômetro_PRJ01'!$I134,'BD_LeiturasHidrômetro_PRJ01'!$G134&amp;'BD_LeiturasHidrômetro_PRJ01'!$H134)</f>
        <v>7479.337434</v>
      </c>
      <c r="K134" s="14">
        <f t="shared" si="1"/>
        <v>7464.254833</v>
      </c>
      <c r="L134" s="15"/>
      <c r="M134" s="15"/>
      <c r="N134" s="17">
        <f t="shared" si="2"/>
        <v>15.08260105</v>
      </c>
      <c r="O134" s="15" t="s">
        <v>21</v>
      </c>
      <c r="S134" s="19"/>
    </row>
    <row r="135" ht="15.75" customHeight="1">
      <c r="A135" s="10">
        <v>155.0</v>
      </c>
      <c r="B135" s="11" t="s">
        <v>165</v>
      </c>
      <c r="C135" s="12">
        <v>27.0</v>
      </c>
      <c r="D135" s="10" t="s">
        <v>139</v>
      </c>
      <c r="E135" s="10">
        <v>2025.0</v>
      </c>
      <c r="F135" s="10" t="s">
        <v>19</v>
      </c>
      <c r="G135" s="13"/>
      <c r="H135" s="13"/>
      <c r="I135" s="14">
        <f>IFERROR(_xlfn.FORECAST.LINEAR('BD_LeiturasHidrômetro_PRJ01'!$A135,G:G,A:A),"0000")</f>
        <v>7494.420035</v>
      </c>
      <c r="J135" s="14">
        <f>IF('BD_LeiturasHidrômetro_PRJ01'!$G135&amp;'BD_LeiturasHidrômetro_PRJ01'!$H135="",'BD_LeiturasHidrômetro_PRJ01'!$I135,'BD_LeiturasHidrômetro_PRJ01'!$G135&amp;'BD_LeiturasHidrômetro_PRJ01'!$H135)</f>
        <v>7494.420035</v>
      </c>
      <c r="K135" s="14">
        <f t="shared" si="1"/>
        <v>7479.337434</v>
      </c>
      <c r="L135" s="15"/>
      <c r="M135" s="15"/>
      <c r="N135" s="17">
        <f t="shared" si="2"/>
        <v>15.08260105</v>
      </c>
      <c r="O135" s="15" t="s">
        <v>21</v>
      </c>
      <c r="S135" s="19"/>
    </row>
    <row r="136" ht="15.75" customHeight="1">
      <c r="A136" s="10">
        <v>156.0</v>
      </c>
      <c r="B136" s="11" t="s">
        <v>166</v>
      </c>
      <c r="C136" s="12">
        <v>28.0</v>
      </c>
      <c r="D136" s="10" t="s">
        <v>139</v>
      </c>
      <c r="E136" s="10">
        <v>2025.0</v>
      </c>
      <c r="F136" s="10" t="s">
        <v>23</v>
      </c>
      <c r="G136" s="13"/>
      <c r="H136" s="13"/>
      <c r="I136" s="14">
        <f>IFERROR(_xlfn.FORECAST.LINEAR('BD_LeiturasHidrômetro_PRJ01'!$A136,G:G,A:A),"0000")</f>
        <v>7509.502636</v>
      </c>
      <c r="J136" s="14">
        <f>IF('BD_LeiturasHidrômetro_PRJ01'!$G136&amp;'BD_LeiturasHidrômetro_PRJ01'!$H136="",'BD_LeiturasHidrômetro_PRJ01'!$I136,'BD_LeiturasHidrômetro_PRJ01'!$G136&amp;'BD_LeiturasHidrômetro_PRJ01'!$H136)</f>
        <v>7509.502636</v>
      </c>
      <c r="K136" s="14">
        <f t="shared" si="1"/>
        <v>7494.420035</v>
      </c>
      <c r="L136" s="15"/>
      <c r="M136" s="15"/>
      <c r="N136" s="17">
        <f t="shared" si="2"/>
        <v>15.08260105</v>
      </c>
      <c r="O136" s="15" t="s">
        <v>21</v>
      </c>
      <c r="S136" s="19"/>
    </row>
    <row r="137" ht="15.75" customHeight="1">
      <c r="A137" s="10">
        <v>157.0</v>
      </c>
      <c r="B137" s="11" t="s">
        <v>167</v>
      </c>
      <c r="C137" s="12">
        <v>29.0</v>
      </c>
      <c r="D137" s="10" t="s">
        <v>139</v>
      </c>
      <c r="E137" s="10">
        <v>2025.0</v>
      </c>
      <c r="F137" s="10" t="s">
        <v>26</v>
      </c>
      <c r="G137" s="13"/>
      <c r="H137" s="13"/>
      <c r="I137" s="14">
        <f>IFERROR(_xlfn.FORECAST.LINEAR('BD_LeiturasHidrômetro_PRJ01'!$A137,G:G,A:A),"0000")</f>
        <v>7524.585237</v>
      </c>
      <c r="J137" s="14">
        <f>IF('BD_LeiturasHidrômetro_PRJ01'!$G137&amp;'BD_LeiturasHidrômetro_PRJ01'!$H137="",'BD_LeiturasHidrômetro_PRJ01'!$I137,'BD_LeiturasHidrômetro_PRJ01'!$G137&amp;'BD_LeiturasHidrômetro_PRJ01'!$H137)</f>
        <v>7524.585237</v>
      </c>
      <c r="K137" s="14">
        <f t="shared" si="1"/>
        <v>7509.502636</v>
      </c>
      <c r="L137" s="15"/>
      <c r="M137" s="15"/>
      <c r="N137" s="17">
        <f t="shared" si="2"/>
        <v>15.08260105</v>
      </c>
      <c r="O137" s="15" t="s">
        <v>21</v>
      </c>
      <c r="S137" s="19"/>
    </row>
    <row r="138" ht="15.75" customHeight="1">
      <c r="A138" s="10">
        <v>158.0</v>
      </c>
      <c r="B138" s="11" t="s">
        <v>168</v>
      </c>
      <c r="C138" s="12">
        <v>30.0</v>
      </c>
      <c r="D138" s="10" t="s">
        <v>139</v>
      </c>
      <c r="E138" s="10">
        <v>2025.0</v>
      </c>
      <c r="F138" s="10" t="s">
        <v>28</v>
      </c>
      <c r="G138" s="13"/>
      <c r="H138" s="13"/>
      <c r="I138" s="14">
        <f>IFERROR(_xlfn.FORECAST.LINEAR('BD_LeiturasHidrômetro_PRJ01'!$A138,G:G,A:A),"0000")</f>
        <v>7539.667838</v>
      </c>
      <c r="J138" s="14">
        <f>IF('BD_LeiturasHidrômetro_PRJ01'!$G138&amp;'BD_LeiturasHidrômetro_PRJ01'!$H138="",'BD_LeiturasHidrômetro_PRJ01'!$I138,'BD_LeiturasHidrômetro_PRJ01'!$G138&amp;'BD_LeiturasHidrômetro_PRJ01'!$H138)</f>
        <v>7539.667838</v>
      </c>
      <c r="K138" s="14">
        <f t="shared" si="1"/>
        <v>7524.585237</v>
      </c>
      <c r="L138" s="15"/>
      <c r="M138" s="15"/>
      <c r="N138" s="17">
        <f t="shared" si="2"/>
        <v>15.08260105</v>
      </c>
      <c r="O138" s="15" t="s">
        <v>21</v>
      </c>
      <c r="S138" s="19"/>
    </row>
    <row r="139" ht="15.75" customHeight="1">
      <c r="A139" s="10">
        <v>159.0</v>
      </c>
      <c r="B139" s="11" t="s">
        <v>169</v>
      </c>
      <c r="C139" s="12">
        <v>31.0</v>
      </c>
      <c r="D139" s="10" t="s">
        <v>139</v>
      </c>
      <c r="E139" s="10">
        <v>2025.0</v>
      </c>
      <c r="F139" s="10" t="s">
        <v>30</v>
      </c>
      <c r="G139" s="13"/>
      <c r="H139" s="13"/>
      <c r="I139" s="14">
        <f>IFERROR(_xlfn.FORECAST.LINEAR('BD_LeiturasHidrômetro_PRJ01'!$A139,G:G,A:A),"0000")</f>
        <v>7554.750439</v>
      </c>
      <c r="J139" s="14">
        <f>IF('BD_LeiturasHidrômetro_PRJ01'!$G139&amp;'BD_LeiturasHidrômetro_PRJ01'!$H139="",'BD_LeiturasHidrômetro_PRJ01'!$I139,'BD_LeiturasHidrômetro_PRJ01'!$G139&amp;'BD_LeiturasHidrômetro_PRJ01'!$H139)</f>
        <v>7554.750439</v>
      </c>
      <c r="K139" s="14">
        <f t="shared" si="1"/>
        <v>7539.667838</v>
      </c>
      <c r="L139" s="15"/>
      <c r="M139" s="15"/>
      <c r="N139" s="17">
        <f t="shared" si="2"/>
        <v>15.08260105</v>
      </c>
      <c r="O139" s="15" t="s">
        <v>21</v>
      </c>
      <c r="S139" s="19"/>
    </row>
    <row r="140" ht="15.75" customHeight="1">
      <c r="A140" s="10">
        <v>160.0</v>
      </c>
      <c r="B140" s="11" t="s">
        <v>170</v>
      </c>
      <c r="C140" s="12">
        <v>1.0</v>
      </c>
      <c r="D140" s="10" t="s">
        <v>171</v>
      </c>
      <c r="E140" s="10">
        <v>2025.0</v>
      </c>
      <c r="F140" s="10" t="s">
        <v>32</v>
      </c>
      <c r="G140" s="13"/>
      <c r="H140" s="13"/>
      <c r="I140" s="14">
        <f>IFERROR(_xlfn.FORECAST.LINEAR('BD_LeiturasHidrômetro_PRJ01'!$A140,G:G,A:A),"0000")</f>
        <v>7569.83304</v>
      </c>
      <c r="J140" s="14">
        <f>IF('BD_LeiturasHidrômetro_PRJ01'!$G140&amp;'BD_LeiturasHidrômetro_PRJ01'!$H140="",'BD_LeiturasHidrômetro_PRJ01'!$I140,'BD_LeiturasHidrômetro_PRJ01'!$G140&amp;'BD_LeiturasHidrômetro_PRJ01'!$H140)</f>
        <v>7569.83304</v>
      </c>
      <c r="K140" s="14">
        <f t="shared" si="1"/>
        <v>7554.750439</v>
      </c>
      <c r="L140" s="15"/>
      <c r="M140" s="15"/>
      <c r="N140" s="17">
        <f t="shared" si="2"/>
        <v>15.08260105</v>
      </c>
      <c r="O140" s="15" t="s">
        <v>21</v>
      </c>
      <c r="S140" s="19"/>
    </row>
    <row r="141" ht="15.75" customHeight="1">
      <c r="A141" s="10">
        <v>161.0</v>
      </c>
      <c r="B141" s="11" t="s">
        <v>172</v>
      </c>
      <c r="C141" s="12">
        <v>2.0</v>
      </c>
      <c r="D141" s="10" t="s">
        <v>171</v>
      </c>
      <c r="E141" s="10">
        <v>2025.0</v>
      </c>
      <c r="F141" s="10" t="s">
        <v>34</v>
      </c>
      <c r="G141" s="13"/>
      <c r="H141" s="13"/>
      <c r="I141" s="14">
        <f>IFERROR(_xlfn.FORECAST.LINEAR('BD_LeiturasHidrômetro_PRJ01'!$A141,G:G,A:A),"0000")</f>
        <v>7584.915641</v>
      </c>
      <c r="J141" s="14">
        <f>IF('BD_LeiturasHidrômetro_PRJ01'!$G141&amp;'BD_LeiturasHidrômetro_PRJ01'!$H141="",'BD_LeiturasHidrômetro_PRJ01'!$I141,'BD_LeiturasHidrômetro_PRJ01'!$G141&amp;'BD_LeiturasHidrômetro_PRJ01'!$H141)</f>
        <v>7584.915641</v>
      </c>
      <c r="K141" s="14">
        <f t="shared" si="1"/>
        <v>7569.83304</v>
      </c>
      <c r="L141" s="15"/>
      <c r="M141" s="15"/>
      <c r="N141" s="17">
        <f t="shared" si="2"/>
        <v>15.08260105</v>
      </c>
      <c r="O141" s="15" t="s">
        <v>21</v>
      </c>
      <c r="S141" s="19"/>
    </row>
    <row r="142" ht="15.75" customHeight="1">
      <c r="A142" s="10">
        <v>162.0</v>
      </c>
      <c r="B142" s="11" t="s">
        <v>173</v>
      </c>
      <c r="C142" s="12">
        <v>3.0</v>
      </c>
      <c r="D142" s="10" t="s">
        <v>171</v>
      </c>
      <c r="E142" s="10">
        <v>2025.0</v>
      </c>
      <c r="F142" s="10" t="s">
        <v>19</v>
      </c>
      <c r="G142" s="13"/>
      <c r="H142" s="13"/>
      <c r="I142" s="14">
        <f>IFERROR(_xlfn.FORECAST.LINEAR('BD_LeiturasHidrômetro_PRJ01'!$A142,G:G,A:A),"0000")</f>
        <v>7599.998243</v>
      </c>
      <c r="J142" s="14">
        <f>IF('BD_LeiturasHidrômetro_PRJ01'!$G142&amp;'BD_LeiturasHidrômetro_PRJ01'!$H142="",'BD_LeiturasHidrômetro_PRJ01'!$I142,'BD_LeiturasHidrômetro_PRJ01'!$G142&amp;'BD_LeiturasHidrômetro_PRJ01'!$H142)</f>
        <v>7599.998243</v>
      </c>
      <c r="K142" s="14">
        <f t="shared" si="1"/>
        <v>7584.915641</v>
      </c>
      <c r="L142" s="15"/>
      <c r="M142" s="15"/>
      <c r="N142" s="17">
        <f t="shared" si="2"/>
        <v>15.08260105</v>
      </c>
      <c r="O142" s="15" t="s">
        <v>21</v>
      </c>
      <c r="S142" s="19"/>
    </row>
    <row r="143" ht="15.75" customHeight="1">
      <c r="A143" s="10">
        <v>163.0</v>
      </c>
      <c r="B143" s="11" t="s">
        <v>174</v>
      </c>
      <c r="C143" s="12">
        <v>4.0</v>
      </c>
      <c r="D143" s="10" t="s">
        <v>171</v>
      </c>
      <c r="E143" s="10">
        <v>2025.0</v>
      </c>
      <c r="F143" s="10" t="s">
        <v>23</v>
      </c>
      <c r="G143" s="13"/>
      <c r="H143" s="13"/>
      <c r="I143" s="14">
        <f>IFERROR(_xlfn.FORECAST.LINEAR('BD_LeiturasHidrômetro_PRJ01'!$A143,G:G,A:A),"0000")</f>
        <v>7615.080844</v>
      </c>
      <c r="J143" s="14">
        <f>IF('BD_LeiturasHidrômetro_PRJ01'!$G143&amp;'BD_LeiturasHidrômetro_PRJ01'!$H143="",'BD_LeiturasHidrômetro_PRJ01'!$I143,'BD_LeiturasHidrômetro_PRJ01'!$G143&amp;'BD_LeiturasHidrômetro_PRJ01'!$H143)</f>
        <v>7615.080844</v>
      </c>
      <c r="K143" s="14">
        <f t="shared" si="1"/>
        <v>7599.998243</v>
      </c>
      <c r="L143" s="15"/>
      <c r="M143" s="15"/>
      <c r="N143" s="17">
        <f t="shared" si="2"/>
        <v>15.08260105</v>
      </c>
      <c r="O143" s="15" t="s">
        <v>21</v>
      </c>
      <c r="S143" s="19"/>
    </row>
    <row r="144" ht="15.75" customHeight="1">
      <c r="A144" s="10">
        <v>164.0</v>
      </c>
      <c r="B144" s="11" t="s">
        <v>175</v>
      </c>
      <c r="C144" s="12">
        <v>5.0</v>
      </c>
      <c r="D144" s="10" t="s">
        <v>171</v>
      </c>
      <c r="E144" s="10">
        <v>2025.0</v>
      </c>
      <c r="F144" s="10" t="s">
        <v>26</v>
      </c>
      <c r="G144" s="13"/>
      <c r="H144" s="13"/>
      <c r="I144" s="14">
        <f>IFERROR(_xlfn.FORECAST.LINEAR('BD_LeiturasHidrômetro_PRJ01'!$A144,G:G,A:A),"0000")</f>
        <v>7630.163445</v>
      </c>
      <c r="J144" s="14">
        <f>IF('BD_LeiturasHidrômetro_PRJ01'!$G144&amp;'BD_LeiturasHidrômetro_PRJ01'!$H144="",'BD_LeiturasHidrômetro_PRJ01'!$I144,'BD_LeiturasHidrômetro_PRJ01'!$G144&amp;'BD_LeiturasHidrômetro_PRJ01'!$H144)</f>
        <v>7630.163445</v>
      </c>
      <c r="K144" s="14">
        <f t="shared" si="1"/>
        <v>7615.080844</v>
      </c>
      <c r="L144" s="15"/>
      <c r="M144" s="15"/>
      <c r="N144" s="17">
        <f t="shared" si="2"/>
        <v>15.08260105</v>
      </c>
      <c r="O144" s="15" t="s">
        <v>21</v>
      </c>
      <c r="S144" s="19"/>
    </row>
    <row r="145" ht="15.75" customHeight="1">
      <c r="A145" s="10">
        <v>165.0</v>
      </c>
      <c r="B145" s="11" t="s">
        <v>176</v>
      </c>
      <c r="C145" s="12">
        <v>6.0</v>
      </c>
      <c r="D145" s="10" t="s">
        <v>171</v>
      </c>
      <c r="E145" s="10">
        <v>2025.0</v>
      </c>
      <c r="F145" s="10" t="s">
        <v>28</v>
      </c>
      <c r="G145" s="13"/>
      <c r="H145" s="13"/>
      <c r="I145" s="14">
        <f>IFERROR(_xlfn.FORECAST.LINEAR('BD_LeiturasHidrômetro_PRJ01'!$A145,G:G,A:A),"0000")</f>
        <v>7645.246046</v>
      </c>
      <c r="J145" s="14">
        <f>IF('BD_LeiturasHidrômetro_PRJ01'!$G145&amp;'BD_LeiturasHidrômetro_PRJ01'!$H145="",'BD_LeiturasHidrômetro_PRJ01'!$I145,'BD_LeiturasHidrômetro_PRJ01'!$G145&amp;'BD_LeiturasHidrômetro_PRJ01'!$H145)</f>
        <v>7645.246046</v>
      </c>
      <c r="K145" s="14">
        <f t="shared" si="1"/>
        <v>7630.163445</v>
      </c>
      <c r="L145" s="15"/>
      <c r="M145" s="15"/>
      <c r="N145" s="17">
        <f t="shared" si="2"/>
        <v>15.08260105</v>
      </c>
      <c r="O145" s="15" t="s">
        <v>21</v>
      </c>
      <c r="S145" s="19"/>
    </row>
    <row r="146" ht="15.75" customHeight="1">
      <c r="A146" s="10">
        <v>166.0</v>
      </c>
      <c r="B146" s="11" t="s">
        <v>177</v>
      </c>
      <c r="C146" s="12">
        <v>7.0</v>
      </c>
      <c r="D146" s="10" t="s">
        <v>171</v>
      </c>
      <c r="E146" s="10">
        <v>2025.0</v>
      </c>
      <c r="F146" s="10" t="s">
        <v>30</v>
      </c>
      <c r="G146" s="13"/>
      <c r="H146" s="13"/>
      <c r="I146" s="14">
        <f>IFERROR(_xlfn.FORECAST.LINEAR('BD_LeiturasHidrômetro_PRJ01'!$A146,G:G,A:A),"0000")</f>
        <v>7660.328647</v>
      </c>
      <c r="J146" s="14">
        <f>IF('BD_LeiturasHidrômetro_PRJ01'!$G146&amp;'BD_LeiturasHidrômetro_PRJ01'!$H146="",'BD_LeiturasHidrômetro_PRJ01'!$I146,'BD_LeiturasHidrômetro_PRJ01'!$G146&amp;'BD_LeiturasHidrômetro_PRJ01'!$H146)</f>
        <v>7660.328647</v>
      </c>
      <c r="K146" s="14">
        <f t="shared" si="1"/>
        <v>7645.246046</v>
      </c>
      <c r="L146" s="15"/>
      <c r="M146" s="15"/>
      <c r="N146" s="17">
        <f t="shared" si="2"/>
        <v>15.08260105</v>
      </c>
      <c r="O146" s="15" t="s">
        <v>21</v>
      </c>
      <c r="S146" s="19"/>
    </row>
    <row r="147" ht="15.75" customHeight="1">
      <c r="A147" s="10">
        <v>167.0</v>
      </c>
      <c r="B147" s="11" t="s">
        <v>178</v>
      </c>
      <c r="C147" s="12">
        <v>8.0</v>
      </c>
      <c r="D147" s="10" t="s">
        <v>171</v>
      </c>
      <c r="E147" s="10">
        <v>2025.0</v>
      </c>
      <c r="F147" s="10" t="s">
        <v>32</v>
      </c>
      <c r="G147" s="13"/>
      <c r="H147" s="13"/>
      <c r="I147" s="14">
        <f>IFERROR(_xlfn.FORECAST.LINEAR('BD_LeiturasHidrômetro_PRJ01'!$A147,G:G,A:A),"0000")</f>
        <v>7675.411248</v>
      </c>
      <c r="J147" s="14">
        <f>IF('BD_LeiturasHidrômetro_PRJ01'!$G147&amp;'BD_LeiturasHidrômetro_PRJ01'!$H147="",'BD_LeiturasHidrômetro_PRJ01'!$I147,'BD_LeiturasHidrômetro_PRJ01'!$G147&amp;'BD_LeiturasHidrômetro_PRJ01'!$H147)</f>
        <v>7675.411248</v>
      </c>
      <c r="K147" s="14">
        <f t="shared" si="1"/>
        <v>7660.328647</v>
      </c>
      <c r="L147" s="15"/>
      <c r="M147" s="15"/>
      <c r="N147" s="17">
        <f t="shared" si="2"/>
        <v>15.08260105</v>
      </c>
      <c r="O147" s="15" t="s">
        <v>21</v>
      </c>
      <c r="S147" s="19"/>
    </row>
    <row r="148" ht="15.75" customHeight="1">
      <c r="A148" s="10">
        <v>168.0</v>
      </c>
      <c r="B148" s="11" t="s">
        <v>179</v>
      </c>
      <c r="C148" s="12">
        <v>9.0</v>
      </c>
      <c r="D148" s="10" t="s">
        <v>171</v>
      </c>
      <c r="E148" s="10">
        <v>2025.0</v>
      </c>
      <c r="F148" s="10" t="s">
        <v>34</v>
      </c>
      <c r="G148" s="13"/>
      <c r="H148" s="13"/>
      <c r="I148" s="14">
        <f>IFERROR(_xlfn.FORECAST.LINEAR('BD_LeiturasHidrômetro_PRJ01'!$A148,G:G,A:A),"0000")</f>
        <v>7690.493849</v>
      </c>
      <c r="J148" s="14">
        <f>IF('BD_LeiturasHidrômetro_PRJ01'!$G148&amp;'BD_LeiturasHidrômetro_PRJ01'!$H148="",'BD_LeiturasHidrômetro_PRJ01'!$I148,'BD_LeiturasHidrômetro_PRJ01'!$G148&amp;'BD_LeiturasHidrômetro_PRJ01'!$H148)</f>
        <v>7690.493849</v>
      </c>
      <c r="K148" s="14">
        <f t="shared" si="1"/>
        <v>7675.411248</v>
      </c>
      <c r="L148" s="15"/>
      <c r="M148" s="15"/>
      <c r="N148" s="17">
        <f t="shared" si="2"/>
        <v>15.08260105</v>
      </c>
      <c r="O148" s="15" t="s">
        <v>21</v>
      </c>
      <c r="S148" s="19"/>
    </row>
    <row r="149" ht="15.75" customHeight="1">
      <c r="A149" s="10">
        <v>169.0</v>
      </c>
      <c r="B149" s="11" t="s">
        <v>180</v>
      </c>
      <c r="C149" s="12">
        <v>10.0</v>
      </c>
      <c r="D149" s="10" t="s">
        <v>171</v>
      </c>
      <c r="E149" s="10">
        <v>2025.0</v>
      </c>
      <c r="F149" s="10" t="s">
        <v>19</v>
      </c>
      <c r="G149" s="13"/>
      <c r="H149" s="13"/>
      <c r="I149" s="14">
        <f>IFERROR(_xlfn.FORECAST.LINEAR('BD_LeiturasHidrômetro_PRJ01'!$A149,G:G,A:A),"0000")</f>
        <v>7705.57645</v>
      </c>
      <c r="J149" s="14">
        <f>IF('BD_LeiturasHidrômetro_PRJ01'!$G149&amp;'BD_LeiturasHidrômetro_PRJ01'!$H149="",'BD_LeiturasHidrômetro_PRJ01'!$I149,'BD_LeiturasHidrômetro_PRJ01'!$G149&amp;'BD_LeiturasHidrômetro_PRJ01'!$H149)</f>
        <v>7705.57645</v>
      </c>
      <c r="K149" s="14">
        <f t="shared" si="1"/>
        <v>7690.493849</v>
      </c>
      <c r="L149" s="15"/>
      <c r="M149" s="15"/>
      <c r="N149" s="17">
        <f t="shared" si="2"/>
        <v>15.08260105</v>
      </c>
      <c r="O149" s="15" t="s">
        <v>21</v>
      </c>
      <c r="S149" s="19"/>
    </row>
    <row r="150" ht="15.75" customHeight="1">
      <c r="A150" s="10">
        <v>170.0</v>
      </c>
      <c r="B150" s="11" t="s">
        <v>181</v>
      </c>
      <c r="C150" s="12">
        <v>11.0</v>
      </c>
      <c r="D150" s="10" t="s">
        <v>171</v>
      </c>
      <c r="E150" s="10">
        <v>2025.0</v>
      </c>
      <c r="F150" s="10" t="s">
        <v>23</v>
      </c>
      <c r="G150" s="13"/>
      <c r="H150" s="13"/>
      <c r="I150" s="14">
        <f>IFERROR(_xlfn.FORECAST.LINEAR('BD_LeiturasHidrômetro_PRJ01'!$A150,G:G,A:A),"0000")</f>
        <v>7720.659051</v>
      </c>
      <c r="J150" s="14">
        <f>IF('BD_LeiturasHidrômetro_PRJ01'!$G150&amp;'BD_LeiturasHidrômetro_PRJ01'!$H150="",'BD_LeiturasHidrômetro_PRJ01'!$I150,'BD_LeiturasHidrômetro_PRJ01'!$G150&amp;'BD_LeiturasHidrômetro_PRJ01'!$H150)</f>
        <v>7720.659051</v>
      </c>
      <c r="K150" s="14">
        <f t="shared" si="1"/>
        <v>7705.57645</v>
      </c>
      <c r="L150" s="15"/>
      <c r="M150" s="15"/>
      <c r="N150" s="17">
        <f t="shared" si="2"/>
        <v>15.08260105</v>
      </c>
      <c r="O150" s="15" t="s">
        <v>21</v>
      </c>
      <c r="S150" s="19"/>
    </row>
    <row r="151" ht="15.75" customHeight="1">
      <c r="A151" s="10">
        <v>171.0</v>
      </c>
      <c r="B151" s="11" t="s">
        <v>182</v>
      </c>
      <c r="C151" s="12">
        <v>12.0</v>
      </c>
      <c r="D151" s="10" t="s">
        <v>171</v>
      </c>
      <c r="E151" s="10">
        <v>2025.0</v>
      </c>
      <c r="F151" s="10" t="s">
        <v>26</v>
      </c>
      <c r="G151" s="13"/>
      <c r="H151" s="13"/>
      <c r="I151" s="14">
        <f>IFERROR(_xlfn.FORECAST.LINEAR('BD_LeiturasHidrômetro_PRJ01'!$A151,G:G,A:A),"0000")</f>
        <v>7735.741652</v>
      </c>
      <c r="J151" s="14">
        <f>IF('BD_LeiturasHidrômetro_PRJ01'!$G151&amp;'BD_LeiturasHidrômetro_PRJ01'!$H151="",'BD_LeiturasHidrômetro_PRJ01'!$I151,'BD_LeiturasHidrômetro_PRJ01'!$G151&amp;'BD_LeiturasHidrômetro_PRJ01'!$H151)</f>
        <v>7735.741652</v>
      </c>
      <c r="K151" s="14">
        <f t="shared" si="1"/>
        <v>7720.659051</v>
      </c>
      <c r="L151" s="15"/>
      <c r="M151" s="15"/>
      <c r="N151" s="17">
        <f t="shared" si="2"/>
        <v>15.08260105</v>
      </c>
      <c r="O151" s="15" t="s">
        <v>21</v>
      </c>
      <c r="S151" s="19"/>
    </row>
    <row r="152" ht="15.75" customHeight="1">
      <c r="A152" s="10">
        <v>172.0</v>
      </c>
      <c r="B152" s="11" t="s">
        <v>183</v>
      </c>
      <c r="C152" s="12">
        <v>13.0</v>
      </c>
      <c r="D152" s="10" t="s">
        <v>171</v>
      </c>
      <c r="E152" s="10">
        <v>2025.0</v>
      </c>
      <c r="F152" s="10" t="s">
        <v>28</v>
      </c>
      <c r="G152" s="13"/>
      <c r="H152" s="13"/>
      <c r="I152" s="14">
        <f>IFERROR(_xlfn.FORECAST.LINEAR('BD_LeiturasHidrômetro_PRJ01'!$A152,G:G,A:A),"0000")</f>
        <v>7750.824253</v>
      </c>
      <c r="J152" s="14">
        <f>IF('BD_LeiturasHidrômetro_PRJ01'!$G152&amp;'BD_LeiturasHidrômetro_PRJ01'!$H152="",'BD_LeiturasHidrômetro_PRJ01'!$I152,'BD_LeiturasHidrômetro_PRJ01'!$G152&amp;'BD_LeiturasHidrômetro_PRJ01'!$H152)</f>
        <v>7750.824253</v>
      </c>
      <c r="K152" s="14">
        <f t="shared" si="1"/>
        <v>7735.741652</v>
      </c>
      <c r="L152" s="15"/>
      <c r="M152" s="15"/>
      <c r="N152" s="17">
        <f t="shared" si="2"/>
        <v>15.08260105</v>
      </c>
      <c r="O152" s="15" t="s">
        <v>21</v>
      </c>
      <c r="S152" s="19"/>
    </row>
    <row r="153" ht="15.75" customHeight="1">
      <c r="A153" s="10">
        <v>173.0</v>
      </c>
      <c r="B153" s="11" t="s">
        <v>184</v>
      </c>
      <c r="C153" s="12">
        <v>14.0</v>
      </c>
      <c r="D153" s="10" t="s">
        <v>171</v>
      </c>
      <c r="E153" s="10">
        <v>2025.0</v>
      </c>
      <c r="F153" s="10" t="s">
        <v>30</v>
      </c>
      <c r="G153" s="13"/>
      <c r="H153" s="13"/>
      <c r="I153" s="14">
        <f>IFERROR(_xlfn.FORECAST.LINEAR('BD_LeiturasHidrômetro_PRJ01'!$A153,G:G,A:A),"0000")</f>
        <v>7765.906854</v>
      </c>
      <c r="J153" s="14">
        <f>IF('BD_LeiturasHidrômetro_PRJ01'!$G153&amp;'BD_LeiturasHidrômetro_PRJ01'!$H153="",'BD_LeiturasHidrômetro_PRJ01'!$I153,'BD_LeiturasHidrômetro_PRJ01'!$G153&amp;'BD_LeiturasHidrômetro_PRJ01'!$H153)</f>
        <v>7765.906854</v>
      </c>
      <c r="K153" s="14">
        <f t="shared" si="1"/>
        <v>7750.824253</v>
      </c>
      <c r="L153" s="15"/>
      <c r="M153" s="15"/>
      <c r="N153" s="17">
        <f t="shared" si="2"/>
        <v>15.08260105</v>
      </c>
      <c r="O153" s="15" t="s">
        <v>21</v>
      </c>
      <c r="S153" s="19"/>
    </row>
    <row r="154" ht="15.75" customHeight="1">
      <c r="A154" s="10">
        <v>174.0</v>
      </c>
      <c r="B154" s="11" t="s">
        <v>185</v>
      </c>
      <c r="C154" s="12">
        <v>15.0</v>
      </c>
      <c r="D154" s="10" t="s">
        <v>171</v>
      </c>
      <c r="E154" s="10">
        <v>2025.0</v>
      </c>
      <c r="F154" s="10" t="s">
        <v>32</v>
      </c>
      <c r="G154" s="13"/>
      <c r="H154" s="13"/>
      <c r="I154" s="14">
        <f>IFERROR(_xlfn.FORECAST.LINEAR('BD_LeiturasHidrômetro_PRJ01'!$A154,G:G,A:A),"0000")</f>
        <v>7780.989455</v>
      </c>
      <c r="J154" s="14">
        <f>IF('BD_LeiturasHidrômetro_PRJ01'!$G154&amp;'BD_LeiturasHidrômetro_PRJ01'!$H154="",'BD_LeiturasHidrômetro_PRJ01'!$I154,'BD_LeiturasHidrômetro_PRJ01'!$G154&amp;'BD_LeiturasHidrômetro_PRJ01'!$H154)</f>
        <v>7780.989455</v>
      </c>
      <c r="K154" s="14">
        <f t="shared" si="1"/>
        <v>7765.906854</v>
      </c>
      <c r="L154" s="15"/>
      <c r="M154" s="15"/>
      <c r="N154" s="17">
        <f t="shared" si="2"/>
        <v>15.08260105</v>
      </c>
      <c r="O154" s="15" t="s">
        <v>21</v>
      </c>
      <c r="S154" s="19"/>
    </row>
    <row r="155" ht="15.75" customHeight="1">
      <c r="A155" s="10">
        <v>175.0</v>
      </c>
      <c r="B155" s="11" t="s">
        <v>186</v>
      </c>
      <c r="C155" s="12">
        <v>16.0</v>
      </c>
      <c r="D155" s="10" t="s">
        <v>171</v>
      </c>
      <c r="E155" s="10">
        <v>2025.0</v>
      </c>
      <c r="F155" s="10" t="s">
        <v>34</v>
      </c>
      <c r="G155" s="13"/>
      <c r="H155" s="13"/>
      <c r="I155" s="14">
        <f>IFERROR(_xlfn.FORECAST.LINEAR('BD_LeiturasHidrômetro_PRJ01'!$A155,G:G,A:A),"0000")</f>
        <v>7796.072056</v>
      </c>
      <c r="J155" s="14">
        <f>IF('BD_LeiturasHidrômetro_PRJ01'!$G155&amp;'BD_LeiturasHidrômetro_PRJ01'!$H155="",'BD_LeiturasHidrômetro_PRJ01'!$I155,'BD_LeiturasHidrômetro_PRJ01'!$G155&amp;'BD_LeiturasHidrômetro_PRJ01'!$H155)</f>
        <v>7796.072056</v>
      </c>
      <c r="K155" s="14">
        <f t="shared" si="1"/>
        <v>7780.989455</v>
      </c>
      <c r="L155" s="15"/>
      <c r="M155" s="15"/>
      <c r="N155" s="17">
        <f t="shared" si="2"/>
        <v>15.08260105</v>
      </c>
      <c r="O155" s="15" t="s">
        <v>21</v>
      </c>
      <c r="S155" s="19"/>
    </row>
    <row r="156" ht="15.75" customHeight="1">
      <c r="A156" s="10">
        <v>176.0</v>
      </c>
      <c r="B156" s="11" t="s">
        <v>187</v>
      </c>
      <c r="C156" s="12">
        <v>17.0</v>
      </c>
      <c r="D156" s="10" t="s">
        <v>171</v>
      </c>
      <c r="E156" s="10">
        <v>2025.0</v>
      </c>
      <c r="F156" s="10" t="s">
        <v>19</v>
      </c>
      <c r="G156" s="13"/>
      <c r="H156" s="13"/>
      <c r="I156" s="14">
        <f>IFERROR(_xlfn.FORECAST.LINEAR('BD_LeiturasHidrômetro_PRJ01'!$A156,G:G,A:A),"0000")</f>
        <v>7811.154657</v>
      </c>
      <c r="J156" s="14">
        <f>IF('BD_LeiturasHidrômetro_PRJ01'!$G156&amp;'BD_LeiturasHidrômetro_PRJ01'!$H156="",'BD_LeiturasHidrômetro_PRJ01'!$I156,'BD_LeiturasHidrômetro_PRJ01'!$G156&amp;'BD_LeiturasHidrômetro_PRJ01'!$H156)</f>
        <v>7811.154657</v>
      </c>
      <c r="K156" s="14">
        <f t="shared" si="1"/>
        <v>7796.072056</v>
      </c>
      <c r="L156" s="15"/>
      <c r="M156" s="15"/>
      <c r="N156" s="17">
        <f t="shared" si="2"/>
        <v>15.08260105</v>
      </c>
      <c r="O156" s="15" t="s">
        <v>21</v>
      </c>
      <c r="S156" s="19"/>
    </row>
    <row r="157" ht="15.75" customHeight="1">
      <c r="A157" s="10">
        <v>177.0</v>
      </c>
      <c r="B157" s="11" t="s">
        <v>188</v>
      </c>
      <c r="C157" s="12">
        <v>18.0</v>
      </c>
      <c r="D157" s="10" t="s">
        <v>171</v>
      </c>
      <c r="E157" s="10">
        <v>2025.0</v>
      </c>
      <c r="F157" s="10" t="s">
        <v>23</v>
      </c>
      <c r="G157" s="13"/>
      <c r="H157" s="13"/>
      <c r="I157" s="14">
        <f>IFERROR(_xlfn.FORECAST.LINEAR('BD_LeiturasHidrômetro_PRJ01'!$A157,G:G,A:A),"0000")</f>
        <v>7826.237258</v>
      </c>
      <c r="J157" s="14">
        <f>IF('BD_LeiturasHidrômetro_PRJ01'!$G157&amp;'BD_LeiturasHidrômetro_PRJ01'!$H157="",'BD_LeiturasHidrômetro_PRJ01'!$I157,'BD_LeiturasHidrômetro_PRJ01'!$G157&amp;'BD_LeiturasHidrômetro_PRJ01'!$H157)</f>
        <v>7826.237258</v>
      </c>
      <c r="K157" s="14">
        <f t="shared" si="1"/>
        <v>7811.154657</v>
      </c>
      <c r="L157" s="15"/>
      <c r="M157" s="15"/>
      <c r="N157" s="17">
        <f t="shared" si="2"/>
        <v>15.08260105</v>
      </c>
      <c r="O157" s="15" t="s">
        <v>21</v>
      </c>
      <c r="S157" s="19"/>
    </row>
    <row r="158" ht="15.75" customHeight="1">
      <c r="A158" s="10">
        <v>178.0</v>
      </c>
      <c r="B158" s="11" t="s">
        <v>189</v>
      </c>
      <c r="C158" s="12">
        <v>19.0</v>
      </c>
      <c r="D158" s="10" t="s">
        <v>171</v>
      </c>
      <c r="E158" s="10">
        <v>2025.0</v>
      </c>
      <c r="F158" s="10" t="s">
        <v>26</v>
      </c>
      <c r="G158" s="13"/>
      <c r="H158" s="13"/>
      <c r="I158" s="14">
        <f>IFERROR(_xlfn.FORECAST.LINEAR('BD_LeiturasHidrômetro_PRJ01'!$A158,G:G,A:A),"0000")</f>
        <v>7841.319859</v>
      </c>
      <c r="J158" s="14">
        <f>IF('BD_LeiturasHidrômetro_PRJ01'!$G158&amp;'BD_LeiturasHidrômetro_PRJ01'!$H158="",'BD_LeiturasHidrômetro_PRJ01'!$I158,'BD_LeiturasHidrômetro_PRJ01'!$G158&amp;'BD_LeiturasHidrômetro_PRJ01'!$H158)</f>
        <v>7841.319859</v>
      </c>
      <c r="K158" s="14">
        <f t="shared" si="1"/>
        <v>7826.237258</v>
      </c>
      <c r="L158" s="15"/>
      <c r="M158" s="15"/>
      <c r="N158" s="17">
        <f t="shared" si="2"/>
        <v>15.08260105</v>
      </c>
      <c r="O158" s="15" t="s">
        <v>21</v>
      </c>
      <c r="S158" s="19"/>
    </row>
    <row r="159" ht="15.75" customHeight="1">
      <c r="A159" s="10">
        <v>179.0</v>
      </c>
      <c r="B159" s="11" t="s">
        <v>190</v>
      </c>
      <c r="C159" s="12">
        <v>20.0</v>
      </c>
      <c r="D159" s="10" t="s">
        <v>171</v>
      </c>
      <c r="E159" s="10">
        <v>2025.0</v>
      </c>
      <c r="F159" s="10" t="s">
        <v>28</v>
      </c>
      <c r="G159" s="13"/>
      <c r="H159" s="13"/>
      <c r="I159" s="14">
        <f>IFERROR(_xlfn.FORECAST.LINEAR('BD_LeiturasHidrômetro_PRJ01'!$A159,G:G,A:A),"0000")</f>
        <v>7856.40246</v>
      </c>
      <c r="J159" s="14">
        <f>IF('BD_LeiturasHidrômetro_PRJ01'!$G159&amp;'BD_LeiturasHidrômetro_PRJ01'!$H159="",'BD_LeiturasHidrômetro_PRJ01'!$I159,'BD_LeiturasHidrômetro_PRJ01'!$G159&amp;'BD_LeiturasHidrômetro_PRJ01'!$H159)</f>
        <v>7856.40246</v>
      </c>
      <c r="K159" s="14">
        <f t="shared" si="1"/>
        <v>7841.319859</v>
      </c>
      <c r="L159" s="15"/>
      <c r="M159" s="15"/>
      <c r="N159" s="17">
        <f t="shared" si="2"/>
        <v>15.08260105</v>
      </c>
      <c r="O159" s="15" t="s">
        <v>21</v>
      </c>
      <c r="S159" s="19"/>
    </row>
    <row r="160" ht="15.75" customHeight="1">
      <c r="A160" s="10">
        <v>180.0</v>
      </c>
      <c r="B160" s="11" t="s">
        <v>191</v>
      </c>
      <c r="C160" s="12">
        <v>21.0</v>
      </c>
      <c r="D160" s="10" t="s">
        <v>171</v>
      </c>
      <c r="E160" s="10">
        <v>2025.0</v>
      </c>
      <c r="F160" s="10" t="s">
        <v>30</v>
      </c>
      <c r="G160" s="13"/>
      <c r="H160" s="13"/>
      <c r="I160" s="14">
        <f>IFERROR(_xlfn.FORECAST.LINEAR('BD_LeiturasHidrômetro_PRJ01'!$A160,G:G,A:A),"0000")</f>
        <v>7871.485062</v>
      </c>
      <c r="J160" s="14">
        <f>IF('BD_LeiturasHidrômetro_PRJ01'!$G160&amp;'BD_LeiturasHidrômetro_PRJ01'!$H160="",'BD_LeiturasHidrômetro_PRJ01'!$I160,'BD_LeiturasHidrômetro_PRJ01'!$G160&amp;'BD_LeiturasHidrômetro_PRJ01'!$H160)</f>
        <v>7871.485062</v>
      </c>
      <c r="K160" s="14">
        <f t="shared" si="1"/>
        <v>7856.40246</v>
      </c>
      <c r="L160" s="15"/>
      <c r="M160" s="15"/>
      <c r="N160" s="17">
        <f t="shared" si="2"/>
        <v>15.08260105</v>
      </c>
      <c r="O160" s="15" t="s">
        <v>21</v>
      </c>
      <c r="S160" s="19"/>
    </row>
    <row r="161" ht="15.75" customHeight="1">
      <c r="A161" s="10">
        <v>181.0</v>
      </c>
      <c r="B161" s="11" t="s">
        <v>192</v>
      </c>
      <c r="C161" s="12">
        <v>22.0</v>
      </c>
      <c r="D161" s="10" t="s">
        <v>171</v>
      </c>
      <c r="E161" s="10">
        <v>2025.0</v>
      </c>
      <c r="F161" s="10" t="s">
        <v>32</v>
      </c>
      <c r="G161" s="13"/>
      <c r="H161" s="13"/>
      <c r="I161" s="14">
        <f>IFERROR(_xlfn.FORECAST.LINEAR('BD_LeiturasHidrômetro_PRJ01'!$A161,G:G,A:A),"0000")</f>
        <v>7886.567663</v>
      </c>
      <c r="J161" s="14">
        <f>IF('BD_LeiturasHidrômetro_PRJ01'!$G161&amp;'BD_LeiturasHidrômetro_PRJ01'!$H161="",'BD_LeiturasHidrômetro_PRJ01'!$I161,'BD_LeiturasHidrômetro_PRJ01'!$G161&amp;'BD_LeiturasHidrômetro_PRJ01'!$H161)</f>
        <v>7886.567663</v>
      </c>
      <c r="K161" s="14">
        <f t="shared" si="1"/>
        <v>7871.485062</v>
      </c>
      <c r="L161" s="15"/>
      <c r="M161" s="15"/>
      <c r="N161" s="17">
        <f t="shared" si="2"/>
        <v>15.08260105</v>
      </c>
      <c r="O161" s="15" t="s">
        <v>21</v>
      </c>
      <c r="S161" s="19"/>
    </row>
    <row r="162" ht="15.75" customHeight="1">
      <c r="A162" s="10">
        <v>182.0</v>
      </c>
      <c r="B162" s="11" t="s">
        <v>193</v>
      </c>
      <c r="C162" s="12">
        <v>23.0</v>
      </c>
      <c r="D162" s="10" t="s">
        <v>171</v>
      </c>
      <c r="E162" s="10">
        <v>2025.0</v>
      </c>
      <c r="F162" s="10" t="s">
        <v>34</v>
      </c>
      <c r="G162" s="13"/>
      <c r="H162" s="13"/>
      <c r="I162" s="14">
        <f>IFERROR(_xlfn.FORECAST.LINEAR('BD_LeiturasHidrômetro_PRJ01'!$A162,G:G,A:A),"0000")</f>
        <v>7901.650264</v>
      </c>
      <c r="J162" s="14">
        <f>IF('BD_LeiturasHidrômetro_PRJ01'!$G162&amp;'BD_LeiturasHidrômetro_PRJ01'!$H162="",'BD_LeiturasHidrômetro_PRJ01'!$I162,'BD_LeiturasHidrômetro_PRJ01'!$G162&amp;'BD_LeiturasHidrômetro_PRJ01'!$H162)</f>
        <v>7901.650264</v>
      </c>
      <c r="K162" s="14">
        <f t="shared" si="1"/>
        <v>7886.567663</v>
      </c>
      <c r="L162" s="15"/>
      <c r="M162" s="15"/>
      <c r="N162" s="17">
        <f t="shared" si="2"/>
        <v>15.08260105</v>
      </c>
      <c r="O162" s="15" t="s">
        <v>21</v>
      </c>
      <c r="S162" s="19"/>
    </row>
    <row r="163" ht="15.75" customHeight="1">
      <c r="A163" s="10">
        <v>183.0</v>
      </c>
      <c r="B163" s="11" t="s">
        <v>194</v>
      </c>
      <c r="C163" s="12">
        <v>24.0</v>
      </c>
      <c r="D163" s="10" t="s">
        <v>171</v>
      </c>
      <c r="E163" s="10">
        <v>2025.0</v>
      </c>
      <c r="F163" s="10" t="s">
        <v>19</v>
      </c>
      <c r="G163" s="13"/>
      <c r="H163" s="13"/>
      <c r="I163" s="14">
        <f>IFERROR(_xlfn.FORECAST.LINEAR('BD_LeiturasHidrômetro_PRJ01'!$A163,G:G,A:A),"0000")</f>
        <v>7916.732865</v>
      </c>
      <c r="J163" s="14">
        <f>IF('BD_LeiturasHidrômetro_PRJ01'!$G163&amp;'BD_LeiturasHidrômetro_PRJ01'!$H163="",'BD_LeiturasHidrômetro_PRJ01'!$I163,'BD_LeiturasHidrômetro_PRJ01'!$G163&amp;'BD_LeiturasHidrômetro_PRJ01'!$H163)</f>
        <v>7916.732865</v>
      </c>
      <c r="K163" s="14">
        <f t="shared" si="1"/>
        <v>7901.650264</v>
      </c>
      <c r="L163" s="15"/>
      <c r="M163" s="15"/>
      <c r="N163" s="17">
        <f t="shared" si="2"/>
        <v>15.08260105</v>
      </c>
      <c r="O163" s="15" t="s">
        <v>21</v>
      </c>
      <c r="S163" s="19"/>
    </row>
    <row r="164" ht="15.75" customHeight="1">
      <c r="A164" s="10">
        <v>184.0</v>
      </c>
      <c r="B164" s="11" t="s">
        <v>195</v>
      </c>
      <c r="C164" s="12">
        <v>25.0</v>
      </c>
      <c r="D164" s="10" t="s">
        <v>171</v>
      </c>
      <c r="E164" s="10">
        <v>2025.0</v>
      </c>
      <c r="F164" s="10" t="s">
        <v>23</v>
      </c>
      <c r="G164" s="13"/>
      <c r="H164" s="13"/>
      <c r="I164" s="14">
        <f>IFERROR(_xlfn.FORECAST.LINEAR('BD_LeiturasHidrômetro_PRJ01'!$A164,G:G,A:A),"0000")</f>
        <v>7931.815466</v>
      </c>
      <c r="J164" s="14">
        <f>IF('BD_LeiturasHidrômetro_PRJ01'!$G164&amp;'BD_LeiturasHidrômetro_PRJ01'!$H164="",'BD_LeiturasHidrômetro_PRJ01'!$I164,'BD_LeiturasHidrômetro_PRJ01'!$G164&amp;'BD_LeiturasHidrômetro_PRJ01'!$H164)</f>
        <v>7931.815466</v>
      </c>
      <c r="K164" s="14">
        <f t="shared" si="1"/>
        <v>7916.732865</v>
      </c>
      <c r="L164" s="15"/>
      <c r="M164" s="15"/>
      <c r="N164" s="17">
        <f t="shared" si="2"/>
        <v>15.08260105</v>
      </c>
      <c r="O164" s="15" t="s">
        <v>21</v>
      </c>
      <c r="S164" s="19"/>
    </row>
    <row r="165" ht="15.75" customHeight="1">
      <c r="A165" s="10">
        <v>185.0</v>
      </c>
      <c r="B165" s="11" t="s">
        <v>196</v>
      </c>
      <c r="C165" s="12">
        <v>26.0</v>
      </c>
      <c r="D165" s="10" t="s">
        <v>171</v>
      </c>
      <c r="E165" s="10">
        <v>2025.0</v>
      </c>
      <c r="F165" s="10" t="s">
        <v>26</v>
      </c>
      <c r="G165" s="13"/>
      <c r="H165" s="13"/>
      <c r="I165" s="14">
        <f>IFERROR(_xlfn.FORECAST.LINEAR('BD_LeiturasHidrômetro_PRJ01'!$A165,G:G,A:A),"0000")</f>
        <v>7946.898067</v>
      </c>
      <c r="J165" s="14">
        <f>IF('BD_LeiturasHidrômetro_PRJ01'!$G165&amp;'BD_LeiturasHidrômetro_PRJ01'!$H165="",'BD_LeiturasHidrômetro_PRJ01'!$I165,'BD_LeiturasHidrômetro_PRJ01'!$G165&amp;'BD_LeiturasHidrômetro_PRJ01'!$H165)</f>
        <v>7946.898067</v>
      </c>
      <c r="K165" s="14">
        <f t="shared" si="1"/>
        <v>7931.815466</v>
      </c>
      <c r="L165" s="15"/>
      <c r="M165" s="15"/>
      <c r="N165" s="17">
        <f t="shared" si="2"/>
        <v>15.08260105</v>
      </c>
      <c r="O165" s="15" t="s">
        <v>21</v>
      </c>
      <c r="S165" s="19"/>
    </row>
    <row r="166" ht="15.75" customHeight="1">
      <c r="A166" s="10">
        <v>186.0</v>
      </c>
      <c r="B166" s="11" t="s">
        <v>197</v>
      </c>
      <c r="C166" s="12">
        <v>27.0</v>
      </c>
      <c r="D166" s="10" t="s">
        <v>171</v>
      </c>
      <c r="E166" s="10">
        <v>2025.0</v>
      </c>
      <c r="F166" s="10" t="s">
        <v>28</v>
      </c>
      <c r="G166" s="13"/>
      <c r="H166" s="13"/>
      <c r="I166" s="14">
        <f>IFERROR(_xlfn.FORECAST.LINEAR('BD_LeiturasHidrômetro_PRJ01'!$A166,G:G,A:A),"0000")</f>
        <v>7961.980668</v>
      </c>
      <c r="J166" s="14">
        <f>IF('BD_LeiturasHidrômetro_PRJ01'!$G166&amp;'BD_LeiturasHidrômetro_PRJ01'!$H166="",'BD_LeiturasHidrômetro_PRJ01'!$I166,'BD_LeiturasHidrômetro_PRJ01'!$G166&amp;'BD_LeiturasHidrômetro_PRJ01'!$H166)</f>
        <v>7961.980668</v>
      </c>
      <c r="K166" s="14">
        <f t="shared" si="1"/>
        <v>7946.898067</v>
      </c>
      <c r="L166" s="15"/>
      <c r="M166" s="15"/>
      <c r="N166" s="17">
        <f t="shared" si="2"/>
        <v>15.08260105</v>
      </c>
      <c r="O166" s="15" t="s">
        <v>21</v>
      </c>
      <c r="S166" s="19"/>
    </row>
    <row r="167" ht="15.75" customHeight="1">
      <c r="A167" s="10">
        <v>187.0</v>
      </c>
      <c r="B167" s="11" t="s">
        <v>198</v>
      </c>
      <c r="C167" s="12">
        <v>28.0</v>
      </c>
      <c r="D167" s="10" t="s">
        <v>171</v>
      </c>
      <c r="E167" s="10">
        <v>2025.0</v>
      </c>
      <c r="F167" s="10" t="s">
        <v>30</v>
      </c>
      <c r="G167" s="13"/>
      <c r="H167" s="13"/>
      <c r="I167" s="14">
        <f>IFERROR(_xlfn.FORECAST.LINEAR('BD_LeiturasHidrômetro_PRJ01'!$A167,G:G,A:A),"0000")</f>
        <v>7977.063269</v>
      </c>
      <c r="J167" s="14">
        <f>IF('BD_LeiturasHidrômetro_PRJ01'!$G167&amp;'BD_LeiturasHidrômetro_PRJ01'!$H167="",'BD_LeiturasHidrômetro_PRJ01'!$I167,'BD_LeiturasHidrômetro_PRJ01'!$G167&amp;'BD_LeiturasHidrômetro_PRJ01'!$H167)</f>
        <v>7977.063269</v>
      </c>
      <c r="K167" s="14">
        <f t="shared" si="1"/>
        <v>7961.980668</v>
      </c>
      <c r="L167" s="15"/>
      <c r="M167" s="15"/>
      <c r="N167" s="17">
        <f t="shared" si="2"/>
        <v>15.08260105</v>
      </c>
      <c r="O167" s="15" t="s">
        <v>21</v>
      </c>
      <c r="S167" s="19"/>
    </row>
    <row r="168" ht="15.75" customHeight="1">
      <c r="A168" s="10">
        <v>188.0</v>
      </c>
      <c r="B168" s="11" t="s">
        <v>199</v>
      </c>
      <c r="C168" s="12">
        <v>29.0</v>
      </c>
      <c r="D168" s="10" t="s">
        <v>171</v>
      </c>
      <c r="E168" s="10">
        <v>2025.0</v>
      </c>
      <c r="F168" s="10" t="s">
        <v>32</v>
      </c>
      <c r="G168" s="13"/>
      <c r="H168" s="13"/>
      <c r="I168" s="14">
        <f>IFERROR(_xlfn.FORECAST.LINEAR('BD_LeiturasHidrômetro_PRJ01'!$A168,G:G,A:A),"0000")</f>
        <v>7992.14587</v>
      </c>
      <c r="J168" s="14">
        <f>IF('BD_LeiturasHidrômetro_PRJ01'!$G168&amp;'BD_LeiturasHidrômetro_PRJ01'!$H168="",'BD_LeiturasHidrômetro_PRJ01'!$I168,'BD_LeiturasHidrômetro_PRJ01'!$G168&amp;'BD_LeiturasHidrômetro_PRJ01'!$H168)</f>
        <v>7992.14587</v>
      </c>
      <c r="K168" s="14">
        <f t="shared" si="1"/>
        <v>7977.063269</v>
      </c>
      <c r="L168" s="15"/>
      <c r="M168" s="15"/>
      <c r="N168" s="17">
        <f t="shared" si="2"/>
        <v>15.08260105</v>
      </c>
      <c r="O168" s="15" t="s">
        <v>21</v>
      </c>
      <c r="S168" s="19"/>
    </row>
    <row r="169" ht="15.75" customHeight="1">
      <c r="A169" s="10">
        <v>189.0</v>
      </c>
      <c r="B169" s="11" t="s">
        <v>200</v>
      </c>
      <c r="C169" s="12">
        <v>30.0</v>
      </c>
      <c r="D169" s="10" t="s">
        <v>171</v>
      </c>
      <c r="E169" s="10">
        <v>2025.0</v>
      </c>
      <c r="F169" s="10" t="s">
        <v>34</v>
      </c>
      <c r="G169" s="13"/>
      <c r="H169" s="13"/>
      <c r="I169" s="14">
        <f>IFERROR(_xlfn.FORECAST.LINEAR('BD_LeiturasHidrômetro_PRJ01'!$A169,G:G,A:A),"0000")</f>
        <v>8007.228471</v>
      </c>
      <c r="J169" s="14">
        <f>IF('BD_LeiturasHidrômetro_PRJ01'!$G169&amp;'BD_LeiturasHidrômetro_PRJ01'!$H169="",'BD_LeiturasHidrômetro_PRJ01'!$I169,'BD_LeiturasHidrômetro_PRJ01'!$G169&amp;'BD_LeiturasHidrômetro_PRJ01'!$H169)</f>
        <v>8007.228471</v>
      </c>
      <c r="K169" s="14">
        <f t="shared" si="1"/>
        <v>7992.14587</v>
      </c>
      <c r="L169" s="15"/>
      <c r="M169" s="15"/>
      <c r="N169" s="17">
        <f t="shared" si="2"/>
        <v>15.08260105</v>
      </c>
      <c r="O169" s="15" t="s">
        <v>21</v>
      </c>
      <c r="S169" s="19"/>
    </row>
    <row r="170" ht="15.75" customHeight="1">
      <c r="A170" s="10">
        <v>190.0</v>
      </c>
      <c r="B170" s="11" t="s">
        <v>201</v>
      </c>
      <c r="C170" s="12">
        <v>1.0</v>
      </c>
      <c r="D170" s="10" t="s">
        <v>202</v>
      </c>
      <c r="E170" s="10">
        <v>2025.0</v>
      </c>
      <c r="F170" s="10" t="s">
        <v>19</v>
      </c>
      <c r="G170" s="13"/>
      <c r="H170" s="13"/>
      <c r="I170" s="14">
        <f>IFERROR(_xlfn.FORECAST.LINEAR('BD_LeiturasHidrômetro_PRJ01'!$A170,G:G,A:A),"0000")</f>
        <v>8022.311072</v>
      </c>
      <c r="J170" s="14">
        <f>IF('BD_LeiturasHidrômetro_PRJ01'!$G170&amp;'BD_LeiturasHidrômetro_PRJ01'!$H170="",'BD_LeiturasHidrômetro_PRJ01'!$I170,'BD_LeiturasHidrômetro_PRJ01'!$G170&amp;'BD_LeiturasHidrômetro_PRJ01'!$H170)</f>
        <v>8022.311072</v>
      </c>
      <c r="K170" s="14">
        <f t="shared" si="1"/>
        <v>8007.228471</v>
      </c>
      <c r="L170" s="15"/>
      <c r="M170" s="15"/>
      <c r="N170" s="17">
        <f t="shared" si="2"/>
        <v>15.08260105</v>
      </c>
      <c r="O170" s="15" t="s">
        <v>21</v>
      </c>
      <c r="S170" s="19"/>
    </row>
    <row r="171" ht="15.75" customHeight="1">
      <c r="A171" s="10">
        <v>191.0</v>
      </c>
      <c r="B171" s="11" t="s">
        <v>203</v>
      </c>
      <c r="C171" s="12">
        <v>2.0</v>
      </c>
      <c r="D171" s="10" t="s">
        <v>202</v>
      </c>
      <c r="E171" s="10">
        <v>2025.0</v>
      </c>
      <c r="F171" s="10" t="s">
        <v>23</v>
      </c>
      <c r="G171" s="13"/>
      <c r="H171" s="13"/>
      <c r="I171" s="14">
        <f>IFERROR(_xlfn.FORECAST.LINEAR('BD_LeiturasHidrômetro_PRJ01'!$A171,G:G,A:A),"0000")</f>
        <v>8037.393673</v>
      </c>
      <c r="J171" s="14">
        <f>IF('BD_LeiturasHidrômetro_PRJ01'!$G171&amp;'BD_LeiturasHidrômetro_PRJ01'!$H171="",'BD_LeiturasHidrômetro_PRJ01'!$I171,'BD_LeiturasHidrômetro_PRJ01'!$G171&amp;'BD_LeiturasHidrômetro_PRJ01'!$H171)</f>
        <v>8037.393673</v>
      </c>
      <c r="K171" s="14">
        <f t="shared" si="1"/>
        <v>8022.311072</v>
      </c>
      <c r="L171" s="15"/>
      <c r="M171" s="15"/>
      <c r="N171" s="17">
        <f t="shared" si="2"/>
        <v>15.08260105</v>
      </c>
      <c r="O171" s="15" t="s">
        <v>21</v>
      </c>
      <c r="S171" s="19"/>
    </row>
    <row r="172" ht="15.75" customHeight="1">
      <c r="A172" s="10">
        <v>192.0</v>
      </c>
      <c r="B172" s="11" t="s">
        <v>204</v>
      </c>
      <c r="C172" s="12">
        <v>3.0</v>
      </c>
      <c r="D172" s="10" t="s">
        <v>202</v>
      </c>
      <c r="E172" s="10">
        <v>2025.0</v>
      </c>
      <c r="F172" s="10" t="s">
        <v>26</v>
      </c>
      <c r="G172" s="13"/>
      <c r="H172" s="13"/>
      <c r="I172" s="14">
        <f>IFERROR(_xlfn.FORECAST.LINEAR('BD_LeiturasHidrômetro_PRJ01'!$A172,G:G,A:A),"0000")</f>
        <v>8052.476274</v>
      </c>
      <c r="J172" s="14">
        <f>IF('BD_LeiturasHidrômetro_PRJ01'!$G172&amp;'BD_LeiturasHidrômetro_PRJ01'!$H172="",'BD_LeiturasHidrômetro_PRJ01'!$I172,'BD_LeiturasHidrômetro_PRJ01'!$G172&amp;'BD_LeiturasHidrômetro_PRJ01'!$H172)</f>
        <v>8052.476274</v>
      </c>
      <c r="K172" s="14">
        <f t="shared" si="1"/>
        <v>8037.393673</v>
      </c>
      <c r="L172" s="15"/>
      <c r="M172" s="15"/>
      <c r="N172" s="17">
        <f t="shared" si="2"/>
        <v>15.08260105</v>
      </c>
      <c r="O172" s="15" t="s">
        <v>21</v>
      </c>
      <c r="S172" s="19"/>
    </row>
    <row r="173" ht="15.75" customHeight="1">
      <c r="A173" s="10">
        <v>193.0</v>
      </c>
      <c r="B173" s="11" t="s">
        <v>205</v>
      </c>
      <c r="C173" s="12">
        <v>4.0</v>
      </c>
      <c r="D173" s="10" t="s">
        <v>202</v>
      </c>
      <c r="E173" s="10">
        <v>2025.0</v>
      </c>
      <c r="F173" s="10" t="s">
        <v>28</v>
      </c>
      <c r="G173" s="13"/>
      <c r="H173" s="13"/>
      <c r="I173" s="14">
        <f>IFERROR(_xlfn.FORECAST.LINEAR('BD_LeiturasHidrômetro_PRJ01'!$A173,G:G,A:A),"0000")</f>
        <v>8067.558875</v>
      </c>
      <c r="J173" s="14">
        <f>IF('BD_LeiturasHidrômetro_PRJ01'!$G173&amp;'BD_LeiturasHidrômetro_PRJ01'!$H173="",'BD_LeiturasHidrômetro_PRJ01'!$I173,'BD_LeiturasHidrômetro_PRJ01'!$G173&amp;'BD_LeiturasHidrômetro_PRJ01'!$H173)</f>
        <v>8067.558875</v>
      </c>
      <c r="K173" s="14">
        <f t="shared" si="1"/>
        <v>8052.476274</v>
      </c>
      <c r="L173" s="15"/>
      <c r="M173" s="15"/>
      <c r="N173" s="17">
        <f t="shared" si="2"/>
        <v>15.08260105</v>
      </c>
      <c r="O173" s="15" t="s">
        <v>21</v>
      </c>
      <c r="S173" s="19"/>
    </row>
    <row r="174" ht="15.75" customHeight="1">
      <c r="A174" s="10">
        <v>194.0</v>
      </c>
      <c r="B174" s="11" t="s">
        <v>206</v>
      </c>
      <c r="C174" s="12">
        <v>5.0</v>
      </c>
      <c r="D174" s="10" t="s">
        <v>202</v>
      </c>
      <c r="E174" s="10">
        <v>2025.0</v>
      </c>
      <c r="F174" s="10" t="s">
        <v>30</v>
      </c>
      <c r="G174" s="13"/>
      <c r="H174" s="13"/>
      <c r="I174" s="14">
        <f>IFERROR(_xlfn.FORECAST.LINEAR('BD_LeiturasHidrômetro_PRJ01'!$A174,G:G,A:A),"0000")</f>
        <v>8082.641476</v>
      </c>
      <c r="J174" s="14">
        <f>IF('BD_LeiturasHidrômetro_PRJ01'!$G174&amp;'BD_LeiturasHidrômetro_PRJ01'!$H174="",'BD_LeiturasHidrômetro_PRJ01'!$I174,'BD_LeiturasHidrômetro_PRJ01'!$G174&amp;'BD_LeiturasHidrômetro_PRJ01'!$H174)</f>
        <v>8082.641476</v>
      </c>
      <c r="K174" s="14">
        <f t="shared" si="1"/>
        <v>8067.558875</v>
      </c>
      <c r="L174" s="15"/>
      <c r="M174" s="15"/>
      <c r="N174" s="17">
        <f t="shared" si="2"/>
        <v>15.08260105</v>
      </c>
      <c r="O174" s="15" t="s">
        <v>21</v>
      </c>
      <c r="S174" s="19"/>
    </row>
    <row r="175" ht="15.75" customHeight="1">
      <c r="A175" s="10">
        <v>195.0</v>
      </c>
      <c r="B175" s="11" t="s">
        <v>207</v>
      </c>
      <c r="C175" s="12">
        <v>6.0</v>
      </c>
      <c r="D175" s="10" t="s">
        <v>202</v>
      </c>
      <c r="E175" s="10">
        <v>2025.0</v>
      </c>
      <c r="F175" s="10" t="s">
        <v>32</v>
      </c>
      <c r="G175" s="13"/>
      <c r="H175" s="13"/>
      <c r="I175" s="14">
        <f>IFERROR(_xlfn.FORECAST.LINEAR('BD_LeiturasHidrômetro_PRJ01'!$A175,G:G,A:A),"0000")</f>
        <v>8097.724077</v>
      </c>
      <c r="J175" s="14">
        <f>IF('BD_LeiturasHidrômetro_PRJ01'!$G175&amp;'BD_LeiturasHidrômetro_PRJ01'!$H175="",'BD_LeiturasHidrômetro_PRJ01'!$I175,'BD_LeiturasHidrômetro_PRJ01'!$G175&amp;'BD_LeiturasHidrômetro_PRJ01'!$H175)</f>
        <v>8097.724077</v>
      </c>
      <c r="K175" s="14">
        <f t="shared" si="1"/>
        <v>8082.641476</v>
      </c>
      <c r="L175" s="15"/>
      <c r="M175" s="15"/>
      <c r="N175" s="17">
        <f t="shared" si="2"/>
        <v>15.08260105</v>
      </c>
      <c r="O175" s="15" t="s">
        <v>21</v>
      </c>
      <c r="S175" s="19"/>
    </row>
    <row r="176" ht="15.75" customHeight="1">
      <c r="A176" s="10">
        <v>196.0</v>
      </c>
      <c r="B176" s="11" t="s">
        <v>208</v>
      </c>
      <c r="C176" s="12">
        <v>7.0</v>
      </c>
      <c r="D176" s="10" t="s">
        <v>202</v>
      </c>
      <c r="E176" s="10">
        <v>2025.0</v>
      </c>
      <c r="F176" s="10" t="s">
        <v>34</v>
      </c>
      <c r="G176" s="13"/>
      <c r="H176" s="13"/>
      <c r="I176" s="14">
        <f>IFERROR(_xlfn.FORECAST.LINEAR('BD_LeiturasHidrômetro_PRJ01'!$A176,G:G,A:A),"0000")</f>
        <v>8112.806678</v>
      </c>
      <c r="J176" s="14">
        <f>IF('BD_LeiturasHidrômetro_PRJ01'!$G176&amp;'BD_LeiturasHidrômetro_PRJ01'!$H176="",'BD_LeiturasHidrômetro_PRJ01'!$I176,'BD_LeiturasHidrômetro_PRJ01'!$G176&amp;'BD_LeiturasHidrômetro_PRJ01'!$H176)</f>
        <v>8112.806678</v>
      </c>
      <c r="K176" s="14">
        <f t="shared" si="1"/>
        <v>8097.724077</v>
      </c>
      <c r="L176" s="15"/>
      <c r="M176" s="15"/>
      <c r="N176" s="17">
        <f t="shared" si="2"/>
        <v>15.08260105</v>
      </c>
      <c r="O176" s="15" t="s">
        <v>21</v>
      </c>
      <c r="S176" s="19"/>
    </row>
    <row r="177" ht="15.75" customHeight="1">
      <c r="A177" s="10">
        <v>197.0</v>
      </c>
      <c r="B177" s="11" t="s">
        <v>209</v>
      </c>
      <c r="C177" s="12">
        <v>8.0</v>
      </c>
      <c r="D177" s="10" t="s">
        <v>202</v>
      </c>
      <c r="E177" s="10">
        <v>2025.0</v>
      </c>
      <c r="F177" s="10" t="s">
        <v>19</v>
      </c>
      <c r="G177" s="13"/>
      <c r="H177" s="13"/>
      <c r="I177" s="14">
        <f>IFERROR(_xlfn.FORECAST.LINEAR('BD_LeiturasHidrômetro_PRJ01'!$A177,G:G,A:A),"0000")</f>
        <v>8127.889279</v>
      </c>
      <c r="J177" s="14">
        <f>IF('BD_LeiturasHidrômetro_PRJ01'!$G177&amp;'BD_LeiturasHidrômetro_PRJ01'!$H177="",'BD_LeiturasHidrômetro_PRJ01'!$I177,'BD_LeiturasHidrômetro_PRJ01'!$G177&amp;'BD_LeiturasHidrômetro_PRJ01'!$H177)</f>
        <v>8127.889279</v>
      </c>
      <c r="K177" s="14">
        <f t="shared" si="1"/>
        <v>8112.806678</v>
      </c>
      <c r="L177" s="15"/>
      <c r="M177" s="15"/>
      <c r="N177" s="17">
        <f t="shared" si="2"/>
        <v>15.08260105</v>
      </c>
      <c r="O177" s="15" t="s">
        <v>21</v>
      </c>
      <c r="S177" s="19"/>
    </row>
    <row r="178" ht="15.75" customHeight="1">
      <c r="A178" s="10">
        <v>198.0</v>
      </c>
      <c r="B178" s="11" t="s">
        <v>210</v>
      </c>
      <c r="C178" s="12">
        <v>9.0</v>
      </c>
      <c r="D178" s="10" t="s">
        <v>202</v>
      </c>
      <c r="E178" s="10">
        <v>2025.0</v>
      </c>
      <c r="F178" s="10" t="s">
        <v>23</v>
      </c>
      <c r="G178" s="13"/>
      <c r="H178" s="13"/>
      <c r="I178" s="14">
        <f>IFERROR(_xlfn.FORECAST.LINEAR('BD_LeiturasHidrômetro_PRJ01'!$A178,G:G,A:A),"0000")</f>
        <v>8142.97188</v>
      </c>
      <c r="J178" s="14">
        <f>IF('BD_LeiturasHidrômetro_PRJ01'!$G178&amp;'BD_LeiturasHidrômetro_PRJ01'!$H178="",'BD_LeiturasHidrômetro_PRJ01'!$I178,'BD_LeiturasHidrômetro_PRJ01'!$G178&amp;'BD_LeiturasHidrômetro_PRJ01'!$H178)</f>
        <v>8142.97188</v>
      </c>
      <c r="K178" s="14">
        <f t="shared" si="1"/>
        <v>8127.889279</v>
      </c>
      <c r="L178" s="15"/>
      <c r="M178" s="15"/>
      <c r="N178" s="17">
        <f t="shared" si="2"/>
        <v>15.08260105</v>
      </c>
      <c r="O178" s="15" t="s">
        <v>21</v>
      </c>
      <c r="S178" s="19"/>
    </row>
    <row r="179" ht="15.75" customHeight="1">
      <c r="A179" s="10">
        <v>199.0</v>
      </c>
      <c r="B179" s="11" t="s">
        <v>211</v>
      </c>
      <c r="C179" s="12">
        <v>10.0</v>
      </c>
      <c r="D179" s="10" t="s">
        <v>202</v>
      </c>
      <c r="E179" s="10">
        <v>2025.0</v>
      </c>
      <c r="F179" s="10" t="s">
        <v>26</v>
      </c>
      <c r="G179" s="13"/>
      <c r="H179" s="13"/>
      <c r="I179" s="14">
        <f>IFERROR(_xlfn.FORECAST.LINEAR('BD_LeiturasHidrômetro_PRJ01'!$A179,G:G,A:A),"0000")</f>
        <v>8158.054482</v>
      </c>
      <c r="J179" s="14">
        <f>IF('BD_LeiturasHidrômetro_PRJ01'!$G179&amp;'BD_LeiturasHidrômetro_PRJ01'!$H179="",'BD_LeiturasHidrômetro_PRJ01'!$I179,'BD_LeiturasHidrômetro_PRJ01'!$G179&amp;'BD_LeiturasHidrômetro_PRJ01'!$H179)</f>
        <v>8158.054482</v>
      </c>
      <c r="K179" s="14">
        <f t="shared" si="1"/>
        <v>8142.97188</v>
      </c>
      <c r="L179" s="15"/>
      <c r="M179" s="15"/>
      <c r="N179" s="17">
        <f t="shared" si="2"/>
        <v>15.08260105</v>
      </c>
      <c r="O179" s="15" t="s">
        <v>21</v>
      </c>
      <c r="S179" s="19"/>
    </row>
    <row r="180" ht="15.75" customHeight="1">
      <c r="A180" s="10">
        <v>200.0</v>
      </c>
      <c r="B180" s="11" t="s">
        <v>212</v>
      </c>
      <c r="C180" s="12">
        <v>11.0</v>
      </c>
      <c r="D180" s="10" t="s">
        <v>202</v>
      </c>
      <c r="E180" s="10">
        <v>2025.0</v>
      </c>
      <c r="F180" s="10" t="s">
        <v>28</v>
      </c>
      <c r="G180" s="13"/>
      <c r="H180" s="13"/>
      <c r="I180" s="14">
        <f>IFERROR(_xlfn.FORECAST.LINEAR('BD_LeiturasHidrômetro_PRJ01'!$A180,G:G,A:A),"0000")</f>
        <v>8173.137083</v>
      </c>
      <c r="J180" s="14">
        <f>IF('BD_LeiturasHidrômetro_PRJ01'!$G180&amp;'BD_LeiturasHidrômetro_PRJ01'!$H180="",'BD_LeiturasHidrômetro_PRJ01'!$I180,'BD_LeiturasHidrômetro_PRJ01'!$G180&amp;'BD_LeiturasHidrômetro_PRJ01'!$H180)</f>
        <v>8173.137083</v>
      </c>
      <c r="K180" s="14">
        <f t="shared" si="1"/>
        <v>8158.054482</v>
      </c>
      <c r="L180" s="15"/>
      <c r="M180" s="15"/>
      <c r="N180" s="17">
        <f t="shared" si="2"/>
        <v>15.08260105</v>
      </c>
      <c r="O180" s="15" t="s">
        <v>21</v>
      </c>
      <c r="S180" s="19"/>
    </row>
    <row r="181" ht="15.75" customHeight="1">
      <c r="A181" s="10">
        <v>201.0</v>
      </c>
      <c r="B181" s="11" t="s">
        <v>213</v>
      </c>
      <c r="C181" s="12">
        <v>12.0</v>
      </c>
      <c r="D181" s="10" t="s">
        <v>202</v>
      </c>
      <c r="E181" s="10">
        <v>2025.0</v>
      </c>
      <c r="F181" s="10" t="s">
        <v>30</v>
      </c>
      <c r="G181" s="13"/>
      <c r="H181" s="13"/>
      <c r="I181" s="14">
        <f>IFERROR(_xlfn.FORECAST.LINEAR('BD_LeiturasHidrômetro_PRJ01'!$A181,G:G,A:A),"0000")</f>
        <v>8188.219684</v>
      </c>
      <c r="J181" s="14">
        <f>IF('BD_LeiturasHidrômetro_PRJ01'!$G181&amp;'BD_LeiturasHidrômetro_PRJ01'!$H181="",'BD_LeiturasHidrômetro_PRJ01'!$I181,'BD_LeiturasHidrômetro_PRJ01'!$G181&amp;'BD_LeiturasHidrômetro_PRJ01'!$H181)</f>
        <v>8188.219684</v>
      </c>
      <c r="K181" s="14">
        <f t="shared" si="1"/>
        <v>8173.137083</v>
      </c>
      <c r="L181" s="15"/>
      <c r="M181" s="15"/>
      <c r="N181" s="17">
        <f t="shared" si="2"/>
        <v>15.08260105</v>
      </c>
      <c r="O181" s="15" t="s">
        <v>21</v>
      </c>
      <c r="S181" s="19"/>
    </row>
    <row r="182" ht="15.75" customHeight="1">
      <c r="A182" s="10">
        <v>202.0</v>
      </c>
      <c r="B182" s="11" t="s">
        <v>214</v>
      </c>
      <c r="C182" s="12">
        <v>13.0</v>
      </c>
      <c r="D182" s="10" t="s">
        <v>202</v>
      </c>
      <c r="E182" s="10">
        <v>2025.0</v>
      </c>
      <c r="F182" s="10" t="s">
        <v>32</v>
      </c>
      <c r="G182" s="13"/>
      <c r="H182" s="13"/>
      <c r="I182" s="14">
        <f>IFERROR(_xlfn.FORECAST.LINEAR('BD_LeiturasHidrômetro_PRJ01'!$A182,G:G,A:A),"0000")</f>
        <v>8203.302285</v>
      </c>
      <c r="J182" s="14">
        <f>IF('BD_LeiturasHidrômetro_PRJ01'!$G182&amp;'BD_LeiturasHidrômetro_PRJ01'!$H182="",'BD_LeiturasHidrômetro_PRJ01'!$I182,'BD_LeiturasHidrômetro_PRJ01'!$G182&amp;'BD_LeiturasHidrômetro_PRJ01'!$H182)</f>
        <v>8203.302285</v>
      </c>
      <c r="K182" s="14">
        <f t="shared" si="1"/>
        <v>8188.219684</v>
      </c>
      <c r="L182" s="15"/>
      <c r="M182" s="15"/>
      <c r="N182" s="17">
        <f t="shared" si="2"/>
        <v>15.08260105</v>
      </c>
      <c r="O182" s="15" t="s">
        <v>21</v>
      </c>
      <c r="S182" s="19"/>
    </row>
    <row r="183" ht="15.75" customHeight="1">
      <c r="A183" s="10">
        <v>203.0</v>
      </c>
      <c r="B183" s="11" t="s">
        <v>215</v>
      </c>
      <c r="C183" s="12">
        <v>14.0</v>
      </c>
      <c r="D183" s="10" t="s">
        <v>202</v>
      </c>
      <c r="E183" s="10">
        <v>2025.0</v>
      </c>
      <c r="F183" s="10" t="s">
        <v>34</v>
      </c>
      <c r="G183" s="13"/>
      <c r="H183" s="13"/>
      <c r="I183" s="14">
        <f>IFERROR(_xlfn.FORECAST.LINEAR('BD_LeiturasHidrômetro_PRJ01'!$A183,G:G,A:A),"0000")</f>
        <v>8218.384886</v>
      </c>
      <c r="J183" s="14">
        <f>IF('BD_LeiturasHidrômetro_PRJ01'!$G183&amp;'BD_LeiturasHidrômetro_PRJ01'!$H183="",'BD_LeiturasHidrômetro_PRJ01'!$I183,'BD_LeiturasHidrômetro_PRJ01'!$G183&amp;'BD_LeiturasHidrômetro_PRJ01'!$H183)</f>
        <v>8218.384886</v>
      </c>
      <c r="K183" s="14">
        <f t="shared" si="1"/>
        <v>8203.302285</v>
      </c>
      <c r="L183" s="15"/>
      <c r="M183" s="15"/>
      <c r="N183" s="17">
        <f t="shared" si="2"/>
        <v>15.08260105</v>
      </c>
      <c r="O183" s="15" t="s">
        <v>21</v>
      </c>
      <c r="S183" s="19"/>
    </row>
    <row r="184" ht="15.75" customHeight="1">
      <c r="A184" s="10">
        <v>204.0</v>
      </c>
      <c r="B184" s="11" t="s">
        <v>216</v>
      </c>
      <c r="C184" s="12">
        <v>15.0</v>
      </c>
      <c r="D184" s="10" t="s">
        <v>202</v>
      </c>
      <c r="E184" s="10">
        <v>2025.0</v>
      </c>
      <c r="F184" s="10" t="s">
        <v>19</v>
      </c>
      <c r="G184" s="13"/>
      <c r="H184" s="13"/>
      <c r="I184" s="14">
        <f>IFERROR(_xlfn.FORECAST.LINEAR('BD_LeiturasHidrômetro_PRJ01'!$A184,G:G,A:A),"0000")</f>
        <v>8233.467487</v>
      </c>
      <c r="J184" s="14">
        <f>IF('BD_LeiturasHidrômetro_PRJ01'!$G184&amp;'BD_LeiturasHidrômetro_PRJ01'!$H184="",'BD_LeiturasHidrômetro_PRJ01'!$I184,'BD_LeiturasHidrômetro_PRJ01'!$G184&amp;'BD_LeiturasHidrômetro_PRJ01'!$H184)</f>
        <v>8233.467487</v>
      </c>
      <c r="K184" s="14">
        <f t="shared" si="1"/>
        <v>8218.384886</v>
      </c>
      <c r="L184" s="15"/>
      <c r="M184" s="15"/>
      <c r="N184" s="17">
        <f t="shared" si="2"/>
        <v>15.08260105</v>
      </c>
      <c r="O184" s="15" t="s">
        <v>21</v>
      </c>
      <c r="S184" s="19"/>
    </row>
    <row r="185" ht="15.75" customHeight="1">
      <c r="A185" s="10">
        <v>205.0</v>
      </c>
      <c r="B185" s="11" t="s">
        <v>217</v>
      </c>
      <c r="C185" s="12">
        <v>16.0</v>
      </c>
      <c r="D185" s="10" t="s">
        <v>202</v>
      </c>
      <c r="E185" s="10">
        <v>2025.0</v>
      </c>
      <c r="F185" s="10" t="s">
        <v>23</v>
      </c>
      <c r="G185" s="13"/>
      <c r="H185" s="13"/>
      <c r="I185" s="14">
        <f>IFERROR(_xlfn.FORECAST.LINEAR('BD_LeiturasHidrômetro_PRJ01'!$A185,G:G,A:A),"0000")</f>
        <v>8248.550088</v>
      </c>
      <c r="J185" s="14">
        <f>IF('BD_LeiturasHidrômetro_PRJ01'!$G185&amp;'BD_LeiturasHidrômetro_PRJ01'!$H185="",'BD_LeiturasHidrômetro_PRJ01'!$I185,'BD_LeiturasHidrômetro_PRJ01'!$G185&amp;'BD_LeiturasHidrômetro_PRJ01'!$H185)</f>
        <v>8248.550088</v>
      </c>
      <c r="K185" s="14">
        <f t="shared" si="1"/>
        <v>8233.467487</v>
      </c>
      <c r="L185" s="15"/>
      <c r="M185" s="15"/>
      <c r="N185" s="17">
        <f t="shared" si="2"/>
        <v>15.08260105</v>
      </c>
      <c r="O185" s="15" t="s">
        <v>21</v>
      </c>
      <c r="S185" s="19"/>
    </row>
    <row r="186" ht="15.75" customHeight="1">
      <c r="A186" s="10">
        <v>206.0</v>
      </c>
      <c r="B186" s="11" t="s">
        <v>218</v>
      </c>
      <c r="C186" s="12">
        <v>17.0</v>
      </c>
      <c r="D186" s="10" t="s">
        <v>202</v>
      </c>
      <c r="E186" s="10">
        <v>2025.0</v>
      </c>
      <c r="F186" s="10" t="s">
        <v>26</v>
      </c>
      <c r="G186" s="13"/>
      <c r="H186" s="13"/>
      <c r="I186" s="14">
        <f>IFERROR(_xlfn.FORECAST.LINEAR('BD_LeiturasHidrômetro_PRJ01'!$A186,G:G,A:A),"0000")</f>
        <v>8263.632689</v>
      </c>
      <c r="J186" s="14">
        <f>IF('BD_LeiturasHidrômetro_PRJ01'!$G186&amp;'BD_LeiturasHidrômetro_PRJ01'!$H186="",'BD_LeiturasHidrômetro_PRJ01'!$I186,'BD_LeiturasHidrômetro_PRJ01'!$G186&amp;'BD_LeiturasHidrômetro_PRJ01'!$H186)</f>
        <v>8263.632689</v>
      </c>
      <c r="K186" s="14">
        <f t="shared" si="1"/>
        <v>8248.550088</v>
      </c>
      <c r="L186" s="15"/>
      <c r="M186" s="15"/>
      <c r="N186" s="17">
        <f t="shared" si="2"/>
        <v>15.08260105</v>
      </c>
      <c r="O186" s="15" t="s">
        <v>21</v>
      </c>
      <c r="S186" s="19"/>
    </row>
    <row r="187" ht="15.75" customHeight="1">
      <c r="A187" s="10">
        <v>207.0</v>
      </c>
      <c r="B187" s="11" t="s">
        <v>219</v>
      </c>
      <c r="C187" s="12">
        <v>18.0</v>
      </c>
      <c r="D187" s="10" t="s">
        <v>202</v>
      </c>
      <c r="E187" s="10">
        <v>2025.0</v>
      </c>
      <c r="F187" s="10" t="s">
        <v>28</v>
      </c>
      <c r="G187" s="13"/>
      <c r="H187" s="13"/>
      <c r="I187" s="14">
        <f>IFERROR(_xlfn.FORECAST.LINEAR('BD_LeiturasHidrômetro_PRJ01'!$A187,G:G,A:A),"0000")</f>
        <v>8278.71529</v>
      </c>
      <c r="J187" s="14">
        <f>IF('BD_LeiturasHidrômetro_PRJ01'!$G187&amp;'BD_LeiturasHidrômetro_PRJ01'!$H187="",'BD_LeiturasHidrômetro_PRJ01'!$I187,'BD_LeiturasHidrômetro_PRJ01'!$G187&amp;'BD_LeiturasHidrômetro_PRJ01'!$H187)</f>
        <v>8278.71529</v>
      </c>
      <c r="K187" s="14">
        <f t="shared" si="1"/>
        <v>8263.632689</v>
      </c>
      <c r="L187" s="15"/>
      <c r="M187" s="15"/>
      <c r="N187" s="17">
        <f t="shared" si="2"/>
        <v>15.08260105</v>
      </c>
      <c r="O187" s="15" t="s">
        <v>21</v>
      </c>
      <c r="S187" s="19"/>
    </row>
    <row r="188" ht="15.75" customHeight="1">
      <c r="A188" s="10">
        <v>208.0</v>
      </c>
      <c r="B188" s="11" t="s">
        <v>220</v>
      </c>
      <c r="C188" s="12">
        <v>19.0</v>
      </c>
      <c r="D188" s="10" t="s">
        <v>202</v>
      </c>
      <c r="E188" s="10">
        <v>2025.0</v>
      </c>
      <c r="F188" s="10" t="s">
        <v>30</v>
      </c>
      <c r="G188" s="13"/>
      <c r="H188" s="13"/>
      <c r="I188" s="14">
        <f>IFERROR(_xlfn.FORECAST.LINEAR('BD_LeiturasHidrômetro_PRJ01'!$A188,G:G,A:A),"0000")</f>
        <v>8293.797891</v>
      </c>
      <c r="J188" s="14">
        <f>IF('BD_LeiturasHidrômetro_PRJ01'!$G188&amp;'BD_LeiturasHidrômetro_PRJ01'!$H188="",'BD_LeiturasHidrômetro_PRJ01'!$I188,'BD_LeiturasHidrômetro_PRJ01'!$G188&amp;'BD_LeiturasHidrômetro_PRJ01'!$H188)</f>
        <v>8293.797891</v>
      </c>
      <c r="K188" s="14">
        <f t="shared" si="1"/>
        <v>8278.71529</v>
      </c>
      <c r="L188" s="15"/>
      <c r="M188" s="15"/>
      <c r="N188" s="17">
        <f t="shared" si="2"/>
        <v>15.08260105</v>
      </c>
      <c r="O188" s="15" t="s">
        <v>21</v>
      </c>
      <c r="S188" s="19"/>
    </row>
    <row r="189" ht="15.75" customHeight="1">
      <c r="A189" s="10">
        <v>209.0</v>
      </c>
      <c r="B189" s="11" t="s">
        <v>221</v>
      </c>
      <c r="C189" s="12">
        <v>20.0</v>
      </c>
      <c r="D189" s="10" t="s">
        <v>202</v>
      </c>
      <c r="E189" s="10">
        <v>2025.0</v>
      </c>
      <c r="F189" s="10" t="s">
        <v>32</v>
      </c>
      <c r="G189" s="13"/>
      <c r="H189" s="13"/>
      <c r="I189" s="14">
        <f>IFERROR(_xlfn.FORECAST.LINEAR('BD_LeiturasHidrômetro_PRJ01'!$A189,G:G,A:A),"0000")</f>
        <v>8308.880492</v>
      </c>
      <c r="J189" s="14">
        <f>IF('BD_LeiturasHidrômetro_PRJ01'!$G189&amp;'BD_LeiturasHidrômetro_PRJ01'!$H189="",'BD_LeiturasHidrômetro_PRJ01'!$I189,'BD_LeiturasHidrômetro_PRJ01'!$G189&amp;'BD_LeiturasHidrômetro_PRJ01'!$H189)</f>
        <v>8308.880492</v>
      </c>
      <c r="K189" s="14">
        <f t="shared" si="1"/>
        <v>8293.797891</v>
      </c>
      <c r="L189" s="15"/>
      <c r="M189" s="15"/>
      <c r="N189" s="17">
        <f t="shared" si="2"/>
        <v>15.08260105</v>
      </c>
      <c r="O189" s="15" t="s">
        <v>21</v>
      </c>
      <c r="S189" s="19"/>
    </row>
    <row r="190" ht="15.75" customHeight="1">
      <c r="A190" s="10">
        <v>210.0</v>
      </c>
      <c r="B190" s="11" t="s">
        <v>222</v>
      </c>
      <c r="C190" s="12">
        <v>21.0</v>
      </c>
      <c r="D190" s="10" t="s">
        <v>202</v>
      </c>
      <c r="E190" s="10">
        <v>2025.0</v>
      </c>
      <c r="F190" s="10" t="s">
        <v>34</v>
      </c>
      <c r="G190" s="13"/>
      <c r="H190" s="13"/>
      <c r="I190" s="14">
        <f>IFERROR(_xlfn.FORECAST.LINEAR('BD_LeiturasHidrômetro_PRJ01'!$A190,G:G,A:A),"0000")</f>
        <v>8323.963093</v>
      </c>
      <c r="J190" s="14">
        <f>IF('BD_LeiturasHidrômetro_PRJ01'!$G190&amp;'BD_LeiturasHidrômetro_PRJ01'!$H190="",'BD_LeiturasHidrômetro_PRJ01'!$I190,'BD_LeiturasHidrômetro_PRJ01'!$G190&amp;'BD_LeiturasHidrômetro_PRJ01'!$H190)</f>
        <v>8323.963093</v>
      </c>
      <c r="K190" s="14">
        <f t="shared" si="1"/>
        <v>8308.880492</v>
      </c>
      <c r="L190" s="15"/>
      <c r="M190" s="15"/>
      <c r="N190" s="17">
        <f t="shared" si="2"/>
        <v>15.08260105</v>
      </c>
      <c r="O190" s="15" t="s">
        <v>21</v>
      </c>
      <c r="S190" s="19"/>
    </row>
    <row r="191" ht="15.75" customHeight="1">
      <c r="A191" s="10">
        <v>211.0</v>
      </c>
      <c r="B191" s="11" t="s">
        <v>223</v>
      </c>
      <c r="C191" s="12">
        <v>22.0</v>
      </c>
      <c r="D191" s="10" t="s">
        <v>202</v>
      </c>
      <c r="E191" s="10">
        <v>2025.0</v>
      </c>
      <c r="F191" s="10" t="s">
        <v>19</v>
      </c>
      <c r="G191" s="13"/>
      <c r="H191" s="13"/>
      <c r="I191" s="14">
        <f>IFERROR(_xlfn.FORECAST.LINEAR('BD_LeiturasHidrômetro_PRJ01'!$A191,G:G,A:A),"0000")</f>
        <v>8339.045694</v>
      </c>
      <c r="J191" s="14">
        <f>IF('BD_LeiturasHidrômetro_PRJ01'!$G191&amp;'BD_LeiturasHidrômetro_PRJ01'!$H191="",'BD_LeiturasHidrômetro_PRJ01'!$I191,'BD_LeiturasHidrômetro_PRJ01'!$G191&amp;'BD_LeiturasHidrômetro_PRJ01'!$H191)</f>
        <v>8339.045694</v>
      </c>
      <c r="K191" s="14">
        <f t="shared" si="1"/>
        <v>8323.963093</v>
      </c>
      <c r="L191" s="15"/>
      <c r="M191" s="15"/>
      <c r="N191" s="17">
        <f t="shared" si="2"/>
        <v>15.08260105</v>
      </c>
      <c r="O191" s="15" t="s">
        <v>21</v>
      </c>
      <c r="S191" s="19"/>
    </row>
    <row r="192" ht="15.75" customHeight="1">
      <c r="A192" s="10">
        <v>212.0</v>
      </c>
      <c r="B192" s="11" t="s">
        <v>224</v>
      </c>
      <c r="C192" s="12">
        <v>23.0</v>
      </c>
      <c r="D192" s="10" t="s">
        <v>202</v>
      </c>
      <c r="E192" s="10">
        <v>2025.0</v>
      </c>
      <c r="F192" s="10" t="s">
        <v>23</v>
      </c>
      <c r="G192" s="13"/>
      <c r="H192" s="13"/>
      <c r="I192" s="14">
        <f>IFERROR(_xlfn.FORECAST.LINEAR('BD_LeiturasHidrômetro_PRJ01'!$A192,G:G,A:A),"0000")</f>
        <v>8354.128295</v>
      </c>
      <c r="J192" s="14">
        <f>IF('BD_LeiturasHidrômetro_PRJ01'!$G192&amp;'BD_LeiturasHidrômetro_PRJ01'!$H192="",'BD_LeiturasHidrômetro_PRJ01'!$I192,'BD_LeiturasHidrômetro_PRJ01'!$G192&amp;'BD_LeiturasHidrômetro_PRJ01'!$H192)</f>
        <v>8354.128295</v>
      </c>
      <c r="K192" s="14">
        <f t="shared" si="1"/>
        <v>8339.045694</v>
      </c>
      <c r="L192" s="15"/>
      <c r="M192" s="15"/>
      <c r="N192" s="17">
        <f t="shared" si="2"/>
        <v>15.08260105</v>
      </c>
      <c r="O192" s="15" t="s">
        <v>21</v>
      </c>
      <c r="S192" s="19"/>
    </row>
    <row r="193" ht="15.75" customHeight="1">
      <c r="A193" s="10">
        <v>213.0</v>
      </c>
      <c r="B193" s="11" t="s">
        <v>225</v>
      </c>
      <c r="C193" s="12">
        <v>24.0</v>
      </c>
      <c r="D193" s="10" t="s">
        <v>202</v>
      </c>
      <c r="E193" s="10">
        <v>2025.0</v>
      </c>
      <c r="F193" s="10" t="s">
        <v>26</v>
      </c>
      <c r="G193" s="13"/>
      <c r="H193" s="13"/>
      <c r="I193" s="14">
        <f>IFERROR(_xlfn.FORECAST.LINEAR('BD_LeiturasHidrômetro_PRJ01'!$A193,G:G,A:A),"0000")</f>
        <v>8369.210896</v>
      </c>
      <c r="J193" s="14">
        <f>IF('BD_LeiturasHidrômetro_PRJ01'!$G193&amp;'BD_LeiturasHidrômetro_PRJ01'!$H193="",'BD_LeiturasHidrômetro_PRJ01'!$I193,'BD_LeiturasHidrômetro_PRJ01'!$G193&amp;'BD_LeiturasHidrômetro_PRJ01'!$H193)</f>
        <v>8369.210896</v>
      </c>
      <c r="K193" s="14">
        <f t="shared" si="1"/>
        <v>8354.128295</v>
      </c>
      <c r="L193" s="15"/>
      <c r="M193" s="15"/>
      <c r="N193" s="17">
        <f t="shared" si="2"/>
        <v>15.08260105</v>
      </c>
      <c r="O193" s="15" t="s">
        <v>21</v>
      </c>
      <c r="S193" s="19"/>
    </row>
    <row r="194" ht="15.75" customHeight="1">
      <c r="A194" s="10">
        <v>214.0</v>
      </c>
      <c r="B194" s="11" t="s">
        <v>226</v>
      </c>
      <c r="C194" s="12">
        <v>25.0</v>
      </c>
      <c r="D194" s="10" t="s">
        <v>202</v>
      </c>
      <c r="E194" s="10">
        <v>2025.0</v>
      </c>
      <c r="F194" s="10" t="s">
        <v>28</v>
      </c>
      <c r="G194" s="13"/>
      <c r="H194" s="13"/>
      <c r="I194" s="14">
        <f>IFERROR(_xlfn.FORECAST.LINEAR('BD_LeiturasHidrômetro_PRJ01'!$A194,G:G,A:A),"0000")</f>
        <v>8384.293497</v>
      </c>
      <c r="J194" s="14">
        <f>IF('BD_LeiturasHidrômetro_PRJ01'!$G194&amp;'BD_LeiturasHidrômetro_PRJ01'!$H194="",'BD_LeiturasHidrômetro_PRJ01'!$I194,'BD_LeiturasHidrômetro_PRJ01'!$G194&amp;'BD_LeiturasHidrômetro_PRJ01'!$H194)</f>
        <v>8384.293497</v>
      </c>
      <c r="K194" s="14">
        <f t="shared" si="1"/>
        <v>8369.210896</v>
      </c>
      <c r="L194" s="15"/>
      <c r="M194" s="15"/>
      <c r="N194" s="17">
        <f t="shared" si="2"/>
        <v>15.08260105</v>
      </c>
      <c r="O194" s="15" t="s">
        <v>21</v>
      </c>
      <c r="S194" s="19"/>
    </row>
    <row r="195" ht="15.75" customHeight="1">
      <c r="A195" s="10">
        <v>215.0</v>
      </c>
      <c r="B195" s="11" t="s">
        <v>227</v>
      </c>
      <c r="C195" s="12">
        <v>26.0</v>
      </c>
      <c r="D195" s="10" t="s">
        <v>202</v>
      </c>
      <c r="E195" s="10">
        <v>2025.0</v>
      </c>
      <c r="F195" s="10" t="s">
        <v>30</v>
      </c>
      <c r="G195" s="13"/>
      <c r="H195" s="13"/>
      <c r="I195" s="14">
        <f>IFERROR(_xlfn.FORECAST.LINEAR('BD_LeiturasHidrômetro_PRJ01'!$A195,G:G,A:A),"0000")</f>
        <v>8399.376098</v>
      </c>
      <c r="J195" s="14">
        <f>IF('BD_LeiturasHidrômetro_PRJ01'!$G195&amp;'BD_LeiturasHidrômetro_PRJ01'!$H195="",'BD_LeiturasHidrômetro_PRJ01'!$I195,'BD_LeiturasHidrômetro_PRJ01'!$G195&amp;'BD_LeiturasHidrômetro_PRJ01'!$H195)</f>
        <v>8399.376098</v>
      </c>
      <c r="K195" s="14">
        <f t="shared" si="1"/>
        <v>8384.293497</v>
      </c>
      <c r="L195" s="15"/>
      <c r="M195" s="15"/>
      <c r="N195" s="17">
        <f t="shared" si="2"/>
        <v>15.08260105</v>
      </c>
      <c r="O195" s="15" t="s">
        <v>21</v>
      </c>
      <c r="S195" s="19"/>
    </row>
    <row r="196" ht="15.75" customHeight="1">
      <c r="A196" s="10">
        <v>216.0</v>
      </c>
      <c r="B196" s="11" t="s">
        <v>228</v>
      </c>
      <c r="C196" s="12">
        <v>27.0</v>
      </c>
      <c r="D196" s="10" t="s">
        <v>202</v>
      </c>
      <c r="E196" s="10">
        <v>2025.0</v>
      </c>
      <c r="F196" s="10" t="s">
        <v>32</v>
      </c>
      <c r="G196" s="13"/>
      <c r="H196" s="13"/>
      <c r="I196" s="14">
        <f>IFERROR(_xlfn.FORECAST.LINEAR('BD_LeiturasHidrômetro_PRJ01'!$A196,G:G,A:A),"0000")</f>
        <v>8414.458699</v>
      </c>
      <c r="J196" s="14">
        <f>IF('BD_LeiturasHidrômetro_PRJ01'!$G196&amp;'BD_LeiturasHidrômetro_PRJ01'!$H196="",'BD_LeiturasHidrômetro_PRJ01'!$I196,'BD_LeiturasHidrômetro_PRJ01'!$G196&amp;'BD_LeiturasHidrômetro_PRJ01'!$H196)</f>
        <v>8414.458699</v>
      </c>
      <c r="K196" s="14">
        <f t="shared" si="1"/>
        <v>8399.376098</v>
      </c>
      <c r="L196" s="15"/>
      <c r="M196" s="15"/>
      <c r="N196" s="17">
        <f t="shared" si="2"/>
        <v>15.08260105</v>
      </c>
      <c r="O196" s="15" t="s">
        <v>21</v>
      </c>
      <c r="S196" s="19"/>
    </row>
    <row r="197" ht="15.75" customHeight="1">
      <c r="A197" s="10">
        <v>217.0</v>
      </c>
      <c r="B197" s="11" t="s">
        <v>229</v>
      </c>
      <c r="C197" s="12">
        <v>28.0</v>
      </c>
      <c r="D197" s="10" t="s">
        <v>202</v>
      </c>
      <c r="E197" s="10">
        <v>2025.0</v>
      </c>
      <c r="F197" s="10" t="s">
        <v>34</v>
      </c>
      <c r="G197" s="13"/>
      <c r="H197" s="13"/>
      <c r="I197" s="14">
        <f>IFERROR(_xlfn.FORECAST.LINEAR('BD_LeiturasHidrômetro_PRJ01'!$A197,G:G,A:A),"0000")</f>
        <v>8429.541301</v>
      </c>
      <c r="J197" s="14">
        <f>IF('BD_LeiturasHidrômetro_PRJ01'!$G197&amp;'BD_LeiturasHidrômetro_PRJ01'!$H197="",'BD_LeiturasHidrômetro_PRJ01'!$I197,'BD_LeiturasHidrômetro_PRJ01'!$G197&amp;'BD_LeiturasHidrômetro_PRJ01'!$H197)</f>
        <v>8429.541301</v>
      </c>
      <c r="K197" s="14">
        <f t="shared" si="1"/>
        <v>8414.458699</v>
      </c>
      <c r="L197" s="15"/>
      <c r="M197" s="15"/>
      <c r="N197" s="17">
        <f t="shared" si="2"/>
        <v>15.08260105</v>
      </c>
      <c r="O197" s="15" t="s">
        <v>21</v>
      </c>
      <c r="S197" s="19"/>
    </row>
    <row r="198" ht="15.75" customHeight="1">
      <c r="A198" s="10">
        <v>218.0</v>
      </c>
      <c r="B198" s="11" t="s">
        <v>230</v>
      </c>
      <c r="C198" s="12">
        <v>29.0</v>
      </c>
      <c r="D198" s="10" t="s">
        <v>202</v>
      </c>
      <c r="E198" s="10">
        <v>2025.0</v>
      </c>
      <c r="F198" s="10" t="s">
        <v>19</v>
      </c>
      <c r="G198" s="13"/>
      <c r="H198" s="13"/>
      <c r="I198" s="14">
        <f>IFERROR(_xlfn.FORECAST.LINEAR('BD_LeiturasHidrômetro_PRJ01'!$A198,G:G,A:A),"0000")</f>
        <v>8444.623902</v>
      </c>
      <c r="J198" s="14">
        <f>IF('BD_LeiturasHidrômetro_PRJ01'!$G198&amp;'BD_LeiturasHidrômetro_PRJ01'!$H198="",'BD_LeiturasHidrômetro_PRJ01'!$I198,'BD_LeiturasHidrômetro_PRJ01'!$G198&amp;'BD_LeiturasHidrômetro_PRJ01'!$H198)</f>
        <v>8444.623902</v>
      </c>
      <c r="K198" s="14">
        <f t="shared" si="1"/>
        <v>8429.541301</v>
      </c>
      <c r="L198" s="15"/>
      <c r="M198" s="15"/>
      <c r="N198" s="17">
        <f t="shared" si="2"/>
        <v>15.08260105</v>
      </c>
      <c r="O198" s="15" t="s">
        <v>21</v>
      </c>
      <c r="S198" s="19"/>
    </row>
    <row r="199" ht="15.75" customHeight="1">
      <c r="A199" s="10">
        <v>219.0</v>
      </c>
      <c r="B199" s="11" t="s">
        <v>231</v>
      </c>
      <c r="C199" s="12">
        <v>30.0</v>
      </c>
      <c r="D199" s="10" t="s">
        <v>202</v>
      </c>
      <c r="E199" s="10">
        <v>2025.0</v>
      </c>
      <c r="F199" s="10" t="s">
        <v>23</v>
      </c>
      <c r="G199" s="13"/>
      <c r="H199" s="13"/>
      <c r="I199" s="14">
        <f>IFERROR(_xlfn.FORECAST.LINEAR('BD_LeiturasHidrômetro_PRJ01'!$A199,G:G,A:A),"0000")</f>
        <v>8459.706503</v>
      </c>
      <c r="J199" s="14">
        <f>IF('BD_LeiturasHidrômetro_PRJ01'!$G199&amp;'BD_LeiturasHidrômetro_PRJ01'!$H199="",'BD_LeiturasHidrômetro_PRJ01'!$I199,'BD_LeiturasHidrômetro_PRJ01'!$G199&amp;'BD_LeiturasHidrômetro_PRJ01'!$H199)</f>
        <v>8459.706503</v>
      </c>
      <c r="K199" s="14">
        <f t="shared" si="1"/>
        <v>8444.623902</v>
      </c>
      <c r="L199" s="15"/>
      <c r="M199" s="15"/>
      <c r="N199" s="17">
        <f t="shared" si="2"/>
        <v>15.08260105</v>
      </c>
      <c r="O199" s="15" t="s">
        <v>21</v>
      </c>
      <c r="S199" s="19"/>
    </row>
    <row r="200" ht="15.75" customHeight="1">
      <c r="A200" s="10">
        <v>220.0</v>
      </c>
      <c r="B200" s="11" t="s">
        <v>232</v>
      </c>
      <c r="C200" s="12">
        <v>31.0</v>
      </c>
      <c r="D200" s="10" t="s">
        <v>202</v>
      </c>
      <c r="E200" s="10">
        <v>2025.0</v>
      </c>
      <c r="F200" s="10" t="s">
        <v>26</v>
      </c>
      <c r="G200" s="13"/>
      <c r="H200" s="13"/>
      <c r="I200" s="14">
        <f>IFERROR(_xlfn.FORECAST.LINEAR('BD_LeiturasHidrômetro_PRJ01'!$A200,G:G,A:A),"0000")</f>
        <v>8474.789104</v>
      </c>
      <c r="J200" s="14">
        <f>IF('BD_LeiturasHidrômetro_PRJ01'!$G200&amp;'BD_LeiturasHidrômetro_PRJ01'!$H200="",'BD_LeiturasHidrômetro_PRJ01'!$I200,'BD_LeiturasHidrômetro_PRJ01'!$G200&amp;'BD_LeiturasHidrômetro_PRJ01'!$H200)</f>
        <v>8474.789104</v>
      </c>
      <c r="K200" s="14">
        <f t="shared" si="1"/>
        <v>8459.706503</v>
      </c>
      <c r="L200" s="15"/>
      <c r="M200" s="15"/>
      <c r="N200" s="17">
        <f t="shared" si="2"/>
        <v>15.08260105</v>
      </c>
      <c r="O200" s="15" t="s">
        <v>21</v>
      </c>
      <c r="S200" s="22"/>
    </row>
    <row r="201" ht="15.75" customHeight="1">
      <c r="A201" s="23"/>
      <c r="B201" s="24"/>
      <c r="C201" s="25"/>
      <c r="D201" s="26"/>
      <c r="E201" s="26"/>
      <c r="F201" s="26"/>
      <c r="G201" s="27"/>
      <c r="H201" s="27"/>
      <c r="I201" s="27"/>
      <c r="J201" s="27"/>
      <c r="K201" s="23"/>
      <c r="L201" s="23"/>
      <c r="O201" s="22"/>
    </row>
    <row r="202" ht="15.75" customHeight="1">
      <c r="A202" s="23"/>
      <c r="B202" s="24"/>
      <c r="C202" s="25"/>
      <c r="D202" s="26"/>
      <c r="E202" s="26"/>
      <c r="F202" s="26"/>
      <c r="G202" s="27"/>
      <c r="H202" s="27"/>
      <c r="I202" s="27"/>
      <c r="J202" s="27"/>
      <c r="K202" s="23"/>
      <c r="L202" s="23"/>
      <c r="O202" s="22"/>
    </row>
    <row r="203" ht="15.75" customHeight="1">
      <c r="A203" s="23"/>
      <c r="B203" s="24"/>
      <c r="C203" s="25"/>
      <c r="D203" s="26"/>
      <c r="E203" s="26"/>
      <c r="F203" s="26"/>
      <c r="G203" s="27"/>
      <c r="H203" s="27"/>
      <c r="I203" s="27"/>
      <c r="J203" s="27"/>
      <c r="K203" s="23"/>
      <c r="L203" s="23"/>
      <c r="O203" s="22"/>
    </row>
    <row r="204" ht="15.75" customHeight="1">
      <c r="A204" s="23"/>
      <c r="B204" s="24"/>
      <c r="C204" s="25"/>
      <c r="D204" s="26"/>
      <c r="E204" s="26"/>
      <c r="F204" s="26"/>
      <c r="G204" s="27"/>
      <c r="H204" s="27"/>
      <c r="I204" s="27"/>
      <c r="J204" s="27"/>
      <c r="K204" s="23"/>
      <c r="L204" s="23"/>
      <c r="O204" s="22"/>
    </row>
    <row r="205" ht="15.75" customHeight="1">
      <c r="A205" s="23"/>
      <c r="B205" s="24"/>
      <c r="C205" s="25"/>
      <c r="D205" s="26"/>
      <c r="E205" s="26"/>
      <c r="F205" s="26"/>
      <c r="G205" s="27"/>
      <c r="H205" s="27"/>
      <c r="I205" s="27"/>
      <c r="J205" s="27"/>
      <c r="K205" s="23"/>
      <c r="L205" s="23"/>
      <c r="O205" s="22"/>
    </row>
    <row r="206" ht="15.75" customHeight="1">
      <c r="A206" s="23"/>
      <c r="B206" s="24"/>
      <c r="C206" s="25"/>
      <c r="D206" s="26"/>
      <c r="E206" s="26"/>
      <c r="F206" s="26"/>
      <c r="G206" s="27"/>
      <c r="H206" s="27"/>
      <c r="I206" s="27"/>
      <c r="J206" s="27"/>
      <c r="K206" s="23"/>
      <c r="L206" s="23"/>
      <c r="O206" s="22"/>
    </row>
    <row r="207" ht="15.75" customHeight="1">
      <c r="A207" s="23"/>
      <c r="B207" s="24"/>
      <c r="C207" s="25"/>
      <c r="D207" s="26"/>
      <c r="E207" s="26"/>
      <c r="F207" s="26"/>
      <c r="G207" s="27"/>
      <c r="H207" s="27"/>
      <c r="I207" s="27"/>
      <c r="J207" s="27"/>
      <c r="K207" s="23"/>
      <c r="L207" s="23"/>
      <c r="O207" s="22"/>
    </row>
    <row r="208" ht="15.75" customHeight="1">
      <c r="A208" s="23"/>
      <c r="B208" s="24"/>
      <c r="C208" s="25"/>
      <c r="D208" s="26"/>
      <c r="E208" s="26"/>
      <c r="F208" s="26"/>
      <c r="G208" s="27"/>
      <c r="H208" s="27"/>
      <c r="I208" s="27"/>
      <c r="J208" s="27"/>
      <c r="K208" s="23"/>
      <c r="L208" s="23"/>
      <c r="O208" s="22"/>
    </row>
    <row r="209" ht="15.75" customHeight="1">
      <c r="A209" s="23"/>
      <c r="B209" s="24"/>
      <c r="C209" s="25"/>
      <c r="D209" s="26"/>
      <c r="E209" s="26"/>
      <c r="F209" s="26"/>
      <c r="G209" s="27"/>
      <c r="H209" s="27"/>
      <c r="I209" s="27"/>
      <c r="J209" s="27"/>
      <c r="K209" s="23"/>
      <c r="L209" s="23"/>
      <c r="O209" s="22"/>
    </row>
    <row r="210" ht="15.75" customHeight="1">
      <c r="A210" s="23"/>
      <c r="B210" s="24"/>
      <c r="C210" s="25"/>
      <c r="D210" s="26"/>
      <c r="E210" s="26"/>
      <c r="F210" s="26"/>
      <c r="G210" s="27"/>
      <c r="H210" s="27"/>
      <c r="I210" s="27"/>
      <c r="J210" s="27"/>
      <c r="K210" s="23"/>
      <c r="L210" s="23"/>
      <c r="O210" s="22"/>
    </row>
    <row r="211" ht="15.75" customHeight="1">
      <c r="A211" s="23"/>
      <c r="B211" s="24"/>
      <c r="C211" s="25"/>
      <c r="D211" s="26"/>
      <c r="E211" s="26"/>
      <c r="F211" s="26"/>
      <c r="G211" s="27"/>
      <c r="H211" s="27"/>
      <c r="I211" s="27"/>
      <c r="J211" s="27"/>
      <c r="K211" s="23"/>
      <c r="L211" s="23"/>
      <c r="O211" s="22"/>
    </row>
    <row r="212" ht="15.75" customHeight="1">
      <c r="A212" s="23"/>
      <c r="B212" s="24"/>
      <c r="C212" s="25"/>
      <c r="D212" s="26"/>
      <c r="E212" s="26"/>
      <c r="F212" s="26"/>
      <c r="G212" s="27"/>
      <c r="H212" s="27"/>
      <c r="I212" s="27"/>
      <c r="J212" s="27"/>
      <c r="K212" s="23"/>
      <c r="L212" s="23"/>
      <c r="O212" s="22"/>
    </row>
    <row r="213" ht="15.75" customHeight="1">
      <c r="A213" s="23"/>
      <c r="B213" s="24"/>
      <c r="C213" s="25"/>
      <c r="D213" s="26"/>
      <c r="E213" s="26"/>
      <c r="F213" s="26"/>
      <c r="G213" s="27"/>
      <c r="H213" s="27"/>
      <c r="I213" s="27"/>
      <c r="J213" s="27"/>
      <c r="K213" s="23"/>
      <c r="L213" s="23"/>
      <c r="O213" s="22"/>
    </row>
    <row r="214" ht="15.75" customHeight="1">
      <c r="A214" s="23"/>
      <c r="B214" s="24"/>
      <c r="C214" s="25"/>
      <c r="D214" s="26"/>
      <c r="E214" s="26"/>
      <c r="F214" s="26"/>
      <c r="G214" s="27"/>
      <c r="H214" s="27"/>
      <c r="I214" s="27"/>
      <c r="J214" s="27"/>
      <c r="K214" s="23"/>
      <c r="L214" s="23"/>
      <c r="O214" s="22"/>
    </row>
    <row r="215" ht="15.75" customHeight="1">
      <c r="A215" s="23"/>
      <c r="B215" s="24"/>
      <c r="C215" s="25"/>
      <c r="D215" s="26"/>
      <c r="E215" s="26"/>
      <c r="F215" s="26"/>
      <c r="G215" s="27"/>
      <c r="H215" s="27"/>
      <c r="I215" s="27"/>
      <c r="J215" s="27"/>
      <c r="K215" s="23"/>
      <c r="L215" s="23"/>
      <c r="O215" s="22"/>
    </row>
    <row r="216" ht="15.75" customHeight="1">
      <c r="A216" s="23"/>
      <c r="B216" s="24"/>
      <c r="C216" s="25"/>
      <c r="D216" s="26"/>
      <c r="E216" s="26"/>
      <c r="F216" s="26"/>
      <c r="G216" s="27"/>
      <c r="H216" s="27"/>
      <c r="I216" s="27"/>
      <c r="J216" s="27"/>
      <c r="K216" s="23"/>
      <c r="L216" s="23"/>
      <c r="O216" s="22"/>
    </row>
    <row r="217" ht="15.75" customHeight="1">
      <c r="A217" s="23"/>
      <c r="B217" s="24"/>
      <c r="C217" s="25"/>
      <c r="D217" s="26"/>
      <c r="E217" s="26"/>
      <c r="F217" s="26"/>
      <c r="G217" s="27"/>
      <c r="H217" s="27"/>
      <c r="I217" s="27"/>
      <c r="J217" s="27"/>
      <c r="K217" s="23"/>
      <c r="L217" s="23"/>
      <c r="O217" s="22"/>
    </row>
    <row r="218" ht="15.75" customHeight="1">
      <c r="A218" s="23"/>
      <c r="B218" s="24"/>
      <c r="C218" s="25"/>
      <c r="D218" s="26"/>
      <c r="E218" s="26"/>
      <c r="F218" s="26"/>
      <c r="G218" s="27"/>
      <c r="H218" s="27"/>
      <c r="I218" s="27"/>
      <c r="J218" s="27"/>
      <c r="K218" s="23"/>
      <c r="L218" s="23"/>
      <c r="O218" s="22"/>
    </row>
    <row r="219" ht="15.75" customHeight="1">
      <c r="A219" s="23"/>
      <c r="B219" s="24"/>
      <c r="C219" s="25"/>
      <c r="D219" s="26"/>
      <c r="E219" s="26"/>
      <c r="F219" s="26"/>
      <c r="G219" s="27"/>
      <c r="H219" s="27"/>
      <c r="I219" s="27"/>
      <c r="J219" s="27"/>
      <c r="K219" s="23"/>
      <c r="L219" s="23"/>
      <c r="O219" s="22"/>
    </row>
    <row r="220" ht="15.75" customHeight="1">
      <c r="A220" s="23"/>
      <c r="B220" s="24"/>
      <c r="C220" s="25"/>
      <c r="D220" s="26"/>
      <c r="E220" s="26"/>
      <c r="F220" s="26"/>
      <c r="G220" s="27"/>
      <c r="H220" s="27"/>
      <c r="I220" s="27"/>
      <c r="J220" s="27"/>
      <c r="K220" s="23"/>
      <c r="L220" s="23"/>
      <c r="O220" s="22"/>
    </row>
    <row r="221" ht="15.75" customHeight="1">
      <c r="A221" s="23"/>
      <c r="B221" s="24"/>
      <c r="C221" s="25"/>
      <c r="D221" s="26"/>
      <c r="E221" s="26"/>
      <c r="F221" s="26"/>
      <c r="G221" s="27"/>
      <c r="H221" s="27"/>
      <c r="I221" s="27"/>
      <c r="J221" s="27"/>
      <c r="K221" s="23"/>
      <c r="L221" s="23"/>
      <c r="O221" s="22"/>
    </row>
    <row r="222" ht="15.75" customHeight="1">
      <c r="A222" s="23"/>
      <c r="B222" s="24"/>
      <c r="C222" s="25"/>
      <c r="D222" s="26"/>
      <c r="E222" s="26"/>
      <c r="F222" s="26"/>
      <c r="G222" s="27"/>
      <c r="H222" s="27"/>
      <c r="I222" s="27"/>
      <c r="J222" s="27"/>
      <c r="K222" s="23"/>
      <c r="L222" s="23"/>
      <c r="O222" s="22"/>
    </row>
    <row r="223" ht="15.75" customHeight="1">
      <c r="A223" s="23"/>
      <c r="B223" s="24"/>
      <c r="C223" s="25"/>
      <c r="D223" s="26"/>
      <c r="E223" s="26"/>
      <c r="F223" s="26"/>
      <c r="G223" s="27"/>
      <c r="H223" s="27"/>
      <c r="I223" s="27"/>
      <c r="J223" s="27"/>
      <c r="K223" s="23"/>
      <c r="L223" s="23"/>
      <c r="O223" s="22"/>
    </row>
    <row r="224" ht="15.75" customHeight="1">
      <c r="A224" s="23"/>
      <c r="B224" s="24"/>
      <c r="C224" s="25"/>
      <c r="D224" s="26"/>
      <c r="E224" s="26"/>
      <c r="F224" s="26"/>
      <c r="G224" s="27"/>
      <c r="H224" s="27"/>
      <c r="I224" s="27"/>
      <c r="J224" s="27"/>
      <c r="K224" s="23"/>
      <c r="L224" s="23"/>
      <c r="O224" s="22"/>
    </row>
    <row r="225" ht="15.75" customHeight="1">
      <c r="A225" s="23"/>
      <c r="B225" s="24"/>
      <c r="C225" s="25"/>
      <c r="D225" s="26"/>
      <c r="E225" s="26"/>
      <c r="F225" s="26"/>
      <c r="G225" s="27"/>
      <c r="H225" s="27"/>
      <c r="I225" s="27"/>
      <c r="J225" s="27"/>
      <c r="K225" s="23"/>
      <c r="L225" s="23"/>
      <c r="O225" s="22"/>
    </row>
    <row r="226" ht="15.75" customHeight="1">
      <c r="A226" s="23"/>
      <c r="B226" s="24"/>
      <c r="C226" s="25"/>
      <c r="D226" s="26"/>
      <c r="E226" s="26"/>
      <c r="F226" s="26"/>
      <c r="G226" s="27"/>
      <c r="H226" s="27"/>
      <c r="I226" s="27"/>
      <c r="J226" s="27"/>
      <c r="K226" s="23"/>
      <c r="L226" s="23"/>
      <c r="O226" s="22"/>
    </row>
    <row r="227" ht="15.75" customHeight="1">
      <c r="A227" s="23"/>
      <c r="B227" s="24"/>
      <c r="C227" s="25"/>
      <c r="D227" s="26"/>
      <c r="E227" s="26"/>
      <c r="F227" s="26"/>
      <c r="G227" s="27"/>
      <c r="H227" s="27"/>
      <c r="I227" s="27"/>
      <c r="J227" s="27"/>
      <c r="K227" s="23"/>
      <c r="L227" s="23"/>
      <c r="O227" s="22"/>
    </row>
    <row r="228" ht="15.75" customHeight="1">
      <c r="A228" s="23"/>
      <c r="B228" s="24"/>
      <c r="C228" s="25"/>
      <c r="D228" s="26"/>
      <c r="E228" s="26"/>
      <c r="F228" s="26"/>
      <c r="G228" s="27"/>
      <c r="H228" s="27"/>
      <c r="I228" s="27"/>
      <c r="J228" s="27"/>
      <c r="K228" s="23"/>
      <c r="L228" s="23"/>
      <c r="O228" s="22"/>
    </row>
    <row r="229" ht="15.75" customHeight="1">
      <c r="A229" s="23"/>
      <c r="B229" s="24"/>
      <c r="C229" s="25"/>
      <c r="D229" s="26"/>
      <c r="E229" s="26"/>
      <c r="F229" s="26"/>
      <c r="G229" s="27"/>
      <c r="H229" s="27"/>
      <c r="I229" s="27"/>
      <c r="J229" s="27"/>
      <c r="K229" s="23"/>
      <c r="L229" s="23"/>
      <c r="O229" s="22"/>
    </row>
    <row r="230" ht="15.75" customHeight="1">
      <c r="A230" s="23"/>
      <c r="B230" s="24"/>
      <c r="C230" s="25"/>
      <c r="D230" s="26"/>
      <c r="E230" s="26"/>
      <c r="F230" s="26"/>
      <c r="G230" s="27"/>
      <c r="H230" s="27"/>
      <c r="I230" s="27"/>
      <c r="J230" s="27"/>
      <c r="K230" s="23"/>
      <c r="L230" s="23"/>
      <c r="O230" s="22"/>
    </row>
    <row r="231" ht="15.75" customHeight="1">
      <c r="A231" s="23"/>
      <c r="B231" s="24"/>
      <c r="C231" s="25"/>
      <c r="D231" s="26"/>
      <c r="E231" s="26"/>
      <c r="F231" s="26"/>
      <c r="G231" s="27"/>
      <c r="H231" s="27"/>
      <c r="I231" s="27"/>
      <c r="J231" s="27"/>
      <c r="K231" s="23"/>
      <c r="L231" s="23"/>
      <c r="O231" s="22"/>
    </row>
    <row r="232" ht="15.75" customHeight="1">
      <c r="A232" s="23"/>
      <c r="B232" s="24"/>
      <c r="C232" s="25"/>
      <c r="D232" s="26"/>
      <c r="E232" s="26"/>
      <c r="F232" s="26"/>
      <c r="G232" s="27"/>
      <c r="H232" s="27"/>
      <c r="I232" s="27"/>
      <c r="J232" s="27"/>
      <c r="K232" s="23"/>
      <c r="L232" s="23"/>
      <c r="O232" s="22"/>
    </row>
    <row r="233" ht="15.75" customHeight="1">
      <c r="A233" s="23"/>
      <c r="B233" s="24"/>
      <c r="C233" s="25"/>
      <c r="D233" s="26"/>
      <c r="E233" s="26"/>
      <c r="F233" s="26"/>
      <c r="G233" s="27"/>
      <c r="H233" s="27"/>
      <c r="I233" s="27"/>
      <c r="J233" s="27"/>
      <c r="K233" s="23"/>
      <c r="L233" s="23"/>
      <c r="O233" s="22"/>
    </row>
    <row r="234" ht="15.75" customHeight="1">
      <c r="A234" s="23"/>
      <c r="B234" s="24"/>
      <c r="C234" s="25"/>
      <c r="D234" s="26"/>
      <c r="E234" s="26"/>
      <c r="F234" s="26"/>
      <c r="G234" s="27"/>
      <c r="H234" s="27"/>
      <c r="I234" s="27"/>
      <c r="J234" s="27"/>
      <c r="K234" s="23"/>
      <c r="L234" s="23"/>
      <c r="O234" s="22"/>
    </row>
    <row r="235" ht="15.75" customHeight="1">
      <c r="A235" s="23"/>
      <c r="B235" s="24"/>
      <c r="C235" s="25"/>
      <c r="D235" s="26"/>
      <c r="E235" s="26"/>
      <c r="F235" s="26"/>
      <c r="G235" s="27"/>
      <c r="H235" s="27"/>
      <c r="I235" s="27"/>
      <c r="J235" s="27"/>
      <c r="K235" s="23"/>
      <c r="L235" s="23"/>
      <c r="O235" s="22"/>
    </row>
    <row r="236" ht="15.75" customHeight="1">
      <c r="A236" s="23"/>
      <c r="B236" s="24"/>
      <c r="C236" s="25"/>
      <c r="D236" s="26"/>
      <c r="E236" s="26"/>
      <c r="F236" s="26"/>
      <c r="G236" s="27"/>
      <c r="H236" s="27"/>
      <c r="I236" s="27"/>
      <c r="J236" s="27"/>
      <c r="K236" s="23"/>
      <c r="L236" s="23"/>
      <c r="O236" s="22"/>
    </row>
    <row r="237" ht="15.75" customHeight="1">
      <c r="A237" s="23"/>
      <c r="B237" s="24"/>
      <c r="C237" s="25"/>
      <c r="D237" s="26"/>
      <c r="E237" s="26"/>
      <c r="F237" s="26"/>
      <c r="G237" s="27"/>
      <c r="H237" s="27"/>
      <c r="I237" s="27"/>
      <c r="J237" s="27"/>
      <c r="K237" s="23"/>
      <c r="L237" s="23"/>
      <c r="O237" s="22"/>
    </row>
    <row r="238" ht="15.75" customHeight="1">
      <c r="A238" s="23"/>
      <c r="B238" s="24"/>
      <c r="C238" s="25"/>
      <c r="D238" s="26"/>
      <c r="E238" s="26"/>
      <c r="F238" s="26"/>
      <c r="G238" s="27"/>
      <c r="H238" s="27"/>
      <c r="I238" s="27"/>
      <c r="J238" s="27"/>
      <c r="K238" s="23"/>
      <c r="L238" s="23"/>
      <c r="O238" s="22"/>
    </row>
    <row r="239" ht="15.75" customHeight="1">
      <c r="A239" s="23"/>
      <c r="B239" s="24"/>
      <c r="C239" s="25"/>
      <c r="D239" s="26"/>
      <c r="E239" s="26"/>
      <c r="F239" s="26"/>
      <c r="G239" s="27"/>
      <c r="H239" s="27"/>
      <c r="I239" s="27"/>
      <c r="J239" s="27"/>
      <c r="K239" s="23"/>
      <c r="L239" s="23"/>
      <c r="O239" s="22"/>
    </row>
    <row r="240" ht="15.75" customHeight="1">
      <c r="A240" s="23"/>
      <c r="B240" s="24"/>
      <c r="C240" s="25"/>
      <c r="D240" s="26"/>
      <c r="E240" s="26"/>
      <c r="F240" s="26"/>
      <c r="G240" s="27"/>
      <c r="H240" s="27"/>
      <c r="I240" s="27"/>
      <c r="J240" s="27"/>
      <c r="K240" s="23"/>
      <c r="L240" s="23"/>
      <c r="O240" s="22"/>
    </row>
    <row r="241" ht="15.75" customHeight="1">
      <c r="A241" s="23"/>
      <c r="B241" s="24"/>
      <c r="C241" s="25"/>
      <c r="D241" s="26"/>
      <c r="E241" s="26"/>
      <c r="F241" s="26"/>
      <c r="G241" s="27"/>
      <c r="H241" s="27"/>
      <c r="I241" s="27"/>
      <c r="J241" s="27"/>
      <c r="K241" s="23"/>
      <c r="L241" s="23"/>
      <c r="O241" s="22"/>
    </row>
    <row r="242" ht="15.75" customHeight="1">
      <c r="A242" s="23"/>
      <c r="B242" s="24"/>
      <c r="C242" s="25"/>
      <c r="D242" s="26"/>
      <c r="E242" s="26"/>
      <c r="F242" s="26"/>
      <c r="G242" s="27"/>
      <c r="H242" s="27"/>
      <c r="I242" s="27"/>
      <c r="J242" s="27"/>
      <c r="K242" s="23"/>
      <c r="L242" s="23"/>
      <c r="O242" s="22"/>
    </row>
    <row r="243" ht="15.75" customHeight="1">
      <c r="A243" s="23"/>
      <c r="B243" s="24"/>
      <c r="C243" s="25"/>
      <c r="D243" s="26"/>
      <c r="E243" s="26"/>
      <c r="F243" s="26"/>
      <c r="G243" s="27"/>
      <c r="H243" s="27"/>
      <c r="I243" s="27"/>
      <c r="J243" s="27"/>
      <c r="K243" s="23"/>
      <c r="L243" s="23"/>
      <c r="O243" s="22"/>
    </row>
    <row r="244" ht="15.75" customHeight="1">
      <c r="A244" s="23"/>
      <c r="B244" s="24"/>
      <c r="C244" s="25"/>
      <c r="D244" s="26"/>
      <c r="E244" s="26"/>
      <c r="F244" s="26"/>
      <c r="G244" s="27"/>
      <c r="H244" s="27"/>
      <c r="I244" s="27"/>
      <c r="J244" s="27"/>
      <c r="K244" s="23"/>
      <c r="L244" s="23"/>
      <c r="O244" s="22"/>
    </row>
    <row r="245" ht="15.75" customHeight="1">
      <c r="A245" s="23"/>
      <c r="B245" s="24"/>
      <c r="C245" s="25"/>
      <c r="D245" s="26"/>
      <c r="E245" s="26"/>
      <c r="F245" s="26"/>
      <c r="G245" s="27"/>
      <c r="H245" s="27"/>
      <c r="I245" s="27"/>
      <c r="J245" s="27"/>
      <c r="K245" s="23"/>
      <c r="L245" s="23"/>
      <c r="O245" s="22"/>
    </row>
    <row r="246" ht="15.75" customHeight="1">
      <c r="A246" s="23"/>
      <c r="B246" s="24"/>
      <c r="C246" s="25"/>
      <c r="D246" s="26"/>
      <c r="E246" s="26"/>
      <c r="F246" s="26"/>
      <c r="G246" s="27"/>
      <c r="H246" s="27"/>
      <c r="I246" s="27"/>
      <c r="J246" s="27"/>
      <c r="K246" s="23"/>
      <c r="L246" s="23"/>
      <c r="O246" s="22"/>
    </row>
    <row r="247" ht="15.75" customHeight="1">
      <c r="A247" s="23"/>
      <c r="B247" s="24"/>
      <c r="C247" s="25"/>
      <c r="D247" s="26"/>
      <c r="E247" s="26"/>
      <c r="F247" s="26"/>
      <c r="G247" s="27"/>
      <c r="H247" s="27"/>
      <c r="I247" s="27"/>
      <c r="J247" s="27"/>
      <c r="K247" s="23"/>
      <c r="L247" s="23"/>
      <c r="O247" s="22"/>
    </row>
    <row r="248" ht="15.75" customHeight="1">
      <c r="A248" s="23"/>
      <c r="B248" s="24"/>
      <c r="C248" s="25"/>
      <c r="D248" s="26"/>
      <c r="E248" s="26"/>
      <c r="F248" s="26"/>
      <c r="G248" s="27"/>
      <c r="H248" s="27"/>
      <c r="I248" s="27"/>
      <c r="J248" s="27"/>
      <c r="K248" s="23"/>
      <c r="L248" s="23"/>
      <c r="O248" s="22"/>
    </row>
    <row r="249" ht="15.75" customHeight="1">
      <c r="A249" s="23"/>
      <c r="B249" s="24"/>
      <c r="C249" s="25"/>
      <c r="D249" s="26"/>
      <c r="E249" s="26"/>
      <c r="F249" s="26"/>
      <c r="G249" s="27"/>
      <c r="H249" s="27"/>
      <c r="I249" s="27"/>
      <c r="J249" s="27"/>
      <c r="K249" s="23"/>
      <c r="L249" s="23"/>
      <c r="O249" s="22"/>
    </row>
    <row r="250" ht="15.75" customHeight="1">
      <c r="A250" s="23"/>
      <c r="B250" s="24"/>
      <c r="C250" s="25"/>
      <c r="D250" s="26"/>
      <c r="E250" s="26"/>
      <c r="F250" s="26"/>
      <c r="G250" s="27"/>
      <c r="H250" s="27"/>
      <c r="I250" s="27"/>
      <c r="J250" s="27"/>
      <c r="K250" s="23"/>
      <c r="L250" s="23"/>
      <c r="O250" s="22"/>
    </row>
    <row r="251" ht="15.75" customHeight="1">
      <c r="A251" s="23"/>
      <c r="B251" s="24"/>
      <c r="C251" s="25"/>
      <c r="D251" s="26"/>
      <c r="E251" s="26"/>
      <c r="F251" s="26"/>
      <c r="G251" s="27"/>
      <c r="H251" s="27"/>
      <c r="I251" s="27"/>
      <c r="J251" s="27"/>
      <c r="K251" s="23"/>
      <c r="L251" s="23"/>
      <c r="O251" s="22"/>
    </row>
    <row r="252" ht="15.75" customHeight="1">
      <c r="A252" s="23"/>
      <c r="B252" s="24"/>
      <c r="C252" s="25"/>
      <c r="D252" s="26"/>
      <c r="E252" s="26"/>
      <c r="F252" s="26"/>
      <c r="G252" s="27"/>
      <c r="H252" s="27"/>
      <c r="I252" s="27"/>
      <c r="J252" s="27"/>
      <c r="K252" s="23"/>
      <c r="L252" s="23"/>
      <c r="O252" s="22"/>
    </row>
    <row r="253" ht="15.75" customHeight="1">
      <c r="A253" s="23"/>
      <c r="B253" s="24"/>
      <c r="C253" s="25"/>
      <c r="D253" s="26"/>
      <c r="E253" s="26"/>
      <c r="F253" s="26"/>
      <c r="G253" s="27"/>
      <c r="H253" s="27"/>
      <c r="I253" s="27"/>
      <c r="J253" s="27"/>
      <c r="K253" s="23"/>
      <c r="L253" s="23"/>
      <c r="O253" s="22"/>
    </row>
    <row r="254" ht="15.75" customHeight="1">
      <c r="A254" s="23"/>
      <c r="B254" s="24"/>
      <c r="C254" s="25"/>
      <c r="D254" s="26"/>
      <c r="E254" s="26"/>
      <c r="F254" s="26"/>
      <c r="G254" s="27"/>
      <c r="H254" s="27"/>
      <c r="I254" s="27"/>
      <c r="J254" s="27"/>
      <c r="K254" s="23"/>
      <c r="L254" s="23"/>
      <c r="O254" s="22"/>
    </row>
    <row r="255" ht="15.75" customHeight="1">
      <c r="A255" s="23"/>
      <c r="B255" s="24"/>
      <c r="C255" s="25"/>
      <c r="D255" s="26"/>
      <c r="E255" s="26"/>
      <c r="F255" s="26"/>
      <c r="G255" s="27"/>
      <c r="H255" s="27"/>
      <c r="I255" s="27"/>
      <c r="J255" s="27"/>
      <c r="K255" s="23"/>
      <c r="L255" s="23"/>
      <c r="O255" s="22"/>
    </row>
    <row r="256" ht="15.75" customHeight="1">
      <c r="A256" s="23"/>
      <c r="B256" s="24"/>
      <c r="C256" s="25"/>
      <c r="D256" s="26"/>
      <c r="E256" s="26"/>
      <c r="F256" s="26"/>
      <c r="G256" s="27"/>
      <c r="H256" s="27"/>
      <c r="I256" s="27"/>
      <c r="J256" s="27"/>
      <c r="K256" s="23"/>
      <c r="L256" s="23"/>
      <c r="O256" s="22"/>
    </row>
    <row r="257" ht="15.75" customHeight="1">
      <c r="A257" s="23"/>
      <c r="B257" s="24"/>
      <c r="C257" s="25"/>
      <c r="D257" s="26"/>
      <c r="E257" s="26"/>
      <c r="F257" s="26"/>
      <c r="G257" s="27"/>
      <c r="H257" s="27"/>
      <c r="I257" s="27"/>
      <c r="J257" s="27"/>
      <c r="K257" s="23"/>
      <c r="L257" s="23"/>
      <c r="O257" s="22"/>
    </row>
    <row r="258" ht="15.75" customHeight="1">
      <c r="A258" s="23"/>
      <c r="B258" s="24"/>
      <c r="C258" s="25"/>
      <c r="D258" s="26"/>
      <c r="E258" s="26"/>
      <c r="F258" s="26"/>
      <c r="G258" s="27"/>
      <c r="H258" s="27"/>
      <c r="I258" s="27"/>
      <c r="J258" s="27"/>
      <c r="K258" s="23"/>
      <c r="L258" s="23"/>
      <c r="O258" s="22"/>
    </row>
    <row r="259" ht="15.75" customHeight="1">
      <c r="A259" s="23"/>
      <c r="B259" s="24"/>
      <c r="C259" s="25"/>
      <c r="D259" s="26"/>
      <c r="E259" s="26"/>
      <c r="F259" s="26"/>
      <c r="G259" s="27"/>
      <c r="H259" s="27"/>
      <c r="I259" s="27"/>
      <c r="J259" s="27"/>
      <c r="K259" s="23"/>
      <c r="L259" s="23"/>
      <c r="O259" s="22"/>
    </row>
    <row r="260" ht="15.75" customHeight="1">
      <c r="A260" s="23"/>
      <c r="B260" s="24"/>
      <c r="C260" s="25"/>
      <c r="D260" s="26"/>
      <c r="E260" s="26"/>
      <c r="F260" s="26"/>
      <c r="G260" s="27"/>
      <c r="H260" s="27"/>
      <c r="I260" s="27"/>
      <c r="J260" s="27"/>
      <c r="K260" s="23"/>
      <c r="L260" s="23"/>
      <c r="O260" s="22"/>
    </row>
    <row r="261" ht="15.75" customHeight="1">
      <c r="A261" s="23"/>
      <c r="B261" s="24"/>
      <c r="C261" s="25"/>
      <c r="D261" s="26"/>
      <c r="E261" s="26"/>
      <c r="F261" s="26"/>
      <c r="G261" s="27"/>
      <c r="H261" s="27"/>
      <c r="I261" s="27"/>
      <c r="J261" s="27"/>
      <c r="K261" s="23"/>
      <c r="L261" s="23"/>
      <c r="O261" s="22"/>
    </row>
    <row r="262" ht="15.75" customHeight="1">
      <c r="A262" s="23"/>
      <c r="B262" s="24"/>
      <c r="C262" s="25"/>
      <c r="D262" s="26"/>
      <c r="E262" s="26"/>
      <c r="F262" s="26"/>
      <c r="G262" s="27"/>
      <c r="H262" s="27"/>
      <c r="I262" s="27"/>
      <c r="J262" s="27"/>
      <c r="K262" s="23"/>
      <c r="L262" s="23"/>
      <c r="O262" s="22"/>
    </row>
    <row r="263" ht="15.75" customHeight="1">
      <c r="A263" s="23"/>
      <c r="B263" s="24"/>
      <c r="C263" s="25"/>
      <c r="D263" s="26"/>
      <c r="E263" s="26"/>
      <c r="F263" s="26"/>
      <c r="G263" s="27"/>
      <c r="H263" s="27"/>
      <c r="I263" s="27"/>
      <c r="J263" s="27"/>
      <c r="K263" s="23"/>
      <c r="L263" s="23"/>
      <c r="O263" s="22"/>
    </row>
    <row r="264" ht="15.75" customHeight="1">
      <c r="A264" s="23"/>
      <c r="B264" s="24"/>
      <c r="C264" s="25"/>
      <c r="D264" s="26"/>
      <c r="E264" s="26"/>
      <c r="F264" s="26"/>
      <c r="G264" s="27"/>
      <c r="H264" s="27"/>
      <c r="I264" s="27"/>
      <c r="J264" s="27"/>
      <c r="K264" s="23"/>
      <c r="L264" s="23"/>
      <c r="O264" s="22"/>
    </row>
    <row r="265" ht="15.75" customHeight="1">
      <c r="A265" s="23"/>
      <c r="B265" s="24"/>
      <c r="C265" s="25"/>
      <c r="D265" s="26"/>
      <c r="E265" s="26"/>
      <c r="F265" s="26"/>
      <c r="G265" s="27"/>
      <c r="H265" s="27"/>
      <c r="I265" s="27"/>
      <c r="J265" s="27"/>
      <c r="K265" s="23"/>
      <c r="L265" s="23"/>
      <c r="O265" s="22"/>
    </row>
    <row r="266" ht="15.75" customHeight="1">
      <c r="A266" s="23"/>
      <c r="B266" s="24"/>
      <c r="C266" s="25"/>
      <c r="D266" s="26"/>
      <c r="E266" s="26"/>
      <c r="F266" s="26"/>
      <c r="G266" s="27"/>
      <c r="H266" s="27"/>
      <c r="I266" s="27"/>
      <c r="J266" s="27"/>
      <c r="K266" s="23"/>
      <c r="L266" s="23"/>
      <c r="O266" s="22"/>
    </row>
    <row r="267" ht="15.75" customHeight="1">
      <c r="A267" s="23"/>
      <c r="B267" s="24"/>
      <c r="C267" s="25"/>
      <c r="D267" s="26"/>
      <c r="E267" s="26"/>
      <c r="F267" s="26"/>
      <c r="G267" s="27"/>
      <c r="H267" s="27"/>
      <c r="I267" s="27"/>
      <c r="J267" s="27"/>
      <c r="K267" s="23"/>
      <c r="L267" s="23"/>
      <c r="O267" s="22"/>
    </row>
    <row r="268" ht="15.75" customHeight="1">
      <c r="A268" s="23"/>
      <c r="B268" s="24"/>
      <c r="C268" s="25"/>
      <c r="D268" s="26"/>
      <c r="E268" s="26"/>
      <c r="F268" s="26"/>
      <c r="G268" s="27"/>
      <c r="H268" s="27"/>
      <c r="I268" s="27"/>
      <c r="J268" s="27"/>
      <c r="K268" s="23"/>
      <c r="L268" s="23"/>
      <c r="O268" s="22"/>
    </row>
    <row r="269" ht="15.75" customHeight="1">
      <c r="A269" s="23"/>
      <c r="B269" s="24"/>
      <c r="C269" s="25"/>
      <c r="D269" s="26"/>
      <c r="E269" s="26"/>
      <c r="F269" s="26"/>
      <c r="G269" s="27"/>
      <c r="H269" s="27"/>
      <c r="I269" s="27"/>
      <c r="J269" s="27"/>
      <c r="K269" s="23"/>
      <c r="L269" s="23"/>
      <c r="O269" s="22"/>
    </row>
    <row r="270" ht="15.75" customHeight="1">
      <c r="A270" s="23"/>
      <c r="B270" s="24"/>
      <c r="C270" s="25"/>
      <c r="D270" s="26"/>
      <c r="E270" s="26"/>
      <c r="F270" s="26"/>
      <c r="G270" s="27"/>
      <c r="H270" s="27"/>
      <c r="I270" s="27"/>
      <c r="J270" s="27"/>
      <c r="K270" s="23"/>
      <c r="L270" s="23"/>
      <c r="O270" s="22"/>
    </row>
    <row r="271" ht="15.75" customHeight="1">
      <c r="A271" s="23"/>
      <c r="B271" s="24"/>
      <c r="C271" s="25"/>
      <c r="D271" s="26"/>
      <c r="E271" s="26"/>
      <c r="F271" s="26"/>
      <c r="G271" s="27"/>
      <c r="H271" s="27"/>
      <c r="I271" s="27"/>
      <c r="J271" s="27"/>
      <c r="K271" s="23"/>
      <c r="L271" s="23"/>
      <c r="O271" s="22"/>
    </row>
    <row r="272" ht="15.75" customHeight="1">
      <c r="A272" s="23"/>
      <c r="B272" s="24"/>
      <c r="C272" s="25"/>
      <c r="D272" s="26"/>
      <c r="E272" s="26"/>
      <c r="F272" s="26"/>
      <c r="G272" s="27"/>
      <c r="H272" s="27"/>
      <c r="I272" s="27"/>
      <c r="J272" s="27"/>
      <c r="K272" s="23"/>
      <c r="L272" s="23"/>
      <c r="O272" s="22"/>
    </row>
    <row r="273" ht="15.75" customHeight="1">
      <c r="A273" s="23"/>
      <c r="B273" s="24"/>
      <c r="C273" s="25"/>
      <c r="D273" s="26"/>
      <c r="E273" s="26"/>
      <c r="F273" s="26"/>
      <c r="G273" s="27"/>
      <c r="H273" s="27"/>
      <c r="I273" s="27"/>
      <c r="J273" s="27"/>
      <c r="K273" s="23"/>
      <c r="L273" s="23"/>
      <c r="O273" s="22"/>
    </row>
    <row r="274" ht="15.75" customHeight="1">
      <c r="A274" s="23"/>
      <c r="B274" s="24"/>
      <c r="C274" s="25"/>
      <c r="D274" s="26"/>
      <c r="E274" s="26"/>
      <c r="F274" s="26"/>
      <c r="G274" s="27"/>
      <c r="H274" s="27"/>
      <c r="I274" s="27"/>
      <c r="J274" s="27"/>
      <c r="K274" s="23"/>
      <c r="L274" s="23"/>
      <c r="O274" s="22"/>
    </row>
    <row r="275" ht="15.75" customHeight="1">
      <c r="A275" s="23"/>
      <c r="B275" s="24"/>
      <c r="C275" s="25"/>
      <c r="D275" s="26"/>
      <c r="E275" s="26"/>
      <c r="F275" s="26"/>
      <c r="G275" s="27"/>
      <c r="H275" s="27"/>
      <c r="I275" s="27"/>
      <c r="J275" s="27"/>
      <c r="K275" s="23"/>
      <c r="L275" s="23"/>
      <c r="O275" s="22"/>
    </row>
    <row r="276" ht="15.75" customHeight="1">
      <c r="A276" s="23"/>
      <c r="B276" s="24"/>
      <c r="C276" s="25"/>
      <c r="D276" s="26"/>
      <c r="E276" s="26"/>
      <c r="F276" s="26"/>
      <c r="G276" s="27"/>
      <c r="H276" s="27"/>
      <c r="I276" s="27"/>
      <c r="J276" s="27"/>
      <c r="K276" s="23"/>
      <c r="L276" s="23"/>
      <c r="O276" s="22"/>
    </row>
    <row r="277" ht="15.75" customHeight="1">
      <c r="A277" s="23"/>
      <c r="B277" s="24"/>
      <c r="C277" s="25"/>
      <c r="D277" s="26"/>
      <c r="E277" s="26"/>
      <c r="F277" s="26"/>
      <c r="G277" s="27"/>
      <c r="H277" s="27"/>
      <c r="I277" s="27"/>
      <c r="J277" s="27"/>
      <c r="K277" s="23"/>
      <c r="L277" s="23"/>
      <c r="O277" s="22"/>
    </row>
    <row r="278" ht="15.75" customHeight="1">
      <c r="A278" s="23"/>
      <c r="B278" s="24"/>
      <c r="C278" s="25"/>
      <c r="D278" s="26"/>
      <c r="E278" s="26"/>
      <c r="F278" s="26"/>
      <c r="G278" s="27"/>
      <c r="H278" s="27"/>
      <c r="I278" s="27"/>
      <c r="J278" s="27"/>
      <c r="K278" s="23"/>
      <c r="L278" s="23"/>
      <c r="O278" s="22"/>
    </row>
    <row r="279" ht="15.75" customHeight="1">
      <c r="A279" s="23"/>
      <c r="B279" s="24"/>
      <c r="C279" s="25"/>
      <c r="D279" s="26"/>
      <c r="E279" s="26"/>
      <c r="F279" s="26"/>
      <c r="G279" s="27"/>
      <c r="H279" s="27"/>
      <c r="I279" s="27"/>
      <c r="J279" s="27"/>
      <c r="K279" s="23"/>
      <c r="L279" s="23"/>
      <c r="O279" s="22"/>
    </row>
    <row r="280" ht="15.75" customHeight="1">
      <c r="A280" s="23"/>
      <c r="B280" s="24"/>
      <c r="C280" s="25"/>
      <c r="D280" s="26"/>
      <c r="E280" s="26"/>
      <c r="F280" s="26"/>
      <c r="G280" s="27"/>
      <c r="H280" s="27"/>
      <c r="I280" s="27"/>
      <c r="J280" s="27"/>
      <c r="K280" s="23"/>
      <c r="L280" s="23"/>
      <c r="O280" s="22"/>
    </row>
    <row r="281" ht="15.75" customHeight="1">
      <c r="A281" s="23"/>
      <c r="B281" s="24"/>
      <c r="C281" s="25"/>
      <c r="D281" s="26"/>
      <c r="E281" s="26"/>
      <c r="F281" s="26"/>
      <c r="G281" s="27"/>
      <c r="H281" s="27"/>
      <c r="I281" s="27"/>
      <c r="J281" s="27"/>
      <c r="K281" s="23"/>
      <c r="L281" s="23"/>
      <c r="O281" s="22"/>
    </row>
    <row r="282" ht="15.75" customHeight="1">
      <c r="A282" s="23"/>
      <c r="B282" s="24"/>
      <c r="C282" s="25"/>
      <c r="D282" s="26"/>
      <c r="E282" s="26"/>
      <c r="F282" s="26"/>
      <c r="G282" s="27"/>
      <c r="H282" s="27"/>
      <c r="I282" s="27"/>
      <c r="J282" s="27"/>
      <c r="K282" s="23"/>
      <c r="L282" s="23"/>
      <c r="O282" s="22"/>
    </row>
    <row r="283" ht="15.75" customHeight="1">
      <c r="A283" s="23"/>
      <c r="B283" s="24"/>
      <c r="C283" s="25"/>
      <c r="D283" s="26"/>
      <c r="E283" s="26"/>
      <c r="F283" s="26"/>
      <c r="G283" s="27"/>
      <c r="H283" s="27"/>
      <c r="I283" s="27"/>
      <c r="J283" s="27"/>
      <c r="K283" s="23"/>
      <c r="L283" s="23"/>
      <c r="O283" s="22"/>
    </row>
    <row r="284" ht="15.75" customHeight="1">
      <c r="A284" s="23"/>
      <c r="B284" s="24"/>
      <c r="C284" s="25"/>
      <c r="D284" s="26"/>
      <c r="E284" s="26"/>
      <c r="F284" s="26"/>
      <c r="G284" s="27"/>
      <c r="H284" s="27"/>
      <c r="I284" s="27"/>
      <c r="J284" s="27"/>
      <c r="K284" s="23"/>
      <c r="L284" s="23"/>
      <c r="O284" s="22"/>
    </row>
    <row r="285" ht="15.75" customHeight="1">
      <c r="A285" s="23"/>
      <c r="B285" s="24"/>
      <c r="C285" s="25"/>
      <c r="D285" s="26"/>
      <c r="E285" s="26"/>
      <c r="F285" s="26"/>
      <c r="G285" s="27"/>
      <c r="H285" s="27"/>
      <c r="I285" s="27"/>
      <c r="J285" s="27"/>
      <c r="K285" s="23"/>
      <c r="L285" s="23"/>
      <c r="O285" s="22"/>
    </row>
    <row r="286" ht="15.75" customHeight="1">
      <c r="A286" s="23"/>
      <c r="B286" s="24"/>
      <c r="C286" s="25"/>
      <c r="D286" s="26"/>
      <c r="E286" s="26"/>
      <c r="F286" s="26"/>
      <c r="G286" s="27"/>
      <c r="H286" s="27"/>
      <c r="I286" s="27"/>
      <c r="J286" s="27"/>
      <c r="K286" s="23"/>
      <c r="L286" s="23"/>
      <c r="O286" s="22"/>
    </row>
    <row r="287" ht="15.75" customHeight="1">
      <c r="A287" s="23"/>
      <c r="B287" s="24"/>
      <c r="C287" s="25"/>
      <c r="D287" s="26"/>
      <c r="E287" s="26"/>
      <c r="F287" s="26"/>
      <c r="G287" s="27"/>
      <c r="H287" s="27"/>
      <c r="I287" s="27"/>
      <c r="J287" s="27"/>
      <c r="K287" s="23"/>
      <c r="L287" s="23"/>
      <c r="O287" s="22"/>
    </row>
    <row r="288" ht="15.75" customHeight="1">
      <c r="A288" s="23"/>
      <c r="B288" s="24"/>
      <c r="C288" s="25"/>
      <c r="D288" s="26"/>
      <c r="E288" s="26"/>
      <c r="F288" s="26"/>
      <c r="G288" s="27"/>
      <c r="H288" s="27"/>
      <c r="I288" s="27"/>
      <c r="J288" s="27"/>
      <c r="K288" s="23"/>
      <c r="L288" s="23"/>
      <c r="O288" s="22"/>
    </row>
    <row r="289" ht="15.75" customHeight="1">
      <c r="A289" s="23"/>
      <c r="B289" s="24"/>
      <c r="C289" s="25"/>
      <c r="D289" s="26"/>
      <c r="E289" s="26"/>
      <c r="F289" s="26"/>
      <c r="G289" s="27"/>
      <c r="H289" s="27"/>
      <c r="I289" s="27"/>
      <c r="J289" s="27"/>
      <c r="K289" s="23"/>
      <c r="L289" s="23"/>
      <c r="O289" s="22"/>
    </row>
    <row r="290" ht="15.75" customHeight="1">
      <c r="A290" s="23"/>
      <c r="B290" s="24"/>
      <c r="C290" s="25"/>
      <c r="D290" s="26"/>
      <c r="E290" s="26"/>
      <c r="F290" s="26"/>
      <c r="G290" s="27"/>
      <c r="H290" s="27"/>
      <c r="I290" s="27"/>
      <c r="J290" s="27"/>
      <c r="K290" s="23"/>
      <c r="L290" s="23"/>
      <c r="O290" s="22"/>
    </row>
    <row r="291" ht="15.75" customHeight="1">
      <c r="A291" s="23"/>
      <c r="B291" s="24"/>
      <c r="C291" s="25"/>
      <c r="D291" s="26"/>
      <c r="E291" s="26"/>
      <c r="F291" s="26"/>
      <c r="G291" s="27"/>
      <c r="H291" s="27"/>
      <c r="I291" s="27"/>
      <c r="J291" s="27"/>
      <c r="K291" s="23"/>
      <c r="L291" s="23"/>
      <c r="O291" s="22"/>
    </row>
    <row r="292" ht="15.75" customHeight="1">
      <c r="A292" s="23"/>
      <c r="B292" s="24"/>
      <c r="C292" s="25"/>
      <c r="D292" s="26"/>
      <c r="E292" s="26"/>
      <c r="F292" s="26"/>
      <c r="G292" s="27"/>
      <c r="H292" s="27"/>
      <c r="I292" s="27"/>
      <c r="J292" s="27"/>
      <c r="K292" s="23"/>
      <c r="L292" s="23"/>
      <c r="O292" s="22"/>
    </row>
    <row r="293" ht="15.75" customHeight="1">
      <c r="A293" s="23"/>
      <c r="B293" s="24"/>
      <c r="C293" s="25"/>
      <c r="D293" s="26"/>
      <c r="E293" s="26"/>
      <c r="F293" s="26"/>
      <c r="G293" s="27"/>
      <c r="H293" s="27"/>
      <c r="I293" s="27"/>
      <c r="J293" s="27"/>
      <c r="K293" s="23"/>
      <c r="L293" s="23"/>
      <c r="O293" s="22"/>
    </row>
    <row r="294" ht="15.75" customHeight="1">
      <c r="A294" s="23"/>
      <c r="B294" s="24"/>
      <c r="C294" s="25"/>
      <c r="D294" s="26"/>
      <c r="E294" s="26"/>
      <c r="F294" s="26"/>
      <c r="G294" s="27"/>
      <c r="H294" s="27"/>
      <c r="I294" s="27"/>
      <c r="J294" s="27"/>
      <c r="K294" s="23"/>
      <c r="L294" s="23"/>
      <c r="O294" s="22"/>
    </row>
    <row r="295" ht="15.75" customHeight="1">
      <c r="A295" s="23"/>
      <c r="B295" s="24"/>
      <c r="C295" s="25"/>
      <c r="D295" s="26"/>
      <c r="E295" s="26"/>
      <c r="F295" s="26"/>
      <c r="G295" s="27"/>
      <c r="H295" s="27"/>
      <c r="I295" s="27"/>
      <c r="J295" s="27"/>
      <c r="K295" s="23"/>
      <c r="L295" s="23"/>
      <c r="O295" s="22"/>
    </row>
    <row r="296" ht="15.75" customHeight="1">
      <c r="A296" s="23"/>
      <c r="B296" s="24"/>
      <c r="C296" s="25"/>
      <c r="D296" s="26"/>
      <c r="E296" s="26"/>
      <c r="F296" s="26"/>
      <c r="G296" s="27"/>
      <c r="H296" s="27"/>
      <c r="I296" s="27"/>
      <c r="J296" s="27"/>
      <c r="K296" s="23"/>
      <c r="L296" s="23"/>
      <c r="O296" s="22"/>
    </row>
    <row r="297" ht="15.75" customHeight="1">
      <c r="A297" s="23"/>
      <c r="B297" s="24"/>
      <c r="C297" s="25"/>
      <c r="D297" s="26"/>
      <c r="E297" s="26"/>
      <c r="F297" s="26"/>
      <c r="G297" s="27"/>
      <c r="H297" s="27"/>
      <c r="I297" s="27"/>
      <c r="J297" s="27"/>
      <c r="K297" s="23"/>
      <c r="L297" s="23"/>
      <c r="O297" s="22"/>
    </row>
    <row r="298" ht="15.75" customHeight="1">
      <c r="A298" s="23"/>
      <c r="B298" s="24"/>
      <c r="C298" s="25"/>
      <c r="D298" s="26"/>
      <c r="E298" s="26"/>
      <c r="F298" s="26"/>
      <c r="G298" s="27"/>
      <c r="H298" s="27"/>
      <c r="I298" s="27"/>
      <c r="J298" s="27"/>
      <c r="K298" s="23"/>
      <c r="L298" s="23"/>
      <c r="O298" s="22"/>
    </row>
    <row r="299" ht="15.75" customHeight="1">
      <c r="A299" s="23"/>
      <c r="B299" s="24"/>
      <c r="C299" s="25"/>
      <c r="D299" s="26"/>
      <c r="E299" s="26"/>
      <c r="F299" s="26"/>
      <c r="G299" s="27"/>
      <c r="H299" s="27"/>
      <c r="I299" s="27"/>
      <c r="J299" s="27"/>
      <c r="K299" s="23"/>
      <c r="L299" s="23"/>
      <c r="O299" s="22"/>
    </row>
    <row r="300" ht="15.75" customHeight="1">
      <c r="A300" s="23"/>
      <c r="B300" s="24"/>
      <c r="C300" s="25"/>
      <c r="D300" s="26"/>
      <c r="E300" s="26"/>
      <c r="F300" s="26"/>
      <c r="G300" s="27"/>
      <c r="H300" s="27"/>
      <c r="I300" s="27"/>
      <c r="J300" s="27"/>
      <c r="K300" s="23"/>
      <c r="L300" s="23"/>
      <c r="O300" s="22"/>
    </row>
    <row r="301" ht="15.75" customHeight="1">
      <c r="A301" s="23"/>
      <c r="B301" s="24"/>
      <c r="C301" s="25"/>
      <c r="D301" s="26"/>
      <c r="E301" s="26"/>
      <c r="F301" s="26"/>
      <c r="G301" s="27"/>
      <c r="H301" s="27"/>
      <c r="I301" s="27"/>
      <c r="J301" s="27"/>
      <c r="K301" s="23"/>
      <c r="L301" s="23"/>
      <c r="O301" s="22"/>
    </row>
    <row r="302" ht="15.75" customHeight="1">
      <c r="A302" s="23"/>
      <c r="B302" s="24"/>
      <c r="C302" s="25"/>
      <c r="D302" s="26"/>
      <c r="E302" s="26"/>
      <c r="F302" s="26"/>
      <c r="G302" s="27"/>
      <c r="H302" s="27"/>
      <c r="I302" s="27"/>
      <c r="J302" s="27"/>
      <c r="K302" s="23"/>
      <c r="L302" s="23"/>
      <c r="O302" s="22"/>
    </row>
    <row r="303" ht="15.75" customHeight="1">
      <c r="A303" s="23"/>
      <c r="B303" s="24"/>
      <c r="C303" s="25"/>
      <c r="D303" s="26"/>
      <c r="E303" s="26"/>
      <c r="F303" s="26"/>
      <c r="G303" s="27"/>
      <c r="H303" s="27"/>
      <c r="I303" s="27"/>
      <c r="J303" s="27"/>
      <c r="K303" s="23"/>
      <c r="L303" s="23"/>
      <c r="O303" s="22"/>
    </row>
    <row r="304" ht="15.75" customHeight="1">
      <c r="A304" s="23"/>
      <c r="B304" s="24"/>
      <c r="C304" s="25"/>
      <c r="D304" s="26"/>
      <c r="E304" s="26"/>
      <c r="F304" s="26"/>
      <c r="G304" s="27"/>
      <c r="H304" s="27"/>
      <c r="I304" s="27"/>
      <c r="J304" s="27"/>
      <c r="K304" s="23"/>
      <c r="L304" s="23"/>
      <c r="O304" s="22"/>
    </row>
    <row r="305" ht="15.75" customHeight="1">
      <c r="A305" s="23"/>
      <c r="B305" s="24"/>
      <c r="C305" s="25"/>
      <c r="D305" s="26"/>
      <c r="E305" s="26"/>
      <c r="F305" s="26"/>
      <c r="G305" s="27"/>
      <c r="H305" s="27"/>
      <c r="I305" s="27"/>
      <c r="J305" s="27"/>
      <c r="K305" s="23"/>
      <c r="L305" s="23"/>
      <c r="O305" s="22"/>
    </row>
    <row r="306" ht="15.75" customHeight="1">
      <c r="A306" s="23"/>
      <c r="B306" s="24"/>
      <c r="C306" s="25"/>
      <c r="D306" s="26"/>
      <c r="E306" s="26"/>
      <c r="F306" s="26"/>
      <c r="G306" s="27"/>
      <c r="H306" s="27"/>
      <c r="I306" s="27"/>
      <c r="J306" s="27"/>
      <c r="K306" s="23"/>
      <c r="L306" s="23"/>
      <c r="O306" s="22"/>
    </row>
    <row r="307" ht="15.75" customHeight="1">
      <c r="A307" s="23"/>
      <c r="B307" s="24"/>
      <c r="C307" s="25"/>
      <c r="D307" s="26"/>
      <c r="E307" s="26"/>
      <c r="F307" s="26"/>
      <c r="G307" s="27"/>
      <c r="H307" s="27"/>
      <c r="I307" s="27"/>
      <c r="J307" s="27"/>
      <c r="K307" s="23"/>
      <c r="L307" s="23"/>
      <c r="O307" s="22"/>
    </row>
    <row r="308" ht="15.75" customHeight="1">
      <c r="A308" s="23"/>
      <c r="B308" s="24"/>
      <c r="C308" s="25"/>
      <c r="D308" s="26"/>
      <c r="E308" s="26"/>
      <c r="F308" s="26"/>
      <c r="G308" s="27"/>
      <c r="H308" s="27"/>
      <c r="I308" s="27"/>
      <c r="J308" s="27"/>
      <c r="K308" s="23"/>
      <c r="L308" s="23"/>
      <c r="O308" s="22"/>
    </row>
    <row r="309" ht="15.75" customHeight="1">
      <c r="A309" s="23"/>
      <c r="B309" s="24"/>
      <c r="C309" s="25"/>
      <c r="D309" s="26"/>
      <c r="E309" s="26"/>
      <c r="F309" s="26"/>
      <c r="G309" s="27"/>
      <c r="H309" s="27"/>
      <c r="I309" s="27"/>
      <c r="J309" s="27"/>
      <c r="K309" s="23"/>
      <c r="L309" s="23"/>
      <c r="O309" s="22"/>
    </row>
    <row r="310" ht="15.75" customHeight="1">
      <c r="A310" s="23"/>
      <c r="B310" s="24"/>
      <c r="C310" s="25"/>
      <c r="D310" s="26"/>
      <c r="E310" s="26"/>
      <c r="F310" s="26"/>
      <c r="G310" s="27"/>
      <c r="H310" s="27"/>
      <c r="I310" s="27"/>
      <c r="J310" s="27"/>
      <c r="K310" s="23"/>
      <c r="L310" s="23"/>
      <c r="O310" s="22"/>
    </row>
    <row r="311" ht="15.75" customHeight="1">
      <c r="A311" s="23"/>
      <c r="B311" s="24"/>
      <c r="C311" s="25"/>
      <c r="D311" s="26"/>
      <c r="E311" s="26"/>
      <c r="F311" s="26"/>
      <c r="G311" s="27"/>
      <c r="H311" s="27"/>
      <c r="I311" s="27"/>
      <c r="J311" s="27"/>
      <c r="K311" s="23"/>
      <c r="L311" s="23"/>
      <c r="O311" s="22"/>
    </row>
    <row r="312" ht="15.75" customHeight="1">
      <c r="A312" s="23"/>
      <c r="B312" s="24"/>
      <c r="C312" s="25"/>
      <c r="D312" s="26"/>
      <c r="E312" s="26"/>
      <c r="F312" s="26"/>
      <c r="G312" s="27"/>
      <c r="H312" s="27"/>
      <c r="I312" s="27"/>
      <c r="J312" s="27"/>
      <c r="K312" s="23"/>
      <c r="L312" s="23"/>
      <c r="O312" s="22"/>
    </row>
    <row r="313" ht="15.75" customHeight="1">
      <c r="A313" s="23"/>
      <c r="B313" s="24"/>
      <c r="C313" s="25"/>
      <c r="D313" s="26"/>
      <c r="E313" s="26"/>
      <c r="F313" s="26"/>
      <c r="G313" s="27"/>
      <c r="H313" s="27"/>
      <c r="I313" s="27"/>
      <c r="J313" s="27"/>
      <c r="K313" s="23"/>
      <c r="L313" s="23"/>
      <c r="O313" s="22"/>
    </row>
    <row r="314" ht="15.75" customHeight="1">
      <c r="A314" s="23"/>
      <c r="B314" s="24"/>
      <c r="C314" s="25"/>
      <c r="D314" s="26"/>
      <c r="E314" s="26"/>
      <c r="F314" s="26"/>
      <c r="G314" s="27"/>
      <c r="H314" s="27"/>
      <c r="I314" s="27"/>
      <c r="J314" s="27"/>
      <c r="K314" s="23"/>
      <c r="L314" s="23"/>
      <c r="O314" s="22"/>
    </row>
    <row r="315" ht="15.75" customHeight="1">
      <c r="A315" s="23"/>
      <c r="B315" s="24"/>
      <c r="C315" s="25"/>
      <c r="D315" s="26"/>
      <c r="E315" s="26"/>
      <c r="F315" s="26"/>
      <c r="G315" s="27"/>
      <c r="H315" s="27"/>
      <c r="I315" s="27"/>
      <c r="J315" s="27"/>
      <c r="K315" s="23"/>
      <c r="L315" s="23"/>
      <c r="O315" s="22"/>
    </row>
    <row r="316" ht="15.75" customHeight="1">
      <c r="A316" s="23"/>
      <c r="B316" s="24"/>
      <c r="C316" s="25"/>
      <c r="D316" s="26"/>
      <c r="E316" s="26"/>
      <c r="F316" s="26"/>
      <c r="G316" s="27"/>
      <c r="H316" s="27"/>
      <c r="I316" s="27"/>
      <c r="J316" s="27"/>
      <c r="K316" s="23"/>
      <c r="L316" s="23"/>
      <c r="O316" s="22"/>
    </row>
    <row r="317" ht="15.75" customHeight="1">
      <c r="A317" s="23"/>
      <c r="B317" s="24"/>
      <c r="C317" s="25"/>
      <c r="D317" s="26"/>
      <c r="E317" s="26"/>
      <c r="F317" s="26"/>
      <c r="G317" s="27"/>
      <c r="H317" s="27"/>
      <c r="I317" s="27"/>
      <c r="J317" s="27"/>
      <c r="K317" s="23"/>
      <c r="L317" s="23"/>
      <c r="O317" s="22"/>
    </row>
    <row r="318" ht="15.75" customHeight="1">
      <c r="A318" s="23"/>
      <c r="B318" s="24"/>
      <c r="C318" s="25"/>
      <c r="D318" s="26"/>
      <c r="E318" s="26"/>
      <c r="F318" s="26"/>
      <c r="G318" s="27"/>
      <c r="H318" s="27"/>
      <c r="I318" s="27"/>
      <c r="J318" s="27"/>
      <c r="K318" s="23"/>
      <c r="L318" s="23"/>
      <c r="O318" s="22"/>
    </row>
    <row r="319" ht="15.75" customHeight="1">
      <c r="A319" s="23"/>
      <c r="B319" s="24"/>
      <c r="C319" s="25"/>
      <c r="D319" s="26"/>
      <c r="E319" s="26"/>
      <c r="F319" s="26"/>
      <c r="G319" s="27"/>
      <c r="H319" s="27"/>
      <c r="I319" s="27"/>
      <c r="J319" s="27"/>
      <c r="K319" s="23"/>
      <c r="L319" s="23"/>
      <c r="O319" s="22"/>
    </row>
    <row r="320" ht="15.75" customHeight="1">
      <c r="A320" s="23"/>
      <c r="B320" s="24"/>
      <c r="C320" s="25"/>
      <c r="D320" s="26"/>
      <c r="E320" s="26"/>
      <c r="F320" s="26"/>
      <c r="G320" s="27"/>
      <c r="H320" s="27"/>
      <c r="I320" s="27"/>
      <c r="J320" s="27"/>
      <c r="K320" s="23"/>
      <c r="L320" s="23"/>
      <c r="O320" s="22"/>
    </row>
    <row r="321" ht="15.75" customHeight="1">
      <c r="A321" s="23"/>
      <c r="B321" s="24"/>
      <c r="C321" s="25"/>
      <c r="D321" s="26"/>
      <c r="E321" s="26"/>
      <c r="F321" s="26"/>
      <c r="G321" s="27"/>
      <c r="H321" s="27"/>
      <c r="I321" s="27"/>
      <c r="J321" s="27"/>
      <c r="K321" s="23"/>
      <c r="L321" s="23"/>
      <c r="O321" s="22"/>
    </row>
    <row r="322" ht="15.75" customHeight="1">
      <c r="A322" s="23"/>
      <c r="B322" s="24"/>
      <c r="C322" s="25"/>
      <c r="D322" s="26"/>
      <c r="E322" s="26"/>
      <c r="F322" s="26"/>
      <c r="G322" s="27"/>
      <c r="H322" s="27"/>
      <c r="I322" s="27"/>
      <c r="J322" s="27"/>
      <c r="K322" s="23"/>
      <c r="L322" s="23"/>
      <c r="O322" s="22"/>
    </row>
    <row r="323" ht="15.75" customHeight="1">
      <c r="A323" s="23"/>
      <c r="B323" s="24"/>
      <c r="C323" s="25"/>
      <c r="D323" s="26"/>
      <c r="E323" s="26"/>
      <c r="F323" s="26"/>
      <c r="G323" s="27"/>
      <c r="H323" s="27"/>
      <c r="I323" s="27"/>
      <c r="J323" s="27"/>
      <c r="K323" s="23"/>
      <c r="L323" s="23"/>
      <c r="O323" s="22"/>
    </row>
    <row r="324" ht="15.75" customHeight="1">
      <c r="A324" s="23"/>
      <c r="B324" s="24"/>
      <c r="C324" s="25"/>
      <c r="D324" s="26"/>
      <c r="E324" s="26"/>
      <c r="F324" s="26"/>
      <c r="G324" s="27"/>
      <c r="H324" s="27"/>
      <c r="I324" s="27"/>
      <c r="J324" s="27"/>
      <c r="K324" s="23"/>
      <c r="L324" s="23"/>
      <c r="O324" s="22"/>
    </row>
    <row r="325" ht="15.75" customHeight="1">
      <c r="A325" s="23"/>
      <c r="B325" s="24"/>
      <c r="C325" s="25"/>
      <c r="D325" s="26"/>
      <c r="E325" s="26"/>
      <c r="F325" s="26"/>
      <c r="G325" s="27"/>
      <c r="H325" s="27"/>
      <c r="I325" s="27"/>
      <c r="J325" s="27"/>
      <c r="K325" s="23"/>
      <c r="L325" s="23"/>
      <c r="O325" s="22"/>
    </row>
    <row r="326" ht="15.75" customHeight="1">
      <c r="A326" s="23"/>
      <c r="B326" s="24"/>
      <c r="C326" s="25"/>
      <c r="D326" s="26"/>
      <c r="E326" s="26"/>
      <c r="F326" s="26"/>
      <c r="G326" s="27"/>
      <c r="H326" s="27"/>
      <c r="I326" s="27"/>
      <c r="J326" s="27"/>
      <c r="K326" s="23"/>
      <c r="L326" s="23"/>
      <c r="O326" s="22"/>
    </row>
    <row r="327" ht="15.75" customHeight="1">
      <c r="A327" s="23"/>
      <c r="B327" s="24"/>
      <c r="C327" s="25"/>
      <c r="D327" s="26"/>
      <c r="E327" s="26"/>
      <c r="F327" s="26"/>
      <c r="G327" s="27"/>
      <c r="H327" s="27"/>
      <c r="I327" s="27"/>
      <c r="J327" s="27"/>
      <c r="K327" s="23"/>
      <c r="L327" s="23"/>
      <c r="O327" s="22"/>
    </row>
    <row r="328" ht="15.75" customHeight="1">
      <c r="A328" s="23"/>
      <c r="B328" s="24"/>
      <c r="C328" s="25"/>
      <c r="D328" s="26"/>
      <c r="E328" s="26"/>
      <c r="F328" s="26"/>
      <c r="G328" s="27"/>
      <c r="H328" s="27"/>
      <c r="I328" s="27"/>
      <c r="J328" s="27"/>
      <c r="K328" s="23"/>
      <c r="L328" s="23"/>
      <c r="O328" s="22"/>
    </row>
    <row r="329" ht="15.75" customHeight="1">
      <c r="A329" s="23"/>
      <c r="B329" s="24"/>
      <c r="C329" s="25"/>
      <c r="D329" s="26"/>
      <c r="E329" s="26"/>
      <c r="F329" s="26"/>
      <c r="G329" s="27"/>
      <c r="H329" s="27"/>
      <c r="I329" s="27"/>
      <c r="J329" s="27"/>
      <c r="K329" s="23"/>
      <c r="L329" s="23"/>
      <c r="O329" s="22"/>
    </row>
    <row r="330" ht="15.75" customHeight="1">
      <c r="A330" s="23"/>
      <c r="B330" s="24"/>
      <c r="C330" s="25"/>
      <c r="D330" s="26"/>
      <c r="E330" s="26"/>
      <c r="F330" s="26"/>
      <c r="G330" s="27"/>
      <c r="H330" s="27"/>
      <c r="I330" s="27"/>
      <c r="J330" s="27"/>
      <c r="K330" s="23"/>
      <c r="L330" s="23"/>
      <c r="O330" s="22"/>
    </row>
    <row r="331" ht="15.75" customHeight="1">
      <c r="A331" s="23"/>
      <c r="B331" s="24"/>
      <c r="C331" s="25"/>
      <c r="D331" s="26"/>
      <c r="E331" s="26"/>
      <c r="F331" s="26"/>
      <c r="G331" s="27"/>
      <c r="H331" s="27"/>
      <c r="I331" s="27"/>
      <c r="J331" s="27"/>
      <c r="K331" s="23"/>
      <c r="L331" s="23"/>
      <c r="O331" s="22"/>
    </row>
    <row r="332" ht="15.75" customHeight="1">
      <c r="A332" s="23"/>
      <c r="B332" s="24"/>
      <c r="C332" s="25"/>
      <c r="D332" s="26"/>
      <c r="E332" s="26"/>
      <c r="F332" s="26"/>
      <c r="G332" s="27"/>
      <c r="H332" s="27"/>
      <c r="I332" s="27"/>
      <c r="J332" s="27"/>
      <c r="K332" s="23"/>
      <c r="L332" s="23"/>
      <c r="O332" s="22"/>
    </row>
    <row r="333" ht="15.75" customHeight="1">
      <c r="A333" s="23"/>
      <c r="B333" s="24"/>
      <c r="C333" s="25"/>
      <c r="D333" s="26"/>
      <c r="E333" s="26"/>
      <c r="F333" s="26"/>
      <c r="G333" s="27"/>
      <c r="H333" s="27"/>
      <c r="I333" s="27"/>
      <c r="J333" s="27"/>
      <c r="K333" s="23"/>
      <c r="L333" s="23"/>
      <c r="O333" s="22"/>
    </row>
    <row r="334" ht="15.75" customHeight="1">
      <c r="A334" s="23"/>
      <c r="B334" s="24"/>
      <c r="C334" s="25"/>
      <c r="D334" s="26"/>
      <c r="E334" s="26"/>
      <c r="F334" s="26"/>
      <c r="G334" s="27"/>
      <c r="H334" s="27"/>
      <c r="I334" s="27"/>
      <c r="J334" s="27"/>
      <c r="K334" s="23"/>
      <c r="L334" s="23"/>
      <c r="O334" s="22"/>
    </row>
    <row r="335" ht="15.75" customHeight="1">
      <c r="A335" s="23"/>
      <c r="B335" s="24"/>
      <c r="C335" s="25"/>
      <c r="D335" s="26"/>
      <c r="E335" s="26"/>
      <c r="F335" s="26"/>
      <c r="G335" s="27"/>
      <c r="H335" s="27"/>
      <c r="I335" s="27"/>
      <c r="J335" s="27"/>
      <c r="K335" s="23"/>
      <c r="L335" s="23"/>
      <c r="O335" s="22"/>
    </row>
    <row r="336" ht="15.75" customHeight="1">
      <c r="A336" s="23"/>
      <c r="B336" s="24"/>
      <c r="C336" s="25"/>
      <c r="D336" s="26"/>
      <c r="E336" s="26"/>
      <c r="F336" s="26"/>
      <c r="G336" s="27"/>
      <c r="H336" s="27"/>
      <c r="I336" s="27"/>
      <c r="J336" s="27"/>
      <c r="K336" s="23"/>
      <c r="L336" s="23"/>
      <c r="O336" s="22"/>
    </row>
    <row r="337" ht="15.75" customHeight="1">
      <c r="A337" s="23"/>
      <c r="B337" s="24"/>
      <c r="C337" s="25"/>
      <c r="D337" s="26"/>
      <c r="E337" s="26"/>
      <c r="F337" s="26"/>
      <c r="G337" s="27"/>
      <c r="H337" s="27"/>
      <c r="I337" s="27"/>
      <c r="J337" s="27"/>
      <c r="K337" s="23"/>
      <c r="L337" s="23"/>
      <c r="O337" s="22"/>
    </row>
    <row r="338" ht="15.75" customHeight="1">
      <c r="A338" s="23"/>
      <c r="B338" s="24"/>
      <c r="C338" s="25"/>
      <c r="D338" s="26"/>
      <c r="E338" s="26"/>
      <c r="F338" s="26"/>
      <c r="G338" s="27"/>
      <c r="H338" s="27"/>
      <c r="I338" s="27"/>
      <c r="J338" s="27"/>
      <c r="K338" s="23"/>
      <c r="L338" s="23"/>
      <c r="O338" s="22"/>
    </row>
    <row r="339" ht="15.75" customHeight="1">
      <c r="A339" s="23"/>
      <c r="B339" s="24"/>
      <c r="C339" s="25"/>
      <c r="D339" s="26"/>
      <c r="E339" s="26"/>
      <c r="F339" s="26"/>
      <c r="G339" s="27"/>
      <c r="H339" s="27"/>
      <c r="I339" s="27"/>
      <c r="J339" s="27"/>
      <c r="K339" s="23"/>
      <c r="L339" s="23"/>
      <c r="O339" s="22"/>
    </row>
    <row r="340" ht="15.75" customHeight="1">
      <c r="A340" s="23"/>
      <c r="B340" s="24"/>
      <c r="C340" s="25"/>
      <c r="D340" s="26"/>
      <c r="E340" s="26"/>
      <c r="F340" s="26"/>
      <c r="G340" s="27"/>
      <c r="H340" s="27"/>
      <c r="I340" s="27"/>
      <c r="J340" s="27"/>
      <c r="K340" s="23"/>
      <c r="L340" s="23"/>
      <c r="O340" s="22"/>
    </row>
    <row r="341" ht="15.75" customHeight="1">
      <c r="A341" s="23"/>
      <c r="B341" s="24"/>
      <c r="C341" s="25"/>
      <c r="D341" s="26"/>
      <c r="E341" s="26"/>
      <c r="F341" s="26"/>
      <c r="G341" s="27"/>
      <c r="H341" s="27"/>
      <c r="I341" s="27"/>
      <c r="J341" s="27"/>
      <c r="K341" s="23"/>
      <c r="L341" s="23"/>
      <c r="O341" s="22"/>
    </row>
    <row r="342" ht="15.75" customHeight="1">
      <c r="A342" s="23"/>
      <c r="B342" s="24"/>
      <c r="C342" s="25"/>
      <c r="D342" s="26"/>
      <c r="E342" s="26"/>
      <c r="F342" s="26"/>
      <c r="G342" s="27"/>
      <c r="H342" s="27"/>
      <c r="I342" s="27"/>
      <c r="J342" s="27"/>
      <c r="K342" s="23"/>
      <c r="L342" s="23"/>
      <c r="O342" s="22"/>
    </row>
    <row r="343" ht="15.75" customHeight="1">
      <c r="A343" s="23"/>
      <c r="B343" s="24"/>
      <c r="C343" s="25"/>
      <c r="D343" s="26"/>
      <c r="E343" s="26"/>
      <c r="F343" s="26"/>
      <c r="G343" s="27"/>
      <c r="H343" s="27"/>
      <c r="I343" s="27"/>
      <c r="J343" s="27"/>
      <c r="K343" s="23"/>
      <c r="L343" s="23"/>
      <c r="O343" s="22"/>
    </row>
    <row r="344" ht="15.75" customHeight="1">
      <c r="A344" s="23"/>
      <c r="B344" s="24"/>
      <c r="C344" s="25"/>
      <c r="D344" s="26"/>
      <c r="E344" s="26"/>
      <c r="F344" s="26"/>
      <c r="G344" s="27"/>
      <c r="H344" s="27"/>
      <c r="I344" s="27"/>
      <c r="J344" s="27"/>
      <c r="K344" s="23"/>
      <c r="L344" s="23"/>
      <c r="O344" s="22"/>
    </row>
    <row r="345" ht="15.75" customHeight="1">
      <c r="A345" s="23"/>
      <c r="B345" s="24"/>
      <c r="C345" s="25"/>
      <c r="D345" s="26"/>
      <c r="E345" s="26"/>
      <c r="F345" s="26"/>
      <c r="G345" s="27"/>
      <c r="H345" s="27"/>
      <c r="I345" s="27"/>
      <c r="J345" s="27"/>
      <c r="K345" s="23"/>
      <c r="L345" s="23"/>
      <c r="O345" s="22"/>
    </row>
    <row r="346" ht="15.75" customHeight="1">
      <c r="A346" s="23"/>
      <c r="B346" s="24"/>
      <c r="C346" s="25"/>
      <c r="D346" s="26"/>
      <c r="E346" s="26"/>
      <c r="F346" s="26"/>
      <c r="G346" s="27"/>
      <c r="H346" s="27"/>
      <c r="I346" s="27"/>
      <c r="J346" s="27"/>
      <c r="K346" s="23"/>
      <c r="L346" s="23"/>
      <c r="O346" s="22"/>
    </row>
    <row r="347" ht="15.75" customHeight="1">
      <c r="A347" s="23"/>
      <c r="B347" s="24"/>
      <c r="C347" s="25"/>
      <c r="D347" s="26"/>
      <c r="E347" s="26"/>
      <c r="F347" s="26"/>
      <c r="G347" s="27"/>
      <c r="H347" s="27"/>
      <c r="I347" s="27"/>
      <c r="J347" s="27"/>
      <c r="K347" s="23"/>
      <c r="L347" s="23"/>
      <c r="O347" s="22"/>
    </row>
    <row r="348" ht="15.75" customHeight="1">
      <c r="A348" s="23"/>
      <c r="B348" s="24"/>
      <c r="C348" s="25"/>
      <c r="D348" s="26"/>
      <c r="E348" s="26"/>
      <c r="F348" s="26"/>
      <c r="G348" s="27"/>
      <c r="H348" s="27"/>
      <c r="I348" s="27"/>
      <c r="J348" s="27"/>
      <c r="K348" s="23"/>
      <c r="L348" s="23"/>
      <c r="O348" s="22"/>
    </row>
    <row r="349" ht="15.75" customHeight="1">
      <c r="A349" s="23"/>
      <c r="B349" s="24"/>
      <c r="C349" s="25"/>
      <c r="D349" s="26"/>
      <c r="E349" s="26"/>
      <c r="F349" s="26"/>
      <c r="G349" s="27"/>
      <c r="H349" s="27"/>
      <c r="I349" s="27"/>
      <c r="J349" s="27"/>
      <c r="K349" s="23"/>
      <c r="L349" s="23"/>
      <c r="O349" s="22"/>
    </row>
    <row r="350" ht="15.75" customHeight="1">
      <c r="A350" s="23"/>
      <c r="B350" s="24"/>
      <c r="C350" s="25"/>
      <c r="D350" s="26"/>
      <c r="E350" s="26"/>
      <c r="F350" s="26"/>
      <c r="G350" s="27"/>
      <c r="H350" s="27"/>
      <c r="I350" s="27"/>
      <c r="J350" s="27"/>
      <c r="K350" s="23"/>
      <c r="L350" s="23"/>
      <c r="O350" s="22"/>
    </row>
    <row r="351" ht="15.75" customHeight="1">
      <c r="A351" s="23"/>
      <c r="B351" s="24"/>
      <c r="C351" s="25"/>
      <c r="D351" s="26"/>
      <c r="E351" s="26"/>
      <c r="F351" s="26"/>
      <c r="G351" s="27"/>
      <c r="H351" s="27"/>
      <c r="I351" s="27"/>
      <c r="J351" s="27"/>
      <c r="K351" s="23"/>
      <c r="L351" s="23"/>
      <c r="O351" s="22"/>
    </row>
    <row r="352" ht="15.75" customHeight="1">
      <c r="A352" s="23"/>
      <c r="B352" s="24"/>
      <c r="C352" s="25"/>
      <c r="D352" s="26"/>
      <c r="E352" s="26"/>
      <c r="F352" s="26"/>
      <c r="G352" s="27"/>
      <c r="H352" s="27"/>
      <c r="I352" s="27"/>
      <c r="J352" s="27"/>
      <c r="K352" s="23"/>
      <c r="L352" s="23"/>
      <c r="O352" s="22"/>
    </row>
    <row r="353" ht="15.75" customHeight="1">
      <c r="A353" s="23"/>
      <c r="B353" s="24"/>
      <c r="C353" s="25"/>
      <c r="D353" s="26"/>
      <c r="E353" s="26"/>
      <c r="F353" s="26"/>
      <c r="G353" s="27"/>
      <c r="H353" s="27"/>
      <c r="I353" s="27"/>
      <c r="J353" s="27"/>
      <c r="K353" s="23"/>
      <c r="L353" s="23"/>
      <c r="O353" s="22"/>
    </row>
    <row r="354" ht="15.75" customHeight="1">
      <c r="A354" s="23"/>
      <c r="B354" s="24"/>
      <c r="C354" s="25"/>
      <c r="D354" s="26"/>
      <c r="E354" s="26"/>
      <c r="F354" s="26"/>
      <c r="G354" s="27"/>
      <c r="H354" s="27"/>
      <c r="I354" s="27"/>
      <c r="J354" s="27"/>
      <c r="K354" s="23"/>
      <c r="L354" s="23"/>
      <c r="O354" s="22"/>
    </row>
    <row r="355" ht="15.75" customHeight="1">
      <c r="A355" s="23"/>
      <c r="B355" s="24"/>
      <c r="C355" s="25"/>
      <c r="D355" s="26"/>
      <c r="E355" s="26"/>
      <c r="F355" s="26"/>
      <c r="G355" s="27"/>
      <c r="H355" s="27"/>
      <c r="I355" s="27"/>
      <c r="J355" s="27"/>
      <c r="K355" s="23"/>
      <c r="L355" s="23"/>
      <c r="O355" s="22"/>
    </row>
    <row r="356" ht="15.75" customHeight="1">
      <c r="A356" s="23"/>
      <c r="B356" s="24"/>
      <c r="C356" s="25"/>
      <c r="D356" s="26"/>
      <c r="E356" s="26"/>
      <c r="F356" s="26"/>
      <c r="G356" s="27"/>
      <c r="H356" s="27"/>
      <c r="I356" s="27"/>
      <c r="J356" s="27"/>
      <c r="K356" s="23"/>
      <c r="L356" s="23"/>
      <c r="O356" s="22"/>
    </row>
    <row r="357" ht="15.75" customHeight="1">
      <c r="A357" s="23"/>
      <c r="B357" s="24"/>
      <c r="C357" s="25"/>
      <c r="D357" s="26"/>
      <c r="E357" s="26"/>
      <c r="F357" s="26"/>
      <c r="G357" s="27"/>
      <c r="H357" s="27"/>
      <c r="I357" s="27"/>
      <c r="J357" s="27"/>
      <c r="K357" s="23"/>
      <c r="L357" s="23"/>
      <c r="O357" s="22"/>
    </row>
    <row r="358" ht="15.75" customHeight="1">
      <c r="A358" s="23"/>
      <c r="B358" s="24"/>
      <c r="C358" s="25"/>
      <c r="D358" s="26"/>
      <c r="E358" s="26"/>
      <c r="F358" s="26"/>
      <c r="G358" s="27"/>
      <c r="H358" s="27"/>
      <c r="I358" s="27"/>
      <c r="J358" s="27"/>
      <c r="K358" s="23"/>
      <c r="L358" s="23"/>
      <c r="O358" s="22"/>
    </row>
    <row r="359" ht="15.75" customHeight="1">
      <c r="A359" s="23"/>
      <c r="B359" s="24"/>
      <c r="C359" s="25"/>
      <c r="D359" s="26"/>
      <c r="E359" s="26"/>
      <c r="F359" s="26"/>
      <c r="G359" s="27"/>
      <c r="H359" s="27"/>
      <c r="I359" s="27"/>
      <c r="J359" s="27"/>
      <c r="K359" s="23"/>
      <c r="L359" s="23"/>
      <c r="O359" s="22"/>
    </row>
    <row r="360" ht="15.75" customHeight="1">
      <c r="A360" s="23"/>
      <c r="B360" s="24"/>
      <c r="C360" s="25"/>
      <c r="D360" s="26"/>
      <c r="E360" s="26"/>
      <c r="F360" s="26"/>
      <c r="G360" s="27"/>
      <c r="H360" s="27"/>
      <c r="I360" s="27"/>
      <c r="J360" s="27"/>
      <c r="K360" s="23"/>
      <c r="L360" s="23"/>
      <c r="O360" s="22"/>
    </row>
    <row r="361" ht="15.75" customHeight="1">
      <c r="A361" s="23"/>
      <c r="B361" s="24"/>
      <c r="C361" s="25"/>
      <c r="D361" s="26"/>
      <c r="E361" s="26"/>
      <c r="F361" s="26"/>
      <c r="G361" s="27"/>
      <c r="H361" s="27"/>
      <c r="I361" s="27"/>
      <c r="J361" s="27"/>
      <c r="K361" s="23"/>
      <c r="L361" s="23"/>
      <c r="O361" s="22"/>
    </row>
    <row r="362" ht="15.75" customHeight="1">
      <c r="A362" s="23"/>
      <c r="B362" s="24"/>
      <c r="C362" s="25"/>
      <c r="D362" s="26"/>
      <c r="E362" s="26"/>
      <c r="F362" s="26"/>
      <c r="G362" s="27"/>
      <c r="H362" s="27"/>
      <c r="I362" s="27"/>
      <c r="J362" s="27"/>
      <c r="K362" s="23"/>
      <c r="L362" s="23"/>
      <c r="O362" s="22"/>
    </row>
    <row r="363" ht="15.75" customHeight="1">
      <c r="A363" s="23"/>
      <c r="B363" s="24"/>
      <c r="C363" s="25"/>
      <c r="D363" s="26"/>
      <c r="E363" s="26"/>
      <c r="F363" s="26"/>
      <c r="G363" s="27"/>
      <c r="H363" s="27"/>
      <c r="I363" s="27"/>
      <c r="J363" s="27"/>
      <c r="K363" s="23"/>
      <c r="L363" s="23"/>
      <c r="O363" s="22"/>
    </row>
    <row r="364" ht="15.75" customHeight="1">
      <c r="A364" s="23"/>
      <c r="B364" s="24"/>
      <c r="C364" s="25"/>
      <c r="D364" s="26"/>
      <c r="E364" s="26"/>
      <c r="F364" s="26"/>
      <c r="G364" s="27"/>
      <c r="H364" s="27"/>
      <c r="I364" s="27"/>
      <c r="J364" s="27"/>
      <c r="K364" s="23"/>
      <c r="L364" s="23"/>
      <c r="O364" s="22"/>
    </row>
    <row r="365" ht="15.75" customHeight="1">
      <c r="A365" s="23"/>
      <c r="B365" s="24"/>
      <c r="C365" s="25"/>
      <c r="D365" s="26"/>
      <c r="E365" s="26"/>
      <c r="F365" s="26"/>
      <c r="G365" s="27"/>
      <c r="H365" s="27"/>
      <c r="I365" s="27"/>
      <c r="J365" s="27"/>
      <c r="K365" s="23"/>
      <c r="L365" s="23"/>
      <c r="O365" s="22"/>
    </row>
    <row r="366" ht="15.75" customHeight="1">
      <c r="A366" s="23"/>
      <c r="B366" s="24"/>
      <c r="C366" s="25"/>
      <c r="D366" s="26"/>
      <c r="E366" s="26"/>
      <c r="F366" s="26"/>
      <c r="G366" s="27"/>
      <c r="H366" s="27"/>
      <c r="I366" s="27"/>
      <c r="J366" s="27"/>
      <c r="K366" s="23"/>
      <c r="L366" s="23"/>
      <c r="O366" s="22"/>
    </row>
    <row r="367" ht="15.75" customHeight="1">
      <c r="A367" s="23"/>
      <c r="B367" s="24"/>
      <c r="C367" s="25"/>
      <c r="D367" s="26"/>
      <c r="E367" s="26"/>
      <c r="F367" s="26"/>
      <c r="G367" s="27"/>
      <c r="H367" s="27"/>
      <c r="I367" s="27"/>
      <c r="J367" s="27"/>
      <c r="K367" s="23"/>
      <c r="L367" s="23"/>
      <c r="O367" s="22"/>
    </row>
    <row r="368" ht="15.75" customHeight="1">
      <c r="A368" s="23"/>
      <c r="B368" s="24"/>
      <c r="C368" s="25"/>
      <c r="D368" s="26"/>
      <c r="E368" s="26"/>
      <c r="F368" s="26"/>
      <c r="G368" s="27"/>
      <c r="H368" s="27"/>
      <c r="I368" s="27"/>
      <c r="J368" s="27"/>
      <c r="K368" s="23"/>
      <c r="L368" s="23"/>
      <c r="O368" s="22"/>
    </row>
    <row r="369" ht="15.75" customHeight="1">
      <c r="A369" s="23"/>
      <c r="B369" s="24"/>
      <c r="C369" s="25"/>
      <c r="D369" s="26"/>
      <c r="E369" s="26"/>
      <c r="F369" s="26"/>
      <c r="G369" s="27"/>
      <c r="H369" s="27"/>
      <c r="I369" s="27"/>
      <c r="J369" s="27"/>
      <c r="K369" s="23"/>
      <c r="L369" s="23"/>
      <c r="O369" s="22"/>
    </row>
    <row r="370" ht="15.75" customHeight="1">
      <c r="A370" s="23"/>
      <c r="B370" s="24"/>
      <c r="C370" s="25"/>
      <c r="D370" s="26"/>
      <c r="E370" s="26"/>
      <c r="F370" s="26"/>
      <c r="G370" s="27"/>
      <c r="H370" s="27"/>
      <c r="I370" s="27"/>
      <c r="J370" s="27"/>
      <c r="K370" s="23"/>
      <c r="L370" s="23"/>
      <c r="O370" s="22"/>
    </row>
    <row r="371" ht="15.75" customHeight="1">
      <c r="A371" s="23"/>
      <c r="B371" s="24"/>
      <c r="C371" s="25"/>
      <c r="D371" s="26"/>
      <c r="E371" s="26"/>
      <c r="F371" s="26"/>
      <c r="G371" s="27"/>
      <c r="H371" s="27"/>
      <c r="I371" s="27"/>
      <c r="J371" s="27"/>
      <c r="K371" s="23"/>
      <c r="L371" s="23"/>
      <c r="O371" s="22"/>
    </row>
    <row r="372" ht="15.75" customHeight="1">
      <c r="A372" s="23"/>
      <c r="B372" s="24"/>
      <c r="C372" s="25"/>
      <c r="D372" s="26"/>
      <c r="E372" s="26"/>
      <c r="F372" s="26"/>
      <c r="G372" s="27"/>
      <c r="H372" s="27"/>
      <c r="I372" s="27"/>
      <c r="J372" s="27"/>
      <c r="K372" s="23"/>
      <c r="L372" s="23"/>
      <c r="O372" s="22"/>
    </row>
    <row r="373" ht="15.75" customHeight="1">
      <c r="A373" s="23"/>
      <c r="B373" s="24"/>
      <c r="C373" s="25"/>
      <c r="D373" s="26"/>
      <c r="E373" s="26"/>
      <c r="F373" s="26"/>
      <c r="G373" s="27"/>
      <c r="H373" s="27"/>
      <c r="I373" s="27"/>
      <c r="J373" s="27"/>
      <c r="K373" s="23"/>
      <c r="L373" s="23"/>
      <c r="O373" s="22"/>
    </row>
    <row r="374" ht="15.75" customHeight="1">
      <c r="A374" s="23"/>
      <c r="B374" s="24"/>
      <c r="C374" s="25"/>
      <c r="D374" s="26"/>
      <c r="E374" s="26"/>
      <c r="F374" s="26"/>
      <c r="G374" s="27"/>
      <c r="H374" s="27"/>
      <c r="I374" s="27"/>
      <c r="J374" s="27"/>
      <c r="K374" s="23"/>
      <c r="L374" s="23"/>
      <c r="O374" s="22"/>
    </row>
    <row r="375" ht="15.75" customHeight="1">
      <c r="A375" s="23"/>
      <c r="B375" s="24"/>
      <c r="C375" s="25"/>
      <c r="D375" s="26"/>
      <c r="E375" s="26"/>
      <c r="F375" s="26"/>
      <c r="G375" s="27"/>
      <c r="H375" s="27"/>
      <c r="I375" s="27"/>
      <c r="J375" s="27"/>
      <c r="K375" s="23"/>
      <c r="L375" s="23"/>
      <c r="O375" s="22"/>
    </row>
    <row r="376" ht="15.75" customHeight="1">
      <c r="A376" s="23"/>
      <c r="B376" s="24"/>
      <c r="C376" s="25"/>
      <c r="D376" s="26"/>
      <c r="E376" s="26"/>
      <c r="F376" s="26"/>
      <c r="G376" s="27"/>
      <c r="H376" s="27"/>
      <c r="I376" s="27"/>
      <c r="J376" s="27"/>
      <c r="K376" s="23"/>
      <c r="L376" s="23"/>
      <c r="O376" s="22"/>
    </row>
    <row r="377" ht="15.75" customHeight="1">
      <c r="A377" s="23"/>
      <c r="B377" s="24"/>
      <c r="C377" s="25"/>
      <c r="D377" s="26"/>
      <c r="E377" s="26"/>
      <c r="F377" s="26"/>
      <c r="G377" s="27"/>
      <c r="H377" s="27"/>
      <c r="I377" s="27"/>
      <c r="J377" s="27"/>
      <c r="K377" s="23"/>
      <c r="L377" s="23"/>
      <c r="O377" s="22"/>
    </row>
    <row r="378" ht="15.75" customHeight="1">
      <c r="A378" s="23"/>
      <c r="B378" s="24"/>
      <c r="C378" s="25"/>
      <c r="D378" s="26"/>
      <c r="E378" s="26"/>
      <c r="F378" s="26"/>
      <c r="G378" s="27"/>
      <c r="H378" s="27"/>
      <c r="I378" s="27"/>
      <c r="J378" s="27"/>
      <c r="K378" s="23"/>
      <c r="L378" s="23"/>
      <c r="O378" s="22"/>
    </row>
    <row r="379" ht="15.75" customHeight="1">
      <c r="A379" s="23"/>
      <c r="B379" s="24"/>
      <c r="C379" s="25"/>
      <c r="D379" s="26"/>
      <c r="E379" s="26"/>
      <c r="F379" s="26"/>
      <c r="G379" s="27"/>
      <c r="H379" s="27"/>
      <c r="I379" s="27"/>
      <c r="J379" s="27"/>
      <c r="K379" s="23"/>
      <c r="L379" s="23"/>
      <c r="O379" s="22"/>
    </row>
    <row r="380" ht="15.75" customHeight="1">
      <c r="A380" s="23"/>
      <c r="B380" s="24"/>
      <c r="C380" s="25"/>
      <c r="D380" s="26"/>
      <c r="E380" s="26"/>
      <c r="F380" s="26"/>
      <c r="G380" s="27"/>
      <c r="H380" s="27"/>
      <c r="I380" s="27"/>
      <c r="J380" s="27"/>
      <c r="K380" s="23"/>
      <c r="L380" s="23"/>
      <c r="O380" s="22"/>
    </row>
    <row r="381" ht="15.75" customHeight="1">
      <c r="A381" s="23"/>
      <c r="B381" s="24"/>
      <c r="C381" s="25"/>
      <c r="D381" s="26"/>
      <c r="E381" s="26"/>
      <c r="F381" s="26"/>
      <c r="G381" s="27"/>
      <c r="H381" s="27"/>
      <c r="I381" s="27"/>
      <c r="J381" s="27"/>
      <c r="K381" s="23"/>
      <c r="L381" s="23"/>
      <c r="O381" s="22"/>
    </row>
    <row r="382" ht="15.75" customHeight="1">
      <c r="A382" s="23"/>
      <c r="B382" s="24"/>
      <c r="C382" s="25"/>
      <c r="D382" s="26"/>
      <c r="E382" s="26"/>
      <c r="F382" s="26"/>
      <c r="G382" s="27"/>
      <c r="H382" s="27"/>
      <c r="I382" s="27"/>
      <c r="J382" s="27"/>
      <c r="K382" s="23"/>
      <c r="L382" s="23"/>
      <c r="O382" s="22"/>
    </row>
    <row r="383" ht="15.75" customHeight="1">
      <c r="A383" s="23"/>
      <c r="B383" s="24"/>
      <c r="C383" s="25"/>
      <c r="D383" s="26"/>
      <c r="E383" s="26"/>
      <c r="F383" s="26"/>
      <c r="G383" s="27"/>
      <c r="H383" s="27"/>
      <c r="I383" s="27"/>
      <c r="J383" s="27"/>
      <c r="K383" s="23"/>
      <c r="L383" s="23"/>
      <c r="O383" s="22"/>
    </row>
    <row r="384" ht="15.75" customHeight="1">
      <c r="A384" s="23"/>
      <c r="B384" s="24"/>
      <c r="C384" s="25"/>
      <c r="D384" s="26"/>
      <c r="E384" s="26"/>
      <c r="F384" s="26"/>
      <c r="G384" s="27"/>
      <c r="H384" s="27"/>
      <c r="I384" s="27"/>
      <c r="J384" s="27"/>
      <c r="K384" s="23"/>
      <c r="L384" s="23"/>
      <c r="O384" s="22"/>
    </row>
    <row r="385" ht="15.75" customHeight="1">
      <c r="A385" s="23"/>
      <c r="B385" s="24"/>
      <c r="C385" s="25"/>
      <c r="D385" s="26"/>
      <c r="E385" s="26"/>
      <c r="F385" s="26"/>
      <c r="G385" s="27"/>
      <c r="H385" s="27"/>
      <c r="I385" s="27"/>
      <c r="J385" s="27"/>
      <c r="K385" s="23"/>
      <c r="L385" s="23"/>
      <c r="O385" s="22"/>
    </row>
    <row r="386" ht="15.75" customHeight="1">
      <c r="A386" s="23"/>
      <c r="B386" s="24"/>
      <c r="C386" s="25"/>
      <c r="D386" s="26"/>
      <c r="E386" s="26"/>
      <c r="F386" s="26"/>
      <c r="G386" s="27"/>
      <c r="H386" s="27"/>
      <c r="I386" s="27"/>
      <c r="J386" s="27"/>
      <c r="K386" s="23"/>
      <c r="L386" s="23"/>
      <c r="O386" s="22"/>
    </row>
    <row r="387" ht="15.75" customHeight="1">
      <c r="A387" s="23"/>
      <c r="B387" s="24"/>
      <c r="C387" s="25"/>
      <c r="D387" s="26"/>
      <c r="E387" s="26"/>
      <c r="F387" s="26"/>
      <c r="G387" s="27"/>
      <c r="H387" s="27"/>
      <c r="I387" s="27"/>
      <c r="J387" s="27"/>
      <c r="K387" s="23"/>
      <c r="L387" s="23"/>
      <c r="O387" s="22"/>
    </row>
    <row r="388" ht="15.75" customHeight="1">
      <c r="A388" s="23"/>
      <c r="B388" s="24"/>
      <c r="C388" s="25"/>
      <c r="D388" s="26"/>
      <c r="E388" s="26"/>
      <c r="F388" s="26"/>
      <c r="G388" s="27"/>
      <c r="H388" s="27"/>
      <c r="I388" s="27"/>
      <c r="J388" s="27"/>
      <c r="K388" s="23"/>
      <c r="L388" s="23"/>
      <c r="O388" s="22"/>
    </row>
    <row r="389" ht="15.75" customHeight="1">
      <c r="A389" s="23"/>
      <c r="B389" s="24"/>
      <c r="C389" s="25"/>
      <c r="D389" s="26"/>
      <c r="E389" s="26"/>
      <c r="F389" s="26"/>
      <c r="G389" s="27"/>
      <c r="H389" s="27"/>
      <c r="I389" s="27"/>
      <c r="J389" s="27"/>
      <c r="K389" s="23"/>
      <c r="L389" s="23"/>
      <c r="O389" s="22"/>
    </row>
    <row r="390" ht="15.75" customHeight="1">
      <c r="A390" s="23"/>
      <c r="B390" s="24"/>
      <c r="C390" s="25"/>
      <c r="D390" s="26"/>
      <c r="E390" s="26"/>
      <c r="F390" s="26"/>
      <c r="G390" s="27"/>
      <c r="H390" s="27"/>
      <c r="I390" s="27"/>
      <c r="J390" s="27"/>
      <c r="K390" s="23"/>
      <c r="L390" s="23"/>
      <c r="O390" s="22"/>
    </row>
    <row r="391" ht="15.75" customHeight="1">
      <c r="A391" s="23"/>
      <c r="B391" s="24"/>
      <c r="C391" s="25"/>
      <c r="D391" s="26"/>
      <c r="E391" s="26"/>
      <c r="F391" s="26"/>
      <c r="G391" s="27"/>
      <c r="H391" s="27"/>
      <c r="I391" s="27"/>
      <c r="J391" s="27"/>
      <c r="K391" s="23"/>
      <c r="L391" s="23"/>
      <c r="O391" s="22"/>
    </row>
    <row r="392" ht="15.75" customHeight="1">
      <c r="A392" s="23"/>
      <c r="B392" s="24"/>
      <c r="C392" s="25"/>
      <c r="D392" s="26"/>
      <c r="E392" s="26"/>
      <c r="F392" s="26"/>
      <c r="G392" s="27"/>
      <c r="H392" s="27"/>
      <c r="I392" s="27"/>
      <c r="J392" s="27"/>
      <c r="K392" s="23"/>
      <c r="L392" s="23"/>
      <c r="O392" s="22"/>
    </row>
    <row r="393" ht="15.75" customHeight="1">
      <c r="A393" s="23"/>
      <c r="B393" s="24"/>
      <c r="C393" s="25"/>
      <c r="D393" s="26"/>
      <c r="E393" s="26"/>
      <c r="F393" s="26"/>
      <c r="G393" s="27"/>
      <c r="H393" s="27"/>
      <c r="I393" s="27"/>
      <c r="J393" s="27"/>
      <c r="K393" s="23"/>
      <c r="L393" s="23"/>
      <c r="O393" s="22"/>
    </row>
    <row r="394" ht="15.75" customHeight="1">
      <c r="A394" s="23"/>
      <c r="B394" s="24"/>
      <c r="C394" s="25"/>
      <c r="D394" s="26"/>
      <c r="E394" s="26"/>
      <c r="F394" s="26"/>
      <c r="G394" s="27"/>
      <c r="H394" s="27"/>
      <c r="I394" s="27"/>
      <c r="J394" s="27"/>
      <c r="K394" s="23"/>
      <c r="L394" s="23"/>
      <c r="O394" s="22"/>
    </row>
    <row r="395" ht="15.75" customHeight="1">
      <c r="A395" s="23"/>
      <c r="B395" s="24"/>
      <c r="C395" s="25"/>
      <c r="D395" s="26"/>
      <c r="E395" s="26"/>
      <c r="F395" s="26"/>
      <c r="G395" s="27"/>
      <c r="H395" s="27"/>
      <c r="I395" s="27"/>
      <c r="J395" s="27"/>
      <c r="K395" s="23"/>
      <c r="L395" s="23"/>
      <c r="O395" s="22"/>
    </row>
    <row r="396" ht="15.75" customHeight="1">
      <c r="A396" s="23"/>
      <c r="B396" s="24"/>
      <c r="C396" s="25"/>
      <c r="D396" s="26"/>
      <c r="E396" s="26"/>
      <c r="F396" s="26"/>
      <c r="G396" s="27"/>
      <c r="H396" s="27"/>
      <c r="I396" s="27"/>
      <c r="J396" s="27"/>
      <c r="K396" s="23"/>
      <c r="L396" s="23"/>
      <c r="O396" s="22"/>
    </row>
    <row r="397" ht="15.75" customHeight="1">
      <c r="A397" s="23"/>
      <c r="B397" s="24"/>
      <c r="C397" s="25"/>
      <c r="D397" s="26"/>
      <c r="E397" s="26"/>
      <c r="F397" s="26"/>
      <c r="G397" s="27"/>
      <c r="H397" s="27"/>
      <c r="I397" s="27"/>
      <c r="J397" s="27"/>
      <c r="K397" s="23"/>
      <c r="L397" s="23"/>
      <c r="O397" s="22"/>
    </row>
    <row r="398" ht="15.75" customHeight="1">
      <c r="A398" s="23"/>
      <c r="B398" s="24"/>
      <c r="C398" s="25"/>
      <c r="D398" s="26"/>
      <c r="E398" s="26"/>
      <c r="F398" s="26"/>
      <c r="G398" s="27"/>
      <c r="H398" s="27"/>
      <c r="I398" s="27"/>
      <c r="J398" s="27"/>
      <c r="K398" s="23"/>
      <c r="L398" s="23"/>
      <c r="O398" s="22"/>
    </row>
    <row r="399" ht="15.75" customHeight="1">
      <c r="A399" s="23"/>
      <c r="B399" s="24"/>
      <c r="C399" s="25"/>
      <c r="D399" s="26"/>
      <c r="E399" s="26"/>
      <c r="F399" s="26"/>
      <c r="G399" s="27"/>
      <c r="H399" s="27"/>
      <c r="I399" s="27"/>
      <c r="J399" s="27"/>
      <c r="K399" s="23"/>
      <c r="L399" s="23"/>
      <c r="O399" s="22"/>
    </row>
    <row r="400" ht="15.75" customHeight="1">
      <c r="A400" s="23"/>
      <c r="B400" s="24"/>
      <c r="C400" s="25"/>
      <c r="D400" s="26"/>
      <c r="E400" s="26"/>
      <c r="F400" s="26"/>
      <c r="G400" s="27"/>
      <c r="H400" s="27"/>
      <c r="I400" s="27"/>
      <c r="J400" s="27"/>
      <c r="K400" s="23"/>
      <c r="L400" s="23"/>
      <c r="O400" s="22"/>
    </row>
    <row r="401" ht="15.75" customHeight="1">
      <c r="A401" s="23"/>
      <c r="B401" s="24"/>
      <c r="C401" s="25"/>
      <c r="D401" s="26"/>
      <c r="E401" s="26"/>
      <c r="F401" s="26"/>
      <c r="G401" s="27"/>
      <c r="H401" s="27"/>
      <c r="I401" s="27"/>
      <c r="J401" s="27"/>
      <c r="K401" s="23"/>
      <c r="L401" s="23"/>
    </row>
    <row r="402" ht="15.75" customHeight="1">
      <c r="A402" s="23"/>
      <c r="B402" s="24"/>
      <c r="C402" s="25"/>
      <c r="D402" s="26"/>
      <c r="E402" s="26"/>
      <c r="F402" s="26"/>
      <c r="G402" s="27"/>
      <c r="H402" s="27"/>
      <c r="I402" s="27"/>
      <c r="J402" s="27"/>
      <c r="K402" s="23"/>
      <c r="L402" s="23"/>
    </row>
    <row r="403" ht="15.75" customHeight="1">
      <c r="A403" s="23"/>
      <c r="B403" s="24"/>
      <c r="C403" s="25"/>
      <c r="D403" s="26"/>
      <c r="E403" s="26"/>
      <c r="F403" s="26"/>
      <c r="G403" s="27"/>
      <c r="H403" s="27"/>
      <c r="I403" s="27"/>
      <c r="J403" s="27"/>
      <c r="K403" s="23"/>
      <c r="L403" s="23"/>
    </row>
    <row r="404" ht="15.75" customHeight="1">
      <c r="A404" s="23"/>
      <c r="B404" s="24"/>
      <c r="C404" s="25"/>
      <c r="D404" s="26"/>
      <c r="E404" s="26"/>
      <c r="F404" s="26"/>
      <c r="G404" s="27"/>
      <c r="H404" s="27"/>
      <c r="I404" s="27"/>
      <c r="J404" s="27"/>
      <c r="K404" s="23"/>
      <c r="L404" s="23"/>
    </row>
    <row r="405" ht="15.75" customHeight="1">
      <c r="A405" s="23"/>
      <c r="B405" s="24"/>
      <c r="C405" s="25"/>
      <c r="D405" s="26"/>
      <c r="E405" s="26"/>
      <c r="F405" s="26"/>
      <c r="G405" s="27"/>
      <c r="H405" s="27"/>
      <c r="I405" s="27"/>
      <c r="J405" s="27"/>
      <c r="K405" s="23"/>
      <c r="L405" s="23"/>
    </row>
    <row r="406" ht="15.75" customHeight="1">
      <c r="A406" s="23"/>
      <c r="B406" s="24"/>
      <c r="C406" s="25"/>
      <c r="D406" s="26"/>
      <c r="E406" s="26"/>
      <c r="F406" s="26"/>
      <c r="G406" s="27"/>
      <c r="H406" s="27"/>
      <c r="I406" s="27"/>
      <c r="J406" s="27"/>
      <c r="K406" s="23"/>
      <c r="L406" s="23"/>
    </row>
    <row r="407" ht="15.75" customHeight="1">
      <c r="A407" s="23"/>
      <c r="B407" s="24"/>
      <c r="C407" s="25"/>
      <c r="D407" s="26"/>
      <c r="E407" s="26"/>
      <c r="F407" s="26"/>
      <c r="G407" s="27"/>
      <c r="H407" s="27"/>
      <c r="I407" s="27"/>
      <c r="J407" s="27"/>
      <c r="K407" s="23"/>
      <c r="L407" s="23"/>
    </row>
    <row r="408" ht="15.75" customHeight="1">
      <c r="A408" s="23"/>
      <c r="B408" s="24"/>
      <c r="C408" s="25"/>
      <c r="D408" s="26"/>
      <c r="E408" s="26"/>
      <c r="F408" s="26"/>
      <c r="G408" s="27"/>
      <c r="H408" s="27"/>
      <c r="I408" s="27"/>
      <c r="J408" s="27"/>
      <c r="K408" s="23"/>
      <c r="L408" s="23"/>
    </row>
    <row r="409" ht="15.75" customHeight="1">
      <c r="A409" s="23"/>
      <c r="B409" s="24"/>
      <c r="C409" s="25"/>
      <c r="D409" s="26"/>
      <c r="E409" s="26"/>
      <c r="F409" s="26"/>
      <c r="G409" s="27"/>
      <c r="H409" s="27"/>
      <c r="I409" s="27"/>
      <c r="J409" s="27"/>
      <c r="K409" s="23"/>
      <c r="L409" s="23"/>
    </row>
    <row r="410" ht="15.75" customHeight="1">
      <c r="A410" s="23"/>
      <c r="B410" s="24"/>
      <c r="C410" s="25"/>
      <c r="D410" s="26"/>
      <c r="E410" s="26"/>
      <c r="F410" s="26"/>
      <c r="G410" s="27"/>
      <c r="H410" s="27"/>
      <c r="I410" s="27"/>
      <c r="J410" s="27"/>
      <c r="K410" s="23"/>
      <c r="L410" s="23"/>
    </row>
    <row r="411" ht="15.75" customHeight="1">
      <c r="A411" s="23"/>
      <c r="B411" s="24"/>
      <c r="C411" s="25"/>
      <c r="D411" s="26"/>
      <c r="E411" s="26"/>
      <c r="F411" s="26"/>
      <c r="G411" s="27"/>
      <c r="H411" s="27"/>
      <c r="I411" s="27"/>
      <c r="J411" s="27"/>
      <c r="K411" s="23"/>
      <c r="L411" s="23"/>
    </row>
    <row r="412" ht="15.75" customHeight="1">
      <c r="A412" s="23"/>
      <c r="B412" s="24"/>
      <c r="C412" s="25"/>
      <c r="D412" s="26"/>
      <c r="E412" s="26"/>
      <c r="F412" s="26"/>
      <c r="G412" s="27"/>
      <c r="H412" s="27"/>
      <c r="I412" s="27"/>
      <c r="J412" s="27"/>
      <c r="K412" s="23"/>
      <c r="L412" s="23"/>
    </row>
    <row r="413" ht="15.75" customHeight="1">
      <c r="A413" s="23"/>
      <c r="B413" s="24"/>
      <c r="C413" s="25"/>
      <c r="D413" s="26"/>
      <c r="E413" s="26"/>
      <c r="F413" s="26"/>
      <c r="G413" s="27"/>
      <c r="H413" s="27"/>
      <c r="I413" s="27"/>
      <c r="J413" s="27"/>
      <c r="K413" s="23"/>
      <c r="L413" s="23"/>
    </row>
    <row r="414" ht="15.75" customHeight="1">
      <c r="A414" s="23"/>
      <c r="B414" s="24"/>
      <c r="C414" s="25"/>
      <c r="D414" s="26"/>
      <c r="E414" s="26"/>
      <c r="F414" s="26"/>
      <c r="G414" s="27"/>
      <c r="H414" s="27"/>
      <c r="I414" s="27"/>
      <c r="J414" s="27"/>
      <c r="K414" s="23"/>
      <c r="L414" s="23"/>
    </row>
    <row r="415" ht="15.75" customHeight="1">
      <c r="A415" s="23"/>
      <c r="B415" s="24"/>
      <c r="C415" s="25"/>
      <c r="D415" s="26"/>
      <c r="E415" s="26"/>
      <c r="F415" s="26"/>
      <c r="G415" s="27"/>
      <c r="H415" s="27"/>
      <c r="I415" s="27"/>
      <c r="J415" s="27"/>
      <c r="K415" s="23"/>
      <c r="L415" s="23"/>
    </row>
    <row r="416" ht="15.75" customHeight="1">
      <c r="A416" s="23"/>
      <c r="B416" s="24"/>
      <c r="C416" s="25"/>
      <c r="D416" s="26"/>
      <c r="E416" s="26"/>
      <c r="F416" s="26"/>
      <c r="G416" s="27"/>
      <c r="H416" s="27"/>
      <c r="I416" s="27"/>
      <c r="J416" s="27"/>
      <c r="K416" s="23"/>
      <c r="L416" s="23"/>
    </row>
    <row r="417" ht="15.75" customHeight="1">
      <c r="A417" s="23"/>
      <c r="B417" s="24"/>
      <c r="C417" s="25"/>
      <c r="D417" s="26"/>
      <c r="E417" s="26"/>
      <c r="F417" s="26"/>
      <c r="G417" s="27"/>
      <c r="H417" s="27"/>
      <c r="I417" s="27"/>
      <c r="J417" s="27"/>
      <c r="K417" s="23"/>
      <c r="L417" s="23"/>
    </row>
    <row r="418" ht="15.75" customHeight="1">
      <c r="A418" s="23"/>
      <c r="B418" s="24"/>
      <c r="C418" s="25"/>
      <c r="D418" s="26"/>
      <c r="E418" s="26"/>
      <c r="F418" s="26"/>
      <c r="G418" s="27"/>
      <c r="H418" s="27"/>
      <c r="I418" s="27"/>
      <c r="J418" s="27"/>
      <c r="K418" s="23"/>
      <c r="L418" s="23"/>
    </row>
    <row r="419" ht="15.75" customHeight="1">
      <c r="A419" s="23"/>
      <c r="B419" s="24"/>
      <c r="C419" s="25"/>
      <c r="D419" s="26"/>
      <c r="E419" s="26"/>
      <c r="F419" s="26"/>
      <c r="G419" s="27"/>
      <c r="H419" s="27"/>
      <c r="I419" s="27"/>
      <c r="J419" s="27"/>
      <c r="K419" s="23"/>
      <c r="L419" s="23"/>
    </row>
    <row r="420" ht="15.75" customHeight="1">
      <c r="A420" s="23"/>
      <c r="B420" s="24"/>
      <c r="C420" s="25"/>
      <c r="D420" s="26"/>
      <c r="E420" s="26"/>
      <c r="F420" s="26"/>
      <c r="G420" s="27"/>
      <c r="H420" s="27"/>
      <c r="I420" s="27"/>
      <c r="J420" s="27"/>
      <c r="K420" s="23"/>
      <c r="L420" s="23"/>
    </row>
    <row r="421" ht="15.75" customHeight="1">
      <c r="A421" s="23"/>
      <c r="B421" s="24"/>
      <c r="C421" s="25"/>
      <c r="D421" s="26"/>
      <c r="E421" s="26"/>
      <c r="F421" s="26"/>
      <c r="G421" s="27"/>
      <c r="H421" s="27"/>
      <c r="I421" s="27"/>
      <c r="J421" s="27"/>
      <c r="K421" s="23"/>
      <c r="L421" s="23"/>
    </row>
    <row r="422" ht="15.75" customHeight="1">
      <c r="A422" s="23"/>
      <c r="B422" s="24"/>
      <c r="C422" s="25"/>
      <c r="D422" s="26"/>
      <c r="E422" s="26"/>
      <c r="F422" s="26"/>
      <c r="G422" s="27"/>
      <c r="H422" s="27"/>
      <c r="I422" s="27"/>
      <c r="J422" s="27"/>
      <c r="K422" s="23"/>
      <c r="L422" s="23"/>
    </row>
    <row r="423" ht="15.75" customHeight="1">
      <c r="A423" s="23"/>
      <c r="B423" s="24"/>
      <c r="C423" s="25"/>
      <c r="D423" s="26"/>
      <c r="E423" s="26"/>
      <c r="F423" s="26"/>
      <c r="G423" s="27"/>
      <c r="H423" s="27"/>
      <c r="I423" s="27"/>
      <c r="J423" s="27"/>
      <c r="K423" s="23"/>
      <c r="L423" s="23"/>
    </row>
    <row r="424" ht="15.75" customHeight="1">
      <c r="A424" s="23"/>
      <c r="B424" s="24"/>
      <c r="C424" s="25"/>
      <c r="D424" s="26"/>
      <c r="E424" s="26"/>
      <c r="F424" s="26"/>
      <c r="G424" s="27"/>
      <c r="H424" s="27"/>
      <c r="I424" s="27"/>
      <c r="J424" s="27"/>
      <c r="K424" s="23"/>
      <c r="L424" s="23"/>
    </row>
    <row r="425" ht="15.75" customHeight="1">
      <c r="A425" s="23"/>
      <c r="B425" s="24"/>
      <c r="C425" s="25"/>
      <c r="D425" s="26"/>
      <c r="E425" s="26"/>
      <c r="F425" s="26"/>
      <c r="G425" s="27"/>
      <c r="H425" s="27"/>
      <c r="I425" s="27"/>
      <c r="J425" s="27"/>
      <c r="K425" s="23"/>
      <c r="L425" s="23"/>
    </row>
    <row r="426" ht="15.75" customHeight="1">
      <c r="A426" s="23"/>
      <c r="B426" s="24"/>
      <c r="C426" s="25"/>
      <c r="D426" s="26"/>
      <c r="E426" s="26"/>
      <c r="F426" s="26"/>
      <c r="G426" s="27"/>
      <c r="H426" s="27"/>
      <c r="I426" s="27"/>
      <c r="J426" s="27"/>
      <c r="K426" s="23"/>
      <c r="L426" s="23"/>
    </row>
    <row r="427" ht="15.75" customHeight="1">
      <c r="A427" s="23"/>
      <c r="B427" s="24"/>
      <c r="C427" s="25"/>
      <c r="D427" s="26"/>
      <c r="E427" s="26"/>
      <c r="F427" s="26"/>
      <c r="G427" s="27"/>
      <c r="H427" s="27"/>
      <c r="I427" s="27"/>
      <c r="J427" s="27"/>
      <c r="K427" s="23"/>
      <c r="L427" s="23"/>
    </row>
    <row r="428" ht="15.75" customHeight="1">
      <c r="A428" s="23"/>
      <c r="B428" s="24"/>
      <c r="C428" s="25"/>
      <c r="D428" s="26"/>
      <c r="E428" s="26"/>
      <c r="F428" s="26"/>
      <c r="G428" s="27"/>
      <c r="H428" s="27"/>
      <c r="I428" s="27"/>
      <c r="J428" s="27"/>
      <c r="K428" s="23"/>
      <c r="L428" s="23"/>
    </row>
    <row r="429" ht="15.75" customHeight="1">
      <c r="A429" s="23"/>
      <c r="B429" s="24"/>
      <c r="C429" s="25"/>
      <c r="D429" s="26"/>
      <c r="E429" s="26"/>
      <c r="F429" s="26"/>
      <c r="G429" s="27"/>
      <c r="H429" s="27"/>
      <c r="I429" s="27"/>
      <c r="J429" s="27"/>
      <c r="K429" s="23"/>
      <c r="L429" s="23"/>
    </row>
    <row r="430" ht="15.75" customHeight="1">
      <c r="A430" s="23"/>
      <c r="B430" s="24"/>
      <c r="C430" s="25"/>
      <c r="D430" s="26"/>
      <c r="E430" s="26"/>
      <c r="F430" s="26"/>
      <c r="G430" s="27"/>
      <c r="H430" s="27"/>
      <c r="I430" s="27"/>
      <c r="J430" s="27"/>
      <c r="K430" s="23"/>
      <c r="L430" s="23"/>
    </row>
    <row r="431" ht="15.75" customHeight="1">
      <c r="A431" s="23"/>
      <c r="B431" s="24"/>
      <c r="C431" s="25"/>
      <c r="D431" s="26"/>
      <c r="E431" s="26"/>
      <c r="F431" s="26"/>
      <c r="G431" s="27"/>
      <c r="H431" s="27"/>
      <c r="I431" s="27"/>
      <c r="J431" s="27"/>
      <c r="K431" s="23"/>
      <c r="L431" s="23"/>
    </row>
    <row r="432" ht="15.75" customHeight="1">
      <c r="A432" s="23"/>
      <c r="B432" s="24"/>
      <c r="C432" s="25"/>
      <c r="D432" s="26"/>
      <c r="E432" s="26"/>
      <c r="F432" s="26"/>
      <c r="G432" s="27"/>
      <c r="H432" s="27"/>
      <c r="I432" s="27"/>
      <c r="J432" s="27"/>
      <c r="K432" s="23"/>
      <c r="L432" s="23"/>
    </row>
    <row r="433" ht="15.75" customHeight="1">
      <c r="A433" s="23"/>
      <c r="B433" s="24"/>
      <c r="C433" s="25"/>
      <c r="D433" s="26"/>
      <c r="E433" s="26"/>
      <c r="F433" s="26"/>
      <c r="G433" s="27"/>
      <c r="H433" s="27"/>
      <c r="I433" s="27"/>
      <c r="J433" s="27"/>
      <c r="K433" s="23"/>
      <c r="L433" s="23"/>
    </row>
    <row r="434" ht="15.75" customHeight="1">
      <c r="A434" s="23"/>
      <c r="B434" s="24"/>
      <c r="C434" s="25"/>
      <c r="D434" s="26"/>
      <c r="E434" s="26"/>
      <c r="F434" s="26"/>
      <c r="G434" s="27"/>
      <c r="H434" s="27"/>
      <c r="I434" s="27"/>
      <c r="J434" s="27"/>
      <c r="K434" s="23"/>
      <c r="L434" s="23"/>
    </row>
    <row r="435" ht="15.75" customHeight="1">
      <c r="A435" s="23"/>
      <c r="B435" s="24"/>
      <c r="C435" s="25"/>
      <c r="D435" s="26"/>
      <c r="E435" s="26"/>
      <c r="F435" s="26"/>
      <c r="G435" s="27"/>
      <c r="H435" s="27"/>
      <c r="I435" s="27"/>
      <c r="J435" s="27"/>
      <c r="K435" s="23"/>
      <c r="L435" s="23"/>
    </row>
    <row r="436" ht="15.75" customHeight="1">
      <c r="A436" s="23"/>
      <c r="B436" s="24"/>
      <c r="C436" s="25"/>
      <c r="D436" s="26"/>
      <c r="E436" s="26"/>
      <c r="F436" s="26"/>
      <c r="G436" s="27"/>
      <c r="H436" s="27"/>
      <c r="I436" s="27"/>
      <c r="J436" s="27"/>
      <c r="K436" s="23"/>
      <c r="L436" s="23"/>
    </row>
    <row r="437" ht="15.75" customHeight="1">
      <c r="A437" s="23"/>
      <c r="B437" s="24"/>
      <c r="C437" s="25"/>
      <c r="D437" s="26"/>
      <c r="E437" s="26"/>
      <c r="F437" s="26"/>
      <c r="G437" s="27"/>
      <c r="H437" s="27"/>
      <c r="I437" s="27"/>
      <c r="J437" s="27"/>
      <c r="K437" s="23"/>
      <c r="L437" s="23"/>
    </row>
    <row r="438" ht="15.75" customHeight="1">
      <c r="A438" s="23"/>
      <c r="B438" s="24"/>
      <c r="C438" s="25"/>
      <c r="D438" s="26"/>
      <c r="E438" s="26"/>
      <c r="F438" s="26"/>
      <c r="G438" s="27"/>
      <c r="H438" s="27"/>
      <c r="I438" s="27"/>
      <c r="J438" s="27"/>
      <c r="K438" s="23"/>
      <c r="L438" s="23"/>
    </row>
    <row r="439" ht="15.75" customHeight="1">
      <c r="A439" s="23"/>
      <c r="B439" s="24"/>
      <c r="C439" s="25"/>
      <c r="D439" s="26"/>
      <c r="E439" s="26"/>
      <c r="F439" s="26"/>
      <c r="G439" s="27"/>
      <c r="H439" s="27"/>
      <c r="I439" s="27"/>
      <c r="J439" s="27"/>
      <c r="K439" s="23"/>
      <c r="L439" s="23"/>
    </row>
    <row r="440" ht="15.75" customHeight="1">
      <c r="A440" s="23"/>
      <c r="B440" s="24"/>
      <c r="C440" s="25"/>
      <c r="D440" s="26"/>
      <c r="E440" s="26"/>
      <c r="F440" s="26"/>
      <c r="G440" s="27"/>
      <c r="H440" s="27"/>
      <c r="I440" s="27"/>
      <c r="J440" s="27"/>
      <c r="K440" s="23"/>
      <c r="L440" s="23"/>
    </row>
    <row r="441" ht="15.75" customHeight="1">
      <c r="A441" s="23"/>
      <c r="B441" s="24"/>
      <c r="C441" s="25"/>
      <c r="D441" s="26"/>
      <c r="E441" s="26"/>
      <c r="F441" s="26"/>
      <c r="G441" s="27"/>
      <c r="H441" s="27"/>
      <c r="I441" s="27"/>
      <c r="J441" s="27"/>
      <c r="K441" s="23"/>
      <c r="L441" s="23"/>
    </row>
    <row r="442" ht="15.75" customHeight="1">
      <c r="A442" s="23"/>
      <c r="B442" s="24"/>
      <c r="C442" s="25"/>
      <c r="D442" s="26"/>
      <c r="E442" s="26"/>
      <c r="F442" s="26"/>
      <c r="G442" s="27"/>
      <c r="H442" s="27"/>
      <c r="I442" s="27"/>
      <c r="J442" s="27"/>
      <c r="K442" s="23"/>
      <c r="L442" s="23"/>
    </row>
    <row r="443" ht="15.75" customHeight="1">
      <c r="A443" s="23"/>
      <c r="B443" s="24"/>
      <c r="C443" s="25"/>
      <c r="D443" s="26"/>
      <c r="E443" s="26"/>
      <c r="F443" s="26"/>
      <c r="G443" s="27"/>
      <c r="H443" s="27"/>
      <c r="I443" s="27"/>
      <c r="J443" s="27"/>
      <c r="K443" s="23"/>
      <c r="L443" s="23"/>
    </row>
    <row r="444" ht="15.75" customHeight="1">
      <c r="A444" s="23"/>
      <c r="B444" s="24"/>
      <c r="C444" s="25"/>
      <c r="D444" s="26"/>
      <c r="E444" s="26"/>
      <c r="F444" s="26"/>
      <c r="G444" s="27"/>
      <c r="H444" s="27"/>
      <c r="I444" s="27"/>
      <c r="J444" s="27"/>
      <c r="K444" s="23"/>
      <c r="L444" s="23"/>
    </row>
    <row r="445" ht="15.75" customHeight="1">
      <c r="A445" s="23"/>
      <c r="B445" s="24"/>
      <c r="C445" s="25"/>
      <c r="D445" s="26"/>
      <c r="E445" s="26"/>
      <c r="F445" s="26"/>
      <c r="G445" s="27"/>
      <c r="H445" s="27"/>
      <c r="I445" s="27"/>
      <c r="J445" s="27"/>
      <c r="K445" s="23"/>
      <c r="L445" s="23"/>
    </row>
    <row r="446" ht="15.75" customHeight="1">
      <c r="A446" s="23"/>
      <c r="B446" s="24"/>
      <c r="C446" s="25"/>
      <c r="D446" s="26"/>
      <c r="E446" s="26"/>
      <c r="F446" s="26"/>
      <c r="G446" s="27"/>
      <c r="H446" s="27"/>
      <c r="I446" s="27"/>
      <c r="J446" s="27"/>
      <c r="K446" s="23"/>
      <c r="L446" s="23"/>
    </row>
    <row r="447" ht="15.75" customHeight="1">
      <c r="A447" s="23"/>
      <c r="B447" s="24"/>
      <c r="C447" s="25"/>
      <c r="D447" s="26"/>
      <c r="E447" s="26"/>
      <c r="F447" s="26"/>
      <c r="G447" s="27"/>
      <c r="H447" s="27"/>
      <c r="I447" s="27"/>
      <c r="J447" s="27"/>
      <c r="K447" s="23"/>
      <c r="L447" s="23"/>
    </row>
    <row r="448" ht="15.75" customHeight="1">
      <c r="A448" s="23"/>
      <c r="B448" s="24"/>
      <c r="C448" s="25"/>
      <c r="D448" s="26"/>
      <c r="E448" s="26"/>
      <c r="F448" s="26"/>
      <c r="G448" s="27"/>
      <c r="H448" s="27"/>
      <c r="I448" s="27"/>
      <c r="J448" s="27"/>
      <c r="K448" s="23"/>
      <c r="L448" s="23"/>
    </row>
    <row r="449" ht="15.75" customHeight="1">
      <c r="A449" s="23"/>
      <c r="B449" s="24"/>
      <c r="C449" s="25"/>
      <c r="D449" s="26"/>
      <c r="E449" s="26"/>
      <c r="F449" s="26"/>
      <c r="G449" s="27"/>
      <c r="H449" s="27"/>
      <c r="I449" s="27"/>
      <c r="J449" s="27"/>
      <c r="K449" s="23"/>
      <c r="L449" s="23"/>
    </row>
    <row r="450" ht="15.75" customHeight="1">
      <c r="A450" s="23"/>
      <c r="B450" s="24"/>
      <c r="C450" s="25"/>
      <c r="D450" s="26"/>
      <c r="E450" s="26"/>
      <c r="F450" s="26"/>
      <c r="G450" s="27"/>
      <c r="H450" s="27"/>
      <c r="I450" s="27"/>
      <c r="J450" s="27"/>
      <c r="K450" s="23"/>
      <c r="L450" s="23"/>
    </row>
    <row r="451" ht="15.75" customHeight="1">
      <c r="A451" s="23"/>
      <c r="B451" s="24"/>
      <c r="C451" s="25"/>
      <c r="D451" s="26"/>
      <c r="E451" s="26"/>
      <c r="F451" s="26"/>
      <c r="G451" s="27"/>
      <c r="H451" s="27"/>
      <c r="I451" s="27"/>
      <c r="J451" s="27"/>
      <c r="K451" s="23"/>
      <c r="L451" s="23"/>
    </row>
    <row r="452" ht="15.75" customHeight="1">
      <c r="A452" s="23"/>
      <c r="B452" s="24"/>
      <c r="C452" s="25"/>
      <c r="D452" s="26"/>
      <c r="E452" s="26"/>
      <c r="F452" s="26"/>
      <c r="G452" s="27"/>
      <c r="H452" s="27"/>
      <c r="I452" s="27"/>
      <c r="J452" s="27"/>
      <c r="K452" s="23"/>
      <c r="L452" s="23"/>
    </row>
    <row r="453" ht="15.75" customHeight="1">
      <c r="A453" s="23"/>
      <c r="B453" s="24"/>
      <c r="C453" s="25"/>
      <c r="D453" s="26"/>
      <c r="E453" s="26"/>
      <c r="F453" s="26"/>
      <c r="G453" s="27"/>
      <c r="H453" s="27"/>
      <c r="I453" s="27"/>
      <c r="J453" s="27"/>
      <c r="K453" s="23"/>
      <c r="L453" s="23"/>
    </row>
    <row r="454" ht="15.75" customHeight="1">
      <c r="A454" s="23"/>
      <c r="B454" s="24"/>
      <c r="C454" s="25"/>
      <c r="D454" s="26"/>
      <c r="E454" s="26"/>
      <c r="F454" s="26"/>
      <c r="G454" s="27"/>
      <c r="H454" s="27"/>
      <c r="I454" s="27"/>
      <c r="J454" s="27"/>
      <c r="K454" s="23"/>
      <c r="L454" s="23"/>
    </row>
    <row r="455" ht="15.75" customHeight="1">
      <c r="A455" s="23"/>
      <c r="B455" s="24"/>
      <c r="C455" s="25"/>
      <c r="D455" s="26"/>
      <c r="E455" s="26"/>
      <c r="F455" s="26"/>
      <c r="G455" s="27"/>
      <c r="H455" s="27"/>
      <c r="I455" s="27"/>
      <c r="J455" s="27"/>
      <c r="K455" s="23"/>
      <c r="L455" s="23"/>
    </row>
    <row r="456" ht="15.75" customHeight="1">
      <c r="A456" s="23"/>
      <c r="B456" s="24"/>
      <c r="C456" s="25"/>
      <c r="D456" s="26"/>
      <c r="E456" s="26"/>
      <c r="F456" s="26"/>
      <c r="G456" s="27"/>
      <c r="H456" s="27"/>
      <c r="I456" s="27"/>
      <c r="J456" s="27"/>
      <c r="K456" s="23"/>
      <c r="L456" s="23"/>
    </row>
    <row r="457" ht="15.75" customHeight="1">
      <c r="A457" s="23"/>
      <c r="B457" s="24"/>
      <c r="C457" s="25"/>
      <c r="D457" s="26"/>
      <c r="E457" s="26"/>
      <c r="F457" s="26"/>
      <c r="G457" s="27"/>
      <c r="H457" s="27"/>
      <c r="I457" s="27"/>
      <c r="J457" s="27"/>
      <c r="K457" s="23"/>
      <c r="L457" s="23"/>
    </row>
    <row r="458" ht="15.75" customHeight="1">
      <c r="A458" s="23"/>
      <c r="B458" s="24"/>
      <c r="C458" s="25"/>
      <c r="D458" s="26"/>
      <c r="E458" s="26"/>
      <c r="F458" s="26"/>
      <c r="G458" s="27"/>
      <c r="H458" s="27"/>
      <c r="I458" s="27"/>
      <c r="J458" s="27"/>
      <c r="K458" s="23"/>
      <c r="L458" s="23"/>
    </row>
    <row r="459" ht="15.75" customHeight="1">
      <c r="A459" s="23"/>
      <c r="B459" s="24"/>
      <c r="C459" s="25"/>
      <c r="D459" s="26"/>
      <c r="E459" s="26"/>
      <c r="F459" s="26"/>
      <c r="G459" s="27"/>
      <c r="H459" s="27"/>
      <c r="I459" s="27"/>
      <c r="J459" s="27"/>
      <c r="K459" s="23"/>
      <c r="L459" s="23"/>
    </row>
    <row r="460" ht="15.75" customHeight="1">
      <c r="A460" s="23"/>
      <c r="B460" s="24"/>
      <c r="C460" s="25"/>
      <c r="D460" s="26"/>
      <c r="E460" s="26"/>
      <c r="F460" s="26"/>
      <c r="G460" s="27"/>
      <c r="H460" s="27"/>
      <c r="I460" s="27"/>
      <c r="J460" s="27"/>
      <c r="K460" s="23"/>
      <c r="L460" s="23"/>
    </row>
    <row r="461" ht="15.75" customHeight="1">
      <c r="A461" s="23"/>
      <c r="B461" s="24"/>
      <c r="C461" s="25"/>
      <c r="D461" s="26"/>
      <c r="E461" s="26"/>
      <c r="F461" s="26"/>
      <c r="G461" s="27"/>
      <c r="H461" s="27"/>
      <c r="I461" s="27"/>
      <c r="J461" s="27"/>
      <c r="K461" s="23"/>
      <c r="L461" s="23"/>
    </row>
    <row r="462" ht="15.75" customHeight="1">
      <c r="A462" s="23"/>
      <c r="B462" s="24"/>
      <c r="C462" s="25"/>
      <c r="D462" s="26"/>
      <c r="E462" s="26"/>
      <c r="F462" s="26"/>
      <c r="G462" s="27"/>
      <c r="H462" s="27"/>
      <c r="I462" s="27"/>
      <c r="J462" s="27"/>
      <c r="K462" s="23"/>
      <c r="L462" s="23"/>
    </row>
    <row r="463" ht="15.75" customHeight="1">
      <c r="A463" s="23"/>
      <c r="B463" s="24"/>
      <c r="C463" s="25"/>
      <c r="D463" s="26"/>
      <c r="E463" s="26"/>
      <c r="F463" s="26"/>
      <c r="G463" s="27"/>
      <c r="H463" s="27"/>
      <c r="I463" s="27"/>
      <c r="J463" s="27"/>
      <c r="K463" s="23"/>
      <c r="L463" s="23"/>
    </row>
    <row r="464" ht="15.75" customHeight="1">
      <c r="A464" s="23"/>
      <c r="B464" s="24"/>
      <c r="C464" s="25"/>
      <c r="D464" s="26"/>
      <c r="E464" s="26"/>
      <c r="F464" s="26"/>
      <c r="G464" s="27"/>
      <c r="H464" s="27"/>
      <c r="I464" s="27"/>
      <c r="J464" s="27"/>
      <c r="K464" s="23"/>
      <c r="L464" s="23"/>
    </row>
    <row r="465" ht="15.75" customHeight="1">
      <c r="A465" s="23"/>
      <c r="B465" s="24"/>
      <c r="C465" s="25"/>
      <c r="D465" s="26"/>
      <c r="E465" s="26"/>
      <c r="F465" s="26"/>
      <c r="G465" s="27"/>
      <c r="H465" s="27"/>
      <c r="I465" s="27"/>
      <c r="J465" s="27"/>
      <c r="K465" s="23"/>
      <c r="L465" s="23"/>
    </row>
    <row r="466" ht="15.75" customHeight="1">
      <c r="A466" s="23"/>
      <c r="B466" s="24"/>
      <c r="C466" s="25"/>
      <c r="D466" s="26"/>
      <c r="E466" s="26"/>
      <c r="F466" s="26"/>
      <c r="G466" s="27"/>
      <c r="H466" s="27"/>
      <c r="I466" s="27"/>
      <c r="J466" s="27"/>
      <c r="K466" s="23"/>
      <c r="L466" s="23"/>
    </row>
    <row r="467" ht="15.75" customHeight="1">
      <c r="A467" s="23"/>
      <c r="B467" s="24"/>
      <c r="C467" s="25"/>
      <c r="D467" s="26"/>
      <c r="E467" s="26"/>
      <c r="F467" s="26"/>
      <c r="G467" s="27"/>
      <c r="H467" s="27"/>
      <c r="I467" s="27"/>
      <c r="J467" s="27"/>
      <c r="K467" s="23"/>
      <c r="L467" s="23"/>
    </row>
    <row r="468" ht="15.75" customHeight="1">
      <c r="A468" s="23"/>
      <c r="B468" s="24"/>
      <c r="C468" s="25"/>
      <c r="D468" s="26"/>
      <c r="E468" s="26"/>
      <c r="F468" s="26"/>
      <c r="G468" s="27"/>
      <c r="H468" s="27"/>
      <c r="I468" s="27"/>
      <c r="J468" s="27"/>
      <c r="K468" s="23"/>
      <c r="L468" s="23"/>
    </row>
    <row r="469" ht="15.75" customHeight="1">
      <c r="A469" s="23"/>
      <c r="B469" s="24"/>
      <c r="C469" s="25"/>
      <c r="D469" s="26"/>
      <c r="E469" s="26"/>
      <c r="F469" s="26"/>
      <c r="G469" s="27"/>
      <c r="H469" s="27"/>
      <c r="I469" s="27"/>
      <c r="J469" s="27"/>
      <c r="K469" s="23"/>
      <c r="L469" s="23"/>
    </row>
    <row r="470" ht="15.75" customHeight="1">
      <c r="A470" s="23"/>
      <c r="B470" s="24"/>
      <c r="C470" s="25"/>
      <c r="D470" s="26"/>
      <c r="E470" s="26"/>
      <c r="F470" s="26"/>
      <c r="G470" s="27"/>
      <c r="H470" s="27"/>
      <c r="I470" s="27"/>
      <c r="J470" s="27"/>
      <c r="K470" s="23"/>
      <c r="L470" s="23"/>
    </row>
    <row r="471" ht="15.75" customHeight="1">
      <c r="A471" s="23"/>
      <c r="B471" s="24"/>
      <c r="C471" s="25"/>
      <c r="D471" s="26"/>
      <c r="E471" s="26"/>
      <c r="F471" s="26"/>
      <c r="G471" s="27"/>
      <c r="H471" s="27"/>
      <c r="I471" s="27"/>
      <c r="J471" s="27"/>
      <c r="K471" s="23"/>
      <c r="L471" s="23"/>
    </row>
    <row r="472" ht="15.75" customHeight="1">
      <c r="A472" s="23"/>
      <c r="B472" s="24"/>
      <c r="C472" s="25"/>
      <c r="D472" s="26"/>
      <c r="E472" s="26"/>
      <c r="F472" s="26"/>
      <c r="G472" s="27"/>
      <c r="H472" s="27"/>
      <c r="I472" s="27"/>
      <c r="J472" s="27"/>
      <c r="K472" s="23"/>
      <c r="L472" s="23"/>
    </row>
    <row r="473" ht="15.75" customHeight="1">
      <c r="A473" s="23"/>
      <c r="B473" s="24"/>
      <c r="C473" s="25"/>
      <c r="D473" s="26"/>
      <c r="E473" s="26"/>
      <c r="F473" s="26"/>
      <c r="G473" s="27"/>
      <c r="H473" s="27"/>
      <c r="I473" s="27"/>
      <c r="J473" s="27"/>
      <c r="K473" s="23"/>
      <c r="L473" s="23"/>
    </row>
    <row r="474" ht="15.75" customHeight="1">
      <c r="A474" s="23"/>
      <c r="B474" s="24"/>
      <c r="C474" s="25"/>
      <c r="D474" s="26"/>
      <c r="E474" s="26"/>
      <c r="F474" s="26"/>
      <c r="G474" s="27"/>
      <c r="H474" s="27"/>
      <c r="I474" s="27"/>
      <c r="J474" s="27"/>
      <c r="K474" s="23"/>
      <c r="L474" s="23"/>
    </row>
    <row r="475" ht="15.75" customHeight="1">
      <c r="A475" s="23"/>
      <c r="B475" s="24"/>
      <c r="C475" s="25"/>
      <c r="D475" s="26"/>
      <c r="E475" s="26"/>
      <c r="F475" s="26"/>
      <c r="G475" s="27"/>
      <c r="H475" s="27"/>
      <c r="I475" s="27"/>
      <c r="J475" s="27"/>
      <c r="K475" s="23"/>
      <c r="L475" s="23"/>
    </row>
    <row r="476" ht="15.75" customHeight="1">
      <c r="A476" s="23"/>
      <c r="B476" s="24"/>
      <c r="C476" s="25"/>
      <c r="D476" s="26"/>
      <c r="E476" s="26"/>
      <c r="F476" s="26"/>
      <c r="G476" s="27"/>
      <c r="H476" s="27"/>
      <c r="I476" s="27"/>
      <c r="J476" s="27"/>
      <c r="K476" s="23"/>
      <c r="L476" s="23"/>
    </row>
    <row r="477" ht="15.75" customHeight="1">
      <c r="A477" s="23"/>
      <c r="B477" s="24"/>
      <c r="C477" s="25"/>
      <c r="D477" s="26"/>
      <c r="E477" s="26"/>
      <c r="F477" s="26"/>
      <c r="G477" s="27"/>
      <c r="H477" s="27"/>
      <c r="I477" s="27"/>
      <c r="J477" s="27"/>
      <c r="K477" s="23"/>
      <c r="L477" s="23"/>
    </row>
    <row r="478" ht="15.75" customHeight="1">
      <c r="A478" s="23"/>
      <c r="B478" s="24"/>
      <c r="C478" s="25"/>
      <c r="D478" s="26"/>
      <c r="E478" s="26"/>
      <c r="F478" s="26"/>
      <c r="G478" s="27"/>
      <c r="H478" s="27"/>
      <c r="I478" s="27"/>
      <c r="J478" s="27"/>
      <c r="K478" s="23"/>
      <c r="L478" s="23"/>
    </row>
    <row r="479" ht="15.75" customHeight="1">
      <c r="A479" s="23"/>
      <c r="B479" s="24"/>
      <c r="C479" s="25"/>
      <c r="D479" s="26"/>
      <c r="E479" s="26"/>
      <c r="F479" s="26"/>
      <c r="G479" s="27"/>
      <c r="H479" s="27"/>
      <c r="I479" s="27"/>
      <c r="J479" s="27"/>
      <c r="K479" s="23"/>
      <c r="L479" s="23"/>
    </row>
    <row r="480" ht="15.75" customHeight="1">
      <c r="A480" s="23"/>
      <c r="B480" s="24"/>
      <c r="C480" s="25"/>
      <c r="D480" s="26"/>
      <c r="E480" s="26"/>
      <c r="F480" s="26"/>
      <c r="G480" s="27"/>
      <c r="H480" s="27"/>
      <c r="I480" s="27"/>
      <c r="J480" s="27"/>
      <c r="K480" s="23"/>
      <c r="L480" s="23"/>
    </row>
    <row r="481" ht="15.75" customHeight="1">
      <c r="A481" s="23"/>
      <c r="B481" s="24"/>
      <c r="C481" s="25"/>
      <c r="D481" s="26"/>
      <c r="E481" s="26"/>
      <c r="F481" s="26"/>
      <c r="G481" s="27"/>
      <c r="H481" s="27"/>
      <c r="I481" s="27"/>
      <c r="J481" s="27"/>
      <c r="K481" s="23"/>
      <c r="L481" s="23"/>
    </row>
    <row r="482" ht="15.75" customHeight="1">
      <c r="A482" s="23"/>
      <c r="B482" s="24"/>
      <c r="C482" s="25"/>
      <c r="D482" s="26"/>
      <c r="E482" s="26"/>
      <c r="F482" s="26"/>
      <c r="G482" s="27"/>
      <c r="H482" s="27"/>
      <c r="I482" s="27"/>
      <c r="J482" s="27"/>
      <c r="K482" s="23"/>
      <c r="L482" s="23"/>
    </row>
    <row r="483" ht="15.75" customHeight="1">
      <c r="A483" s="23"/>
      <c r="B483" s="24"/>
      <c r="C483" s="25"/>
      <c r="D483" s="26"/>
      <c r="E483" s="26"/>
      <c r="F483" s="26"/>
      <c r="G483" s="27"/>
      <c r="H483" s="27"/>
      <c r="I483" s="27"/>
      <c r="J483" s="27"/>
      <c r="K483" s="23"/>
      <c r="L483" s="23"/>
    </row>
    <row r="484" ht="15.75" customHeight="1">
      <c r="A484" s="23"/>
      <c r="B484" s="24"/>
      <c r="C484" s="25"/>
      <c r="D484" s="26"/>
      <c r="E484" s="26"/>
      <c r="F484" s="26"/>
      <c r="G484" s="27"/>
      <c r="H484" s="27"/>
      <c r="I484" s="27"/>
      <c r="J484" s="27"/>
      <c r="K484" s="23"/>
      <c r="L484" s="23"/>
    </row>
    <row r="485" ht="15.75" customHeight="1">
      <c r="A485" s="23"/>
      <c r="B485" s="24"/>
      <c r="C485" s="25"/>
      <c r="D485" s="26"/>
      <c r="E485" s="26"/>
      <c r="F485" s="26"/>
      <c r="G485" s="27"/>
      <c r="H485" s="27"/>
      <c r="I485" s="27"/>
      <c r="J485" s="27"/>
      <c r="K485" s="23"/>
      <c r="L485" s="23"/>
    </row>
    <row r="486" ht="15.75" customHeight="1">
      <c r="A486" s="23"/>
      <c r="B486" s="24"/>
      <c r="C486" s="25"/>
      <c r="D486" s="26"/>
      <c r="E486" s="26"/>
      <c r="F486" s="26"/>
      <c r="G486" s="27"/>
      <c r="H486" s="27"/>
      <c r="I486" s="27"/>
      <c r="J486" s="27"/>
      <c r="K486" s="23"/>
      <c r="L486" s="23"/>
    </row>
    <row r="487" ht="15.75" customHeight="1">
      <c r="A487" s="23"/>
      <c r="B487" s="24"/>
      <c r="C487" s="25"/>
      <c r="D487" s="26"/>
      <c r="E487" s="26"/>
      <c r="F487" s="26"/>
      <c r="G487" s="27"/>
      <c r="H487" s="27"/>
      <c r="I487" s="27"/>
      <c r="J487" s="27"/>
      <c r="K487" s="23"/>
      <c r="L487" s="23"/>
    </row>
    <row r="488" ht="15.75" customHeight="1">
      <c r="A488" s="23"/>
      <c r="B488" s="24"/>
      <c r="C488" s="25"/>
      <c r="D488" s="26"/>
      <c r="E488" s="26"/>
      <c r="F488" s="26"/>
      <c r="G488" s="27"/>
      <c r="H488" s="27"/>
      <c r="I488" s="27"/>
      <c r="J488" s="27"/>
      <c r="K488" s="23"/>
      <c r="L488" s="23"/>
    </row>
    <row r="489" ht="15.75" customHeight="1">
      <c r="A489" s="23"/>
      <c r="B489" s="24"/>
      <c r="C489" s="25"/>
      <c r="D489" s="26"/>
      <c r="E489" s="26"/>
      <c r="F489" s="26"/>
      <c r="G489" s="27"/>
      <c r="H489" s="27"/>
      <c r="I489" s="27"/>
      <c r="J489" s="27"/>
      <c r="K489" s="23"/>
      <c r="L489" s="23"/>
    </row>
    <row r="490" ht="15.75" customHeight="1">
      <c r="A490" s="23"/>
      <c r="B490" s="24"/>
      <c r="C490" s="25"/>
      <c r="D490" s="26"/>
      <c r="E490" s="26"/>
      <c r="F490" s="26"/>
      <c r="G490" s="27"/>
      <c r="H490" s="27"/>
      <c r="I490" s="27"/>
      <c r="J490" s="27"/>
      <c r="K490" s="23"/>
      <c r="L490" s="23"/>
    </row>
    <row r="491" ht="15.75" customHeight="1">
      <c r="A491" s="23"/>
      <c r="B491" s="24"/>
      <c r="C491" s="25"/>
      <c r="D491" s="26"/>
      <c r="E491" s="26"/>
      <c r="F491" s="26"/>
      <c r="G491" s="27"/>
      <c r="H491" s="27"/>
      <c r="I491" s="27"/>
      <c r="J491" s="27"/>
      <c r="K491" s="23"/>
      <c r="L491" s="23"/>
    </row>
    <row r="492" ht="15.75" customHeight="1">
      <c r="A492" s="23"/>
      <c r="B492" s="24"/>
      <c r="C492" s="25"/>
      <c r="D492" s="26"/>
      <c r="E492" s="26"/>
      <c r="F492" s="26"/>
      <c r="G492" s="27"/>
      <c r="H492" s="27"/>
      <c r="I492" s="27"/>
      <c r="J492" s="27"/>
      <c r="K492" s="23"/>
      <c r="L492" s="23"/>
    </row>
    <row r="493" ht="15.75" customHeight="1">
      <c r="A493" s="23"/>
      <c r="B493" s="24"/>
      <c r="C493" s="25"/>
      <c r="D493" s="26"/>
      <c r="E493" s="26"/>
      <c r="F493" s="26"/>
      <c r="G493" s="27"/>
      <c r="H493" s="27"/>
      <c r="I493" s="27"/>
      <c r="J493" s="27"/>
      <c r="K493" s="23"/>
      <c r="L493" s="23"/>
    </row>
    <row r="494" ht="15.75" customHeight="1">
      <c r="A494" s="23"/>
      <c r="B494" s="24"/>
      <c r="C494" s="25"/>
      <c r="D494" s="26"/>
      <c r="E494" s="26"/>
      <c r="F494" s="26"/>
      <c r="G494" s="27"/>
      <c r="H494" s="27"/>
      <c r="I494" s="27"/>
      <c r="J494" s="27"/>
      <c r="K494" s="23"/>
      <c r="L494" s="23"/>
    </row>
    <row r="495" ht="15.75" customHeight="1">
      <c r="A495" s="23"/>
      <c r="B495" s="24"/>
      <c r="C495" s="25"/>
      <c r="D495" s="26"/>
      <c r="E495" s="26"/>
      <c r="F495" s="26"/>
      <c r="G495" s="27"/>
      <c r="H495" s="27"/>
      <c r="I495" s="27"/>
      <c r="J495" s="27"/>
      <c r="K495" s="23"/>
      <c r="L495" s="23"/>
    </row>
    <row r="496" ht="15.75" customHeight="1">
      <c r="A496" s="23"/>
      <c r="B496" s="24"/>
      <c r="C496" s="25"/>
      <c r="D496" s="26"/>
      <c r="E496" s="26"/>
      <c r="F496" s="26"/>
      <c r="G496" s="27"/>
      <c r="H496" s="27"/>
      <c r="I496" s="27"/>
      <c r="J496" s="27"/>
      <c r="K496" s="23"/>
      <c r="L496" s="23"/>
    </row>
    <row r="497" ht="15.75" customHeight="1">
      <c r="A497" s="23"/>
      <c r="B497" s="24"/>
      <c r="C497" s="25"/>
      <c r="D497" s="26"/>
      <c r="E497" s="26"/>
      <c r="F497" s="26"/>
      <c r="G497" s="27"/>
      <c r="H497" s="27"/>
      <c r="I497" s="27"/>
      <c r="J497" s="27"/>
      <c r="K497" s="23"/>
      <c r="L497" s="23"/>
    </row>
    <row r="498" ht="15.75" customHeight="1">
      <c r="A498" s="23"/>
      <c r="B498" s="24"/>
      <c r="C498" s="25"/>
      <c r="D498" s="26"/>
      <c r="E498" s="26"/>
      <c r="F498" s="26"/>
      <c r="G498" s="27"/>
      <c r="H498" s="27"/>
      <c r="I498" s="27"/>
      <c r="J498" s="27"/>
      <c r="K498" s="23"/>
      <c r="L498" s="23"/>
    </row>
    <row r="499" ht="15.75" customHeight="1">
      <c r="A499" s="23"/>
      <c r="B499" s="24"/>
      <c r="C499" s="25"/>
      <c r="D499" s="26"/>
      <c r="E499" s="26"/>
      <c r="F499" s="26"/>
      <c r="G499" s="27"/>
      <c r="H499" s="27"/>
      <c r="I499" s="27"/>
      <c r="J499" s="27"/>
      <c r="K499" s="23"/>
      <c r="L499" s="23"/>
    </row>
    <row r="500" ht="15.75" customHeight="1">
      <c r="A500" s="23"/>
      <c r="B500" s="24"/>
      <c r="C500" s="25"/>
      <c r="D500" s="26"/>
      <c r="E500" s="26"/>
      <c r="F500" s="26"/>
      <c r="G500" s="27"/>
      <c r="H500" s="27"/>
      <c r="I500" s="27"/>
      <c r="J500" s="27"/>
      <c r="K500" s="23"/>
      <c r="L500" s="23"/>
    </row>
    <row r="501" ht="15.75" customHeight="1">
      <c r="A501" s="23"/>
      <c r="B501" s="24"/>
      <c r="C501" s="25"/>
      <c r="D501" s="26"/>
      <c r="E501" s="26"/>
      <c r="F501" s="26"/>
      <c r="G501" s="27"/>
      <c r="H501" s="27"/>
      <c r="I501" s="27"/>
      <c r="J501" s="27"/>
      <c r="K501" s="23"/>
      <c r="L501" s="23"/>
    </row>
    <row r="502" ht="15.75" customHeight="1">
      <c r="A502" s="23"/>
      <c r="B502" s="24"/>
      <c r="C502" s="25"/>
      <c r="D502" s="26"/>
      <c r="E502" s="26"/>
      <c r="F502" s="26"/>
      <c r="G502" s="27"/>
      <c r="H502" s="27"/>
      <c r="I502" s="27"/>
      <c r="J502" s="27"/>
      <c r="K502" s="23"/>
      <c r="L502" s="23"/>
    </row>
    <row r="503" ht="15.75" customHeight="1">
      <c r="A503" s="23"/>
      <c r="B503" s="24"/>
      <c r="C503" s="25"/>
      <c r="D503" s="26"/>
      <c r="E503" s="26"/>
      <c r="F503" s="26"/>
      <c r="G503" s="27"/>
      <c r="H503" s="27"/>
      <c r="I503" s="27"/>
      <c r="J503" s="27"/>
      <c r="K503" s="23"/>
      <c r="L503" s="23"/>
    </row>
    <row r="504" ht="15.75" customHeight="1">
      <c r="A504" s="23"/>
      <c r="B504" s="24"/>
      <c r="C504" s="25"/>
      <c r="D504" s="26"/>
      <c r="E504" s="26"/>
      <c r="F504" s="26"/>
      <c r="G504" s="27"/>
      <c r="H504" s="27"/>
      <c r="I504" s="27"/>
      <c r="J504" s="27"/>
      <c r="K504" s="23"/>
      <c r="L504" s="23"/>
    </row>
    <row r="505" ht="15.75" customHeight="1">
      <c r="A505" s="23"/>
      <c r="B505" s="24"/>
      <c r="C505" s="25"/>
      <c r="D505" s="26"/>
      <c r="E505" s="26"/>
      <c r="F505" s="26"/>
      <c r="G505" s="27"/>
      <c r="H505" s="27"/>
      <c r="I505" s="27"/>
      <c r="J505" s="27"/>
      <c r="K505" s="23"/>
      <c r="L505" s="23"/>
    </row>
    <row r="506" ht="15.75" customHeight="1">
      <c r="A506" s="23"/>
      <c r="B506" s="24"/>
      <c r="C506" s="25"/>
      <c r="D506" s="26"/>
      <c r="E506" s="26"/>
      <c r="F506" s="26"/>
      <c r="G506" s="27"/>
      <c r="H506" s="27"/>
      <c r="I506" s="27"/>
      <c r="J506" s="27"/>
      <c r="K506" s="23"/>
      <c r="L506" s="23"/>
    </row>
    <row r="507" ht="15.75" customHeight="1">
      <c r="A507" s="23"/>
      <c r="B507" s="24"/>
      <c r="C507" s="25"/>
      <c r="D507" s="26"/>
      <c r="E507" s="26"/>
      <c r="F507" s="26"/>
      <c r="G507" s="27"/>
      <c r="H507" s="27"/>
      <c r="I507" s="27"/>
      <c r="J507" s="27"/>
      <c r="K507" s="23"/>
      <c r="L507" s="23"/>
    </row>
    <row r="508" ht="15.75" customHeight="1">
      <c r="A508" s="23"/>
      <c r="B508" s="24"/>
      <c r="C508" s="25"/>
      <c r="D508" s="26"/>
      <c r="E508" s="26"/>
      <c r="F508" s="26"/>
      <c r="G508" s="27"/>
      <c r="H508" s="27"/>
      <c r="I508" s="27"/>
      <c r="J508" s="27"/>
      <c r="K508" s="23"/>
      <c r="L508" s="23"/>
    </row>
    <row r="509" ht="15.75" customHeight="1">
      <c r="A509" s="23"/>
      <c r="B509" s="24"/>
      <c r="C509" s="25"/>
      <c r="D509" s="26"/>
      <c r="E509" s="26"/>
      <c r="F509" s="26"/>
      <c r="G509" s="27"/>
      <c r="H509" s="27"/>
      <c r="I509" s="27"/>
      <c r="J509" s="27"/>
      <c r="K509" s="23"/>
      <c r="L509" s="23"/>
    </row>
    <row r="510" ht="15.75" customHeight="1">
      <c r="A510" s="23"/>
      <c r="B510" s="24"/>
      <c r="C510" s="25"/>
      <c r="D510" s="26"/>
      <c r="E510" s="26"/>
      <c r="F510" s="26"/>
      <c r="G510" s="27"/>
      <c r="H510" s="27"/>
      <c r="I510" s="27"/>
      <c r="J510" s="27"/>
      <c r="K510" s="23"/>
      <c r="L510" s="23"/>
    </row>
    <row r="511" ht="15.75" customHeight="1">
      <c r="A511" s="23"/>
      <c r="B511" s="24"/>
      <c r="C511" s="25"/>
      <c r="D511" s="26"/>
      <c r="E511" s="26"/>
      <c r="F511" s="26"/>
      <c r="G511" s="27"/>
      <c r="H511" s="27"/>
      <c r="I511" s="27"/>
      <c r="J511" s="27"/>
      <c r="K511" s="23"/>
      <c r="L511" s="23"/>
    </row>
    <row r="512" ht="15.75" customHeight="1">
      <c r="A512" s="23"/>
      <c r="B512" s="24"/>
      <c r="C512" s="25"/>
      <c r="D512" s="26"/>
      <c r="E512" s="26"/>
      <c r="F512" s="26"/>
      <c r="G512" s="27"/>
      <c r="H512" s="27"/>
      <c r="I512" s="27"/>
      <c r="J512" s="27"/>
      <c r="K512" s="23"/>
      <c r="L512" s="23"/>
    </row>
    <row r="513" ht="15.75" customHeight="1">
      <c r="A513" s="23"/>
      <c r="B513" s="24"/>
      <c r="C513" s="25"/>
      <c r="D513" s="26"/>
      <c r="E513" s="26"/>
      <c r="F513" s="26"/>
      <c r="G513" s="27"/>
      <c r="H513" s="27"/>
      <c r="I513" s="27"/>
      <c r="J513" s="27"/>
      <c r="K513" s="23"/>
      <c r="L513" s="23"/>
    </row>
    <row r="514" ht="15.75" customHeight="1">
      <c r="A514" s="23"/>
      <c r="B514" s="24"/>
      <c r="C514" s="25"/>
      <c r="D514" s="26"/>
      <c r="E514" s="26"/>
      <c r="F514" s="26"/>
      <c r="G514" s="27"/>
      <c r="H514" s="27"/>
      <c r="I514" s="27"/>
      <c r="J514" s="27"/>
      <c r="K514" s="23"/>
      <c r="L514" s="23"/>
    </row>
    <row r="515" ht="15.75" customHeight="1">
      <c r="A515" s="23"/>
      <c r="B515" s="24"/>
      <c r="C515" s="25"/>
      <c r="D515" s="26"/>
      <c r="E515" s="26"/>
      <c r="F515" s="26"/>
      <c r="G515" s="27"/>
      <c r="H515" s="27"/>
      <c r="I515" s="27"/>
      <c r="J515" s="27"/>
      <c r="K515" s="23"/>
      <c r="L515" s="23"/>
    </row>
    <row r="516" ht="15.75" customHeight="1">
      <c r="A516" s="23"/>
      <c r="B516" s="24"/>
      <c r="C516" s="25"/>
      <c r="D516" s="26"/>
      <c r="E516" s="26"/>
      <c r="F516" s="26"/>
      <c r="G516" s="27"/>
      <c r="H516" s="27"/>
      <c r="I516" s="27"/>
      <c r="J516" s="27"/>
      <c r="K516" s="23"/>
      <c r="L516" s="23"/>
    </row>
    <row r="517" ht="15.75" customHeight="1">
      <c r="A517" s="23"/>
      <c r="B517" s="24"/>
      <c r="C517" s="25"/>
      <c r="D517" s="26"/>
      <c r="E517" s="26"/>
      <c r="F517" s="26"/>
      <c r="G517" s="27"/>
      <c r="H517" s="27"/>
      <c r="I517" s="27"/>
      <c r="J517" s="27"/>
      <c r="K517" s="23"/>
      <c r="L517" s="23"/>
    </row>
    <row r="518" ht="15.75" customHeight="1">
      <c r="A518" s="23"/>
      <c r="B518" s="24"/>
      <c r="C518" s="25"/>
      <c r="D518" s="26"/>
      <c r="E518" s="26"/>
      <c r="F518" s="26"/>
      <c r="G518" s="27"/>
      <c r="H518" s="27"/>
      <c r="I518" s="27"/>
      <c r="J518" s="27"/>
      <c r="K518" s="23"/>
      <c r="L518" s="23"/>
    </row>
    <row r="519" ht="15.75" customHeight="1">
      <c r="A519" s="23"/>
      <c r="B519" s="24"/>
      <c r="C519" s="25"/>
      <c r="D519" s="26"/>
      <c r="E519" s="26"/>
      <c r="F519" s="26"/>
      <c r="G519" s="27"/>
      <c r="H519" s="27"/>
      <c r="I519" s="27"/>
      <c r="J519" s="27"/>
      <c r="K519" s="23"/>
      <c r="L519" s="23"/>
    </row>
    <row r="520" ht="15.75" customHeight="1">
      <c r="A520" s="23"/>
      <c r="B520" s="24"/>
      <c r="C520" s="25"/>
      <c r="D520" s="26"/>
      <c r="E520" s="26"/>
      <c r="F520" s="26"/>
      <c r="G520" s="27"/>
      <c r="H520" s="27"/>
      <c r="I520" s="27"/>
      <c r="J520" s="27"/>
      <c r="K520" s="23"/>
      <c r="L520" s="23"/>
    </row>
    <row r="521" ht="15.75" customHeight="1">
      <c r="A521" s="23"/>
      <c r="B521" s="24"/>
      <c r="C521" s="25"/>
      <c r="D521" s="26"/>
      <c r="E521" s="26"/>
      <c r="F521" s="26"/>
      <c r="G521" s="27"/>
      <c r="H521" s="27"/>
      <c r="I521" s="27"/>
      <c r="J521" s="27"/>
      <c r="K521" s="23"/>
      <c r="L521" s="23"/>
    </row>
    <row r="522" ht="15.75" customHeight="1">
      <c r="A522" s="23"/>
      <c r="B522" s="24"/>
      <c r="C522" s="25"/>
      <c r="D522" s="26"/>
      <c r="E522" s="26"/>
      <c r="F522" s="26"/>
      <c r="G522" s="27"/>
      <c r="H522" s="27"/>
      <c r="I522" s="27"/>
      <c r="J522" s="27"/>
      <c r="K522" s="23"/>
      <c r="L522" s="23"/>
    </row>
    <row r="523" ht="15.75" customHeight="1">
      <c r="A523" s="23"/>
      <c r="B523" s="24"/>
      <c r="C523" s="25"/>
      <c r="D523" s="26"/>
      <c r="E523" s="26"/>
      <c r="F523" s="26"/>
      <c r="G523" s="27"/>
      <c r="H523" s="27"/>
      <c r="I523" s="27"/>
      <c r="J523" s="27"/>
      <c r="K523" s="23"/>
      <c r="L523" s="23"/>
    </row>
    <row r="524" ht="15.75" customHeight="1">
      <c r="A524" s="23"/>
      <c r="B524" s="24"/>
      <c r="C524" s="25"/>
      <c r="D524" s="26"/>
      <c r="E524" s="26"/>
      <c r="F524" s="26"/>
      <c r="G524" s="27"/>
      <c r="H524" s="27"/>
      <c r="I524" s="27"/>
      <c r="J524" s="27"/>
      <c r="K524" s="23"/>
      <c r="L524" s="23"/>
    </row>
    <row r="525" ht="15.75" customHeight="1">
      <c r="A525" s="23"/>
      <c r="B525" s="24"/>
      <c r="C525" s="25"/>
      <c r="D525" s="26"/>
      <c r="E525" s="26"/>
      <c r="F525" s="26"/>
      <c r="G525" s="27"/>
      <c r="H525" s="27"/>
      <c r="I525" s="27"/>
      <c r="J525" s="27"/>
      <c r="K525" s="23"/>
      <c r="L525" s="23"/>
    </row>
    <row r="526" ht="15.75" customHeight="1">
      <c r="A526" s="23"/>
      <c r="B526" s="24"/>
      <c r="C526" s="25"/>
      <c r="D526" s="26"/>
      <c r="E526" s="26"/>
      <c r="F526" s="26"/>
      <c r="G526" s="27"/>
      <c r="H526" s="27"/>
      <c r="I526" s="27"/>
      <c r="J526" s="27"/>
      <c r="K526" s="23"/>
      <c r="L526" s="23"/>
    </row>
    <row r="527" ht="15.75" customHeight="1">
      <c r="A527" s="23"/>
      <c r="B527" s="24"/>
      <c r="C527" s="25"/>
      <c r="D527" s="26"/>
      <c r="E527" s="26"/>
      <c r="F527" s="26"/>
      <c r="G527" s="27"/>
      <c r="H527" s="27"/>
      <c r="I527" s="27"/>
      <c r="J527" s="27"/>
      <c r="K527" s="23"/>
      <c r="L527" s="23"/>
    </row>
    <row r="528" ht="15.75" customHeight="1">
      <c r="A528" s="23"/>
      <c r="B528" s="24"/>
      <c r="C528" s="25"/>
      <c r="D528" s="26"/>
      <c r="E528" s="26"/>
      <c r="F528" s="26"/>
      <c r="G528" s="27"/>
      <c r="H528" s="27"/>
      <c r="I528" s="27"/>
      <c r="J528" s="27"/>
      <c r="K528" s="23"/>
      <c r="L528" s="23"/>
    </row>
    <row r="529" ht="15.75" customHeight="1">
      <c r="A529" s="23"/>
      <c r="B529" s="24"/>
      <c r="C529" s="25"/>
      <c r="D529" s="26"/>
      <c r="E529" s="26"/>
      <c r="F529" s="26"/>
      <c r="G529" s="27"/>
      <c r="H529" s="27"/>
      <c r="I529" s="27"/>
      <c r="J529" s="27"/>
      <c r="K529" s="23"/>
      <c r="L529" s="23"/>
    </row>
    <row r="530" ht="15.75" customHeight="1">
      <c r="A530" s="23"/>
      <c r="B530" s="24"/>
      <c r="C530" s="25"/>
      <c r="D530" s="26"/>
      <c r="E530" s="26"/>
      <c r="F530" s="26"/>
      <c r="G530" s="27"/>
      <c r="H530" s="27"/>
      <c r="I530" s="27"/>
      <c r="J530" s="27"/>
      <c r="K530" s="23"/>
      <c r="L530" s="23"/>
    </row>
    <row r="531" ht="15.75" customHeight="1">
      <c r="A531" s="23"/>
      <c r="B531" s="24"/>
      <c r="C531" s="25"/>
      <c r="D531" s="26"/>
      <c r="E531" s="26"/>
      <c r="F531" s="26"/>
      <c r="G531" s="27"/>
      <c r="H531" s="27"/>
      <c r="I531" s="27"/>
      <c r="J531" s="27"/>
      <c r="K531" s="23"/>
      <c r="L531" s="23"/>
    </row>
    <row r="532" ht="15.75" customHeight="1">
      <c r="A532" s="23"/>
      <c r="B532" s="24"/>
      <c r="C532" s="25"/>
      <c r="D532" s="26"/>
      <c r="E532" s="26"/>
      <c r="F532" s="26"/>
      <c r="G532" s="27"/>
      <c r="H532" s="27"/>
      <c r="I532" s="27"/>
      <c r="J532" s="27"/>
      <c r="K532" s="23"/>
      <c r="L532" s="23"/>
    </row>
    <row r="533" ht="15.75" customHeight="1">
      <c r="A533" s="23"/>
      <c r="B533" s="24"/>
      <c r="C533" s="25"/>
      <c r="D533" s="26"/>
      <c r="E533" s="26"/>
      <c r="F533" s="26"/>
      <c r="G533" s="27"/>
      <c r="H533" s="27"/>
      <c r="I533" s="27"/>
      <c r="J533" s="27"/>
      <c r="K533" s="23"/>
      <c r="L533" s="23"/>
    </row>
    <row r="534" ht="15.75" customHeight="1">
      <c r="A534" s="23"/>
      <c r="B534" s="24"/>
      <c r="C534" s="25"/>
      <c r="D534" s="26"/>
      <c r="E534" s="26"/>
      <c r="F534" s="26"/>
      <c r="G534" s="27"/>
      <c r="H534" s="27"/>
      <c r="I534" s="27"/>
      <c r="J534" s="27"/>
      <c r="K534" s="23"/>
      <c r="L534" s="23"/>
    </row>
    <row r="535" ht="15.75" customHeight="1">
      <c r="A535" s="23"/>
      <c r="B535" s="24"/>
      <c r="C535" s="25"/>
      <c r="D535" s="26"/>
      <c r="E535" s="26"/>
      <c r="F535" s="26"/>
      <c r="G535" s="27"/>
      <c r="H535" s="27"/>
      <c r="I535" s="27"/>
      <c r="J535" s="27"/>
      <c r="K535" s="23"/>
      <c r="L535" s="23"/>
    </row>
    <row r="536" ht="15.75" customHeight="1">
      <c r="A536" s="23"/>
      <c r="B536" s="24"/>
      <c r="C536" s="25"/>
      <c r="D536" s="26"/>
      <c r="E536" s="26"/>
      <c r="F536" s="26"/>
      <c r="G536" s="27"/>
      <c r="H536" s="27"/>
      <c r="I536" s="27"/>
      <c r="J536" s="27"/>
      <c r="K536" s="23"/>
      <c r="L536" s="23"/>
    </row>
    <row r="537" ht="15.75" customHeight="1">
      <c r="A537" s="23"/>
      <c r="B537" s="24"/>
      <c r="C537" s="25"/>
      <c r="D537" s="26"/>
      <c r="E537" s="26"/>
      <c r="F537" s="26"/>
      <c r="G537" s="27"/>
      <c r="H537" s="27"/>
      <c r="I537" s="27"/>
      <c r="J537" s="27"/>
      <c r="K537" s="23"/>
      <c r="L537" s="23"/>
    </row>
    <row r="538" ht="15.75" customHeight="1">
      <c r="A538" s="23"/>
      <c r="B538" s="24"/>
      <c r="C538" s="25"/>
      <c r="D538" s="26"/>
      <c r="E538" s="26"/>
      <c r="F538" s="26"/>
      <c r="G538" s="27"/>
      <c r="H538" s="27"/>
      <c r="I538" s="27"/>
      <c r="J538" s="27"/>
      <c r="K538" s="23"/>
      <c r="L538" s="23"/>
    </row>
    <row r="539" ht="15.75" customHeight="1">
      <c r="A539" s="23"/>
      <c r="B539" s="24"/>
      <c r="C539" s="25"/>
      <c r="D539" s="26"/>
      <c r="E539" s="26"/>
      <c r="F539" s="26"/>
      <c r="G539" s="27"/>
      <c r="H539" s="27"/>
      <c r="I539" s="27"/>
      <c r="J539" s="27"/>
      <c r="K539" s="23"/>
      <c r="L539" s="23"/>
    </row>
    <row r="540" ht="15.75" customHeight="1">
      <c r="A540" s="23"/>
      <c r="B540" s="24"/>
      <c r="C540" s="25"/>
      <c r="D540" s="26"/>
      <c r="E540" s="26"/>
      <c r="F540" s="26"/>
      <c r="G540" s="27"/>
      <c r="H540" s="27"/>
      <c r="I540" s="27"/>
      <c r="J540" s="27"/>
      <c r="K540" s="23"/>
      <c r="L540" s="23"/>
    </row>
    <row r="541" ht="15.75" customHeight="1">
      <c r="A541" s="23"/>
      <c r="B541" s="24"/>
      <c r="C541" s="25"/>
      <c r="D541" s="26"/>
      <c r="E541" s="26"/>
      <c r="F541" s="26"/>
      <c r="G541" s="27"/>
      <c r="H541" s="27"/>
      <c r="I541" s="27"/>
      <c r="J541" s="27"/>
      <c r="K541" s="23"/>
      <c r="L541" s="23"/>
    </row>
    <row r="542" ht="15.75" customHeight="1">
      <c r="A542" s="23"/>
      <c r="B542" s="24"/>
      <c r="C542" s="25"/>
      <c r="D542" s="26"/>
      <c r="E542" s="26"/>
      <c r="F542" s="26"/>
      <c r="G542" s="27"/>
      <c r="H542" s="27"/>
      <c r="I542" s="27"/>
      <c r="J542" s="27"/>
      <c r="K542" s="23"/>
      <c r="L542" s="23"/>
    </row>
    <row r="543" ht="15.75" customHeight="1">
      <c r="A543" s="23"/>
      <c r="B543" s="24"/>
      <c r="C543" s="25"/>
      <c r="D543" s="26"/>
      <c r="E543" s="26"/>
      <c r="F543" s="26"/>
      <c r="G543" s="27"/>
      <c r="H543" s="27"/>
      <c r="I543" s="27"/>
      <c r="J543" s="27"/>
      <c r="K543" s="23"/>
      <c r="L543" s="23"/>
    </row>
    <row r="544" ht="15.75" customHeight="1">
      <c r="A544" s="23"/>
      <c r="B544" s="24"/>
      <c r="C544" s="25"/>
      <c r="D544" s="26"/>
      <c r="E544" s="26"/>
      <c r="F544" s="26"/>
      <c r="G544" s="27"/>
      <c r="H544" s="27"/>
      <c r="I544" s="27"/>
      <c r="J544" s="27"/>
      <c r="K544" s="23"/>
      <c r="L544" s="23"/>
    </row>
    <row r="545" ht="15.75" customHeight="1">
      <c r="A545" s="23"/>
      <c r="B545" s="24"/>
      <c r="C545" s="25"/>
      <c r="D545" s="26"/>
      <c r="E545" s="26"/>
      <c r="F545" s="26"/>
      <c r="G545" s="27"/>
      <c r="H545" s="27"/>
      <c r="I545" s="27"/>
      <c r="J545" s="27"/>
      <c r="K545" s="23"/>
      <c r="L545" s="23"/>
    </row>
    <row r="546" ht="15.75" customHeight="1">
      <c r="A546" s="23"/>
      <c r="B546" s="24"/>
      <c r="C546" s="25"/>
      <c r="D546" s="26"/>
      <c r="E546" s="26"/>
      <c r="F546" s="26"/>
      <c r="G546" s="27"/>
      <c r="H546" s="27"/>
      <c r="I546" s="27"/>
      <c r="J546" s="27"/>
      <c r="K546" s="23"/>
      <c r="L546" s="23"/>
    </row>
    <row r="547" ht="15.75" customHeight="1">
      <c r="A547" s="23"/>
      <c r="B547" s="24"/>
      <c r="C547" s="25"/>
      <c r="D547" s="26"/>
      <c r="E547" s="26"/>
      <c r="F547" s="26"/>
      <c r="G547" s="27"/>
      <c r="H547" s="27"/>
      <c r="I547" s="27"/>
      <c r="J547" s="27"/>
      <c r="K547" s="23"/>
      <c r="L547" s="23"/>
    </row>
    <row r="548" ht="15.75" customHeight="1">
      <c r="A548" s="23"/>
      <c r="B548" s="24"/>
      <c r="C548" s="25"/>
      <c r="D548" s="26"/>
      <c r="E548" s="26"/>
      <c r="F548" s="26"/>
      <c r="G548" s="27"/>
      <c r="H548" s="27"/>
      <c r="I548" s="27"/>
      <c r="J548" s="27"/>
      <c r="K548" s="23"/>
      <c r="L548" s="23"/>
    </row>
    <row r="549" ht="15.75" customHeight="1">
      <c r="A549" s="23"/>
      <c r="B549" s="24"/>
      <c r="C549" s="25"/>
      <c r="D549" s="26"/>
      <c r="E549" s="26"/>
      <c r="F549" s="26"/>
      <c r="G549" s="27"/>
      <c r="H549" s="27"/>
      <c r="I549" s="27"/>
      <c r="J549" s="27"/>
      <c r="K549" s="23"/>
      <c r="L549" s="23"/>
    </row>
    <row r="550" ht="15.75" customHeight="1">
      <c r="A550" s="23"/>
      <c r="B550" s="24"/>
      <c r="C550" s="25"/>
      <c r="D550" s="26"/>
      <c r="E550" s="26"/>
      <c r="F550" s="26"/>
      <c r="G550" s="27"/>
      <c r="H550" s="27"/>
      <c r="I550" s="27"/>
      <c r="J550" s="27"/>
      <c r="K550" s="23"/>
      <c r="L550" s="23"/>
    </row>
    <row r="551" ht="15.75" customHeight="1">
      <c r="A551" s="23"/>
      <c r="B551" s="24"/>
      <c r="C551" s="25"/>
      <c r="D551" s="26"/>
      <c r="E551" s="26"/>
      <c r="F551" s="26"/>
      <c r="G551" s="27"/>
      <c r="H551" s="27"/>
      <c r="I551" s="27"/>
      <c r="J551" s="27"/>
      <c r="K551" s="23"/>
      <c r="L551" s="23"/>
    </row>
    <row r="552" ht="15.75" customHeight="1">
      <c r="A552" s="23"/>
      <c r="B552" s="24"/>
      <c r="C552" s="25"/>
      <c r="D552" s="26"/>
      <c r="E552" s="26"/>
      <c r="F552" s="26"/>
      <c r="G552" s="27"/>
      <c r="H552" s="27"/>
      <c r="I552" s="27"/>
      <c r="J552" s="27"/>
      <c r="K552" s="23"/>
      <c r="L552" s="23"/>
    </row>
    <row r="553" ht="15.75" customHeight="1">
      <c r="A553" s="23"/>
      <c r="B553" s="24"/>
      <c r="C553" s="25"/>
      <c r="D553" s="26"/>
      <c r="E553" s="26"/>
      <c r="F553" s="26"/>
      <c r="G553" s="27"/>
      <c r="H553" s="27"/>
      <c r="I553" s="27"/>
      <c r="J553" s="27"/>
      <c r="K553" s="23"/>
      <c r="L553" s="23"/>
    </row>
    <row r="554" ht="15.75" customHeight="1">
      <c r="A554" s="23"/>
      <c r="B554" s="24"/>
      <c r="C554" s="25"/>
      <c r="D554" s="26"/>
      <c r="E554" s="26"/>
      <c r="F554" s="26"/>
      <c r="G554" s="27"/>
      <c r="H554" s="27"/>
      <c r="I554" s="27"/>
      <c r="J554" s="27"/>
      <c r="K554" s="23"/>
      <c r="L554" s="23"/>
    </row>
    <row r="555" ht="15.75" customHeight="1">
      <c r="A555" s="23"/>
      <c r="B555" s="24"/>
      <c r="C555" s="25"/>
      <c r="D555" s="26"/>
      <c r="E555" s="26"/>
      <c r="F555" s="26"/>
      <c r="G555" s="27"/>
      <c r="H555" s="27"/>
      <c r="I555" s="27"/>
      <c r="J555" s="27"/>
      <c r="K555" s="23"/>
      <c r="L555" s="23"/>
    </row>
    <row r="556" ht="15.75" customHeight="1">
      <c r="A556" s="23"/>
      <c r="B556" s="24"/>
      <c r="C556" s="25"/>
      <c r="D556" s="26"/>
      <c r="E556" s="26"/>
      <c r="F556" s="26"/>
      <c r="G556" s="27"/>
      <c r="H556" s="27"/>
      <c r="I556" s="27"/>
      <c r="J556" s="27"/>
      <c r="K556" s="23"/>
      <c r="L556" s="23"/>
    </row>
    <row r="557" ht="15.75" customHeight="1">
      <c r="A557" s="23"/>
      <c r="B557" s="24"/>
      <c r="C557" s="25"/>
      <c r="D557" s="26"/>
      <c r="E557" s="26"/>
      <c r="F557" s="26"/>
      <c r="G557" s="27"/>
      <c r="H557" s="27"/>
      <c r="I557" s="27"/>
      <c r="J557" s="27"/>
      <c r="K557" s="23"/>
      <c r="L557" s="23"/>
    </row>
    <row r="558" ht="15.75" customHeight="1">
      <c r="A558" s="23"/>
      <c r="B558" s="24"/>
      <c r="C558" s="25"/>
      <c r="D558" s="26"/>
      <c r="E558" s="26"/>
      <c r="F558" s="26"/>
      <c r="G558" s="27"/>
      <c r="H558" s="27"/>
      <c r="I558" s="27"/>
      <c r="J558" s="27"/>
      <c r="K558" s="23"/>
      <c r="L558" s="23"/>
    </row>
    <row r="559" ht="15.75" customHeight="1">
      <c r="A559" s="23"/>
      <c r="B559" s="24"/>
      <c r="C559" s="25"/>
      <c r="D559" s="26"/>
      <c r="E559" s="26"/>
      <c r="F559" s="26"/>
      <c r="G559" s="27"/>
      <c r="H559" s="27"/>
      <c r="I559" s="27"/>
      <c r="J559" s="27"/>
      <c r="K559" s="23"/>
      <c r="L559" s="23"/>
    </row>
    <row r="560" ht="15.75" customHeight="1">
      <c r="A560" s="23"/>
      <c r="B560" s="24"/>
      <c r="C560" s="25"/>
      <c r="D560" s="26"/>
      <c r="E560" s="26"/>
      <c r="F560" s="26"/>
      <c r="G560" s="27"/>
      <c r="H560" s="27"/>
      <c r="I560" s="27"/>
      <c r="J560" s="27"/>
      <c r="K560" s="23"/>
      <c r="L560" s="23"/>
    </row>
    <row r="561" ht="15.75" customHeight="1">
      <c r="A561" s="23"/>
      <c r="B561" s="24"/>
      <c r="C561" s="25"/>
      <c r="D561" s="26"/>
      <c r="E561" s="26"/>
      <c r="F561" s="26"/>
      <c r="G561" s="27"/>
      <c r="H561" s="27"/>
      <c r="I561" s="27"/>
      <c r="J561" s="27"/>
      <c r="K561" s="23"/>
      <c r="L561" s="23"/>
    </row>
    <row r="562" ht="15.75" customHeight="1">
      <c r="A562" s="23"/>
      <c r="B562" s="24"/>
      <c r="C562" s="25"/>
      <c r="D562" s="26"/>
      <c r="E562" s="26"/>
      <c r="F562" s="26"/>
      <c r="G562" s="27"/>
      <c r="H562" s="27"/>
      <c r="I562" s="27"/>
      <c r="J562" s="27"/>
      <c r="K562" s="23"/>
      <c r="L562" s="23"/>
    </row>
    <row r="563" ht="15.75" customHeight="1">
      <c r="A563" s="23"/>
      <c r="B563" s="24"/>
      <c r="C563" s="25"/>
      <c r="D563" s="26"/>
      <c r="E563" s="26"/>
      <c r="F563" s="26"/>
      <c r="G563" s="27"/>
      <c r="H563" s="27"/>
      <c r="I563" s="27"/>
      <c r="J563" s="27"/>
      <c r="K563" s="23"/>
      <c r="L563" s="23"/>
    </row>
    <row r="564" ht="15.75" customHeight="1">
      <c r="A564" s="23"/>
      <c r="B564" s="24"/>
      <c r="C564" s="25"/>
      <c r="D564" s="26"/>
      <c r="E564" s="26"/>
      <c r="F564" s="26"/>
      <c r="G564" s="27"/>
      <c r="H564" s="27"/>
      <c r="I564" s="27"/>
      <c r="J564" s="27"/>
      <c r="K564" s="23"/>
      <c r="L564" s="23"/>
    </row>
    <row r="565" ht="15.75" customHeight="1">
      <c r="A565" s="23"/>
      <c r="B565" s="24"/>
      <c r="C565" s="25"/>
      <c r="D565" s="26"/>
      <c r="E565" s="26"/>
      <c r="F565" s="26"/>
      <c r="G565" s="27"/>
      <c r="H565" s="27"/>
      <c r="I565" s="27"/>
      <c r="J565" s="27"/>
      <c r="K565" s="23"/>
      <c r="L565" s="23"/>
    </row>
    <row r="566" ht="15.75" customHeight="1">
      <c r="A566" s="23"/>
      <c r="B566" s="24"/>
      <c r="C566" s="25"/>
      <c r="D566" s="26"/>
      <c r="E566" s="26"/>
      <c r="F566" s="26"/>
      <c r="G566" s="27"/>
      <c r="H566" s="27"/>
      <c r="I566" s="27"/>
      <c r="J566" s="27"/>
      <c r="K566" s="23"/>
      <c r="L566" s="23"/>
    </row>
    <row r="567" ht="15.75" customHeight="1">
      <c r="A567" s="23"/>
      <c r="B567" s="24"/>
      <c r="C567" s="25"/>
      <c r="D567" s="26"/>
      <c r="E567" s="26"/>
      <c r="F567" s="26"/>
      <c r="G567" s="27"/>
      <c r="H567" s="27"/>
      <c r="I567" s="27"/>
      <c r="J567" s="27"/>
      <c r="K567" s="23"/>
      <c r="L567" s="23"/>
    </row>
    <row r="568" ht="15.75" customHeight="1">
      <c r="A568" s="23"/>
      <c r="B568" s="24"/>
      <c r="C568" s="25"/>
      <c r="D568" s="26"/>
      <c r="E568" s="26"/>
      <c r="F568" s="26"/>
      <c r="G568" s="27"/>
      <c r="H568" s="27"/>
      <c r="I568" s="27"/>
      <c r="J568" s="27"/>
      <c r="K568" s="23"/>
      <c r="L568" s="23"/>
    </row>
    <row r="569" ht="15.75" customHeight="1">
      <c r="A569" s="23"/>
      <c r="B569" s="24"/>
      <c r="C569" s="25"/>
      <c r="D569" s="26"/>
      <c r="E569" s="26"/>
      <c r="F569" s="26"/>
      <c r="G569" s="27"/>
      <c r="H569" s="27"/>
      <c r="I569" s="27"/>
      <c r="J569" s="27"/>
      <c r="K569" s="23"/>
      <c r="L569" s="23"/>
    </row>
    <row r="570" ht="15.75" customHeight="1">
      <c r="A570" s="23"/>
      <c r="B570" s="24"/>
      <c r="C570" s="25"/>
      <c r="D570" s="26"/>
      <c r="E570" s="26"/>
      <c r="F570" s="26"/>
      <c r="G570" s="27"/>
      <c r="H570" s="27"/>
      <c r="I570" s="27"/>
      <c r="J570" s="27"/>
      <c r="K570" s="23"/>
      <c r="L570" s="23"/>
    </row>
    <row r="571" ht="15.75" customHeight="1">
      <c r="A571" s="23"/>
      <c r="B571" s="24"/>
      <c r="C571" s="25"/>
      <c r="D571" s="26"/>
      <c r="E571" s="26"/>
      <c r="F571" s="26"/>
      <c r="G571" s="27"/>
      <c r="H571" s="27"/>
      <c r="I571" s="27"/>
      <c r="J571" s="27"/>
      <c r="K571" s="23"/>
      <c r="L571" s="23"/>
    </row>
    <row r="572" ht="15.75" customHeight="1">
      <c r="A572" s="23"/>
      <c r="B572" s="24"/>
      <c r="C572" s="25"/>
      <c r="D572" s="26"/>
      <c r="E572" s="26"/>
      <c r="F572" s="26"/>
      <c r="G572" s="27"/>
      <c r="H572" s="27"/>
      <c r="I572" s="27"/>
      <c r="J572" s="27"/>
      <c r="K572" s="23"/>
      <c r="L572" s="23"/>
    </row>
    <row r="573" ht="15.75" customHeight="1">
      <c r="A573" s="23"/>
      <c r="B573" s="24"/>
      <c r="C573" s="25"/>
      <c r="D573" s="26"/>
      <c r="E573" s="26"/>
      <c r="F573" s="26"/>
      <c r="G573" s="27"/>
      <c r="H573" s="27"/>
      <c r="I573" s="27"/>
      <c r="J573" s="27"/>
      <c r="K573" s="23"/>
      <c r="L573" s="23"/>
    </row>
    <row r="574" ht="15.75" customHeight="1">
      <c r="A574" s="23"/>
      <c r="B574" s="24"/>
      <c r="C574" s="25"/>
      <c r="D574" s="26"/>
      <c r="E574" s="26"/>
      <c r="F574" s="26"/>
      <c r="G574" s="27"/>
      <c r="H574" s="27"/>
      <c r="I574" s="27"/>
      <c r="J574" s="27"/>
      <c r="K574" s="23"/>
      <c r="L574" s="23"/>
    </row>
    <row r="575" ht="15.75" customHeight="1">
      <c r="A575" s="23"/>
      <c r="B575" s="24"/>
      <c r="C575" s="25"/>
      <c r="D575" s="26"/>
      <c r="E575" s="26"/>
      <c r="F575" s="26"/>
      <c r="G575" s="27"/>
      <c r="H575" s="27"/>
      <c r="I575" s="27"/>
      <c r="J575" s="27"/>
      <c r="K575" s="23"/>
      <c r="L575" s="23"/>
    </row>
    <row r="576" ht="15.75" customHeight="1">
      <c r="A576" s="23"/>
      <c r="B576" s="24"/>
      <c r="C576" s="25"/>
      <c r="D576" s="26"/>
      <c r="E576" s="26"/>
      <c r="F576" s="26"/>
      <c r="G576" s="27"/>
      <c r="H576" s="27"/>
      <c r="I576" s="27"/>
      <c r="J576" s="27"/>
      <c r="K576" s="23"/>
      <c r="L576" s="23"/>
    </row>
    <row r="577" ht="15.75" customHeight="1">
      <c r="A577" s="23"/>
      <c r="B577" s="24"/>
      <c r="C577" s="25"/>
      <c r="D577" s="26"/>
      <c r="E577" s="26"/>
      <c r="F577" s="26"/>
      <c r="G577" s="27"/>
      <c r="H577" s="27"/>
      <c r="I577" s="27"/>
      <c r="J577" s="27"/>
      <c r="K577" s="23"/>
      <c r="L577" s="23"/>
    </row>
    <row r="578" ht="15.75" customHeight="1">
      <c r="A578" s="23"/>
      <c r="B578" s="24"/>
      <c r="C578" s="25"/>
      <c r="D578" s="26"/>
      <c r="E578" s="26"/>
      <c r="F578" s="26"/>
      <c r="G578" s="27"/>
      <c r="H578" s="27"/>
      <c r="I578" s="27"/>
      <c r="J578" s="27"/>
      <c r="K578" s="23"/>
      <c r="L578" s="23"/>
    </row>
    <row r="579" ht="15.75" customHeight="1">
      <c r="A579" s="23"/>
      <c r="B579" s="24"/>
      <c r="C579" s="25"/>
      <c r="D579" s="26"/>
      <c r="E579" s="26"/>
      <c r="F579" s="26"/>
      <c r="G579" s="27"/>
      <c r="H579" s="27"/>
      <c r="I579" s="27"/>
      <c r="J579" s="27"/>
      <c r="K579" s="23"/>
      <c r="L579" s="23"/>
    </row>
    <row r="580" ht="15.75" customHeight="1">
      <c r="A580" s="23"/>
      <c r="B580" s="24"/>
      <c r="C580" s="25"/>
      <c r="D580" s="26"/>
      <c r="E580" s="26"/>
      <c r="F580" s="26"/>
      <c r="G580" s="27"/>
      <c r="H580" s="27"/>
      <c r="I580" s="27"/>
      <c r="J580" s="27"/>
      <c r="K580" s="23"/>
      <c r="L580" s="23"/>
    </row>
    <row r="581" ht="15.75" customHeight="1">
      <c r="A581" s="23"/>
      <c r="B581" s="24"/>
      <c r="C581" s="25"/>
      <c r="D581" s="26"/>
      <c r="E581" s="26"/>
      <c r="F581" s="26"/>
      <c r="G581" s="27"/>
      <c r="H581" s="27"/>
      <c r="I581" s="27"/>
      <c r="J581" s="27"/>
      <c r="K581" s="23"/>
      <c r="L581" s="23"/>
    </row>
    <row r="582" ht="15.75" customHeight="1">
      <c r="A582" s="23"/>
      <c r="B582" s="24"/>
      <c r="C582" s="25"/>
      <c r="D582" s="26"/>
      <c r="E582" s="26"/>
      <c r="F582" s="26"/>
      <c r="G582" s="27"/>
      <c r="H582" s="27"/>
      <c r="I582" s="27"/>
      <c r="J582" s="27"/>
      <c r="K582" s="23"/>
      <c r="L582" s="23"/>
    </row>
    <row r="583" ht="15.75" customHeight="1">
      <c r="A583" s="23"/>
      <c r="B583" s="24"/>
      <c r="C583" s="25"/>
      <c r="D583" s="26"/>
      <c r="E583" s="26"/>
      <c r="F583" s="26"/>
      <c r="G583" s="27"/>
      <c r="H583" s="27"/>
      <c r="I583" s="27"/>
      <c r="J583" s="27"/>
      <c r="K583" s="23"/>
      <c r="L583" s="23"/>
    </row>
    <row r="584" ht="15.75" customHeight="1">
      <c r="A584" s="23"/>
      <c r="B584" s="24"/>
      <c r="C584" s="25"/>
      <c r="D584" s="26"/>
      <c r="E584" s="26"/>
      <c r="F584" s="26"/>
      <c r="G584" s="27"/>
      <c r="H584" s="27"/>
      <c r="I584" s="27"/>
      <c r="J584" s="27"/>
      <c r="K584" s="23"/>
      <c r="L584" s="23"/>
    </row>
    <row r="585" ht="15.75" customHeight="1">
      <c r="A585" s="23"/>
      <c r="B585" s="24"/>
      <c r="C585" s="25"/>
      <c r="D585" s="26"/>
      <c r="E585" s="26"/>
      <c r="F585" s="26"/>
      <c r="G585" s="27"/>
      <c r="H585" s="27"/>
      <c r="I585" s="27"/>
      <c r="J585" s="27"/>
      <c r="K585" s="23"/>
      <c r="L585" s="23"/>
    </row>
    <row r="586" ht="15.75" customHeight="1">
      <c r="A586" s="23"/>
      <c r="B586" s="24"/>
      <c r="C586" s="25"/>
      <c r="D586" s="26"/>
      <c r="E586" s="26"/>
      <c r="F586" s="26"/>
      <c r="G586" s="27"/>
      <c r="H586" s="27"/>
      <c r="I586" s="27"/>
      <c r="J586" s="27"/>
      <c r="K586" s="23"/>
      <c r="L586" s="23"/>
    </row>
    <row r="587" ht="15.75" customHeight="1">
      <c r="A587" s="23"/>
      <c r="B587" s="24"/>
      <c r="C587" s="25"/>
      <c r="D587" s="26"/>
      <c r="E587" s="26"/>
      <c r="F587" s="26"/>
      <c r="G587" s="27"/>
      <c r="H587" s="27"/>
      <c r="I587" s="27"/>
      <c r="J587" s="27"/>
      <c r="K587" s="23"/>
      <c r="L587" s="23"/>
    </row>
    <row r="588" ht="15.75" customHeight="1">
      <c r="A588" s="23"/>
      <c r="B588" s="24"/>
      <c r="C588" s="25"/>
      <c r="D588" s="26"/>
      <c r="E588" s="26"/>
      <c r="F588" s="26"/>
      <c r="G588" s="27"/>
      <c r="H588" s="27"/>
      <c r="I588" s="27"/>
      <c r="J588" s="27"/>
      <c r="K588" s="23"/>
      <c r="L588" s="23"/>
    </row>
    <row r="589" ht="15.75" customHeight="1">
      <c r="A589" s="23"/>
      <c r="B589" s="24"/>
      <c r="C589" s="25"/>
      <c r="D589" s="26"/>
      <c r="E589" s="26"/>
      <c r="F589" s="26"/>
      <c r="G589" s="27"/>
      <c r="H589" s="27"/>
      <c r="I589" s="27"/>
      <c r="J589" s="27"/>
      <c r="K589" s="23"/>
      <c r="L589" s="23"/>
    </row>
    <row r="590" ht="15.75" customHeight="1">
      <c r="A590" s="23"/>
      <c r="B590" s="24"/>
      <c r="C590" s="25"/>
      <c r="D590" s="26"/>
      <c r="E590" s="26"/>
      <c r="F590" s="26"/>
      <c r="G590" s="27"/>
      <c r="H590" s="27"/>
      <c r="I590" s="27"/>
      <c r="J590" s="27"/>
      <c r="K590" s="23"/>
      <c r="L590" s="23"/>
    </row>
    <row r="591" ht="15.75" customHeight="1">
      <c r="A591" s="23"/>
      <c r="B591" s="24"/>
      <c r="C591" s="25"/>
      <c r="D591" s="26"/>
      <c r="E591" s="26"/>
      <c r="F591" s="26"/>
      <c r="G591" s="27"/>
      <c r="H591" s="27"/>
      <c r="I591" s="27"/>
      <c r="J591" s="27"/>
      <c r="K591" s="23"/>
      <c r="L591" s="23"/>
    </row>
    <row r="592" ht="15.75" customHeight="1">
      <c r="A592" s="23"/>
      <c r="B592" s="24"/>
      <c r="C592" s="25"/>
      <c r="D592" s="26"/>
      <c r="E592" s="26"/>
      <c r="F592" s="26"/>
      <c r="G592" s="27"/>
      <c r="H592" s="27"/>
      <c r="I592" s="27"/>
      <c r="J592" s="27"/>
      <c r="K592" s="23"/>
      <c r="L592" s="23"/>
    </row>
    <row r="593" ht="15.75" customHeight="1">
      <c r="A593" s="23"/>
      <c r="B593" s="24"/>
      <c r="C593" s="25"/>
      <c r="D593" s="26"/>
      <c r="E593" s="26"/>
      <c r="F593" s="26"/>
      <c r="G593" s="27"/>
      <c r="H593" s="27"/>
      <c r="I593" s="27"/>
      <c r="J593" s="27"/>
      <c r="K593" s="23"/>
      <c r="L593" s="23"/>
    </row>
    <row r="594" ht="15.75" customHeight="1">
      <c r="A594" s="23"/>
      <c r="B594" s="24"/>
      <c r="C594" s="25"/>
      <c r="D594" s="26"/>
      <c r="E594" s="26"/>
      <c r="F594" s="26"/>
      <c r="G594" s="27"/>
      <c r="H594" s="27"/>
      <c r="I594" s="27"/>
      <c r="J594" s="27"/>
      <c r="K594" s="23"/>
      <c r="L594" s="23"/>
    </row>
    <row r="595" ht="15.75" customHeight="1">
      <c r="A595" s="23"/>
      <c r="B595" s="24"/>
      <c r="C595" s="25"/>
      <c r="D595" s="26"/>
      <c r="E595" s="26"/>
      <c r="F595" s="26"/>
      <c r="G595" s="27"/>
      <c r="H595" s="27"/>
      <c r="I595" s="27"/>
      <c r="J595" s="27"/>
      <c r="K595" s="23"/>
      <c r="L595" s="23"/>
    </row>
    <row r="596" ht="15.75" customHeight="1">
      <c r="A596" s="23"/>
      <c r="B596" s="24"/>
      <c r="C596" s="25"/>
      <c r="D596" s="26"/>
      <c r="E596" s="26"/>
      <c r="F596" s="26"/>
      <c r="G596" s="27"/>
      <c r="H596" s="27"/>
      <c r="I596" s="27"/>
      <c r="J596" s="27"/>
      <c r="K596" s="23"/>
      <c r="L596" s="23"/>
    </row>
    <row r="597" ht="15.75" customHeight="1">
      <c r="A597" s="23"/>
      <c r="B597" s="24"/>
      <c r="C597" s="25"/>
      <c r="D597" s="26"/>
      <c r="E597" s="26"/>
      <c r="F597" s="26"/>
      <c r="G597" s="27"/>
      <c r="H597" s="27"/>
      <c r="I597" s="27"/>
      <c r="J597" s="27"/>
      <c r="K597" s="23"/>
      <c r="L597" s="23"/>
    </row>
    <row r="598" ht="15.75" customHeight="1">
      <c r="A598" s="23"/>
      <c r="B598" s="24"/>
      <c r="C598" s="25"/>
      <c r="D598" s="26"/>
      <c r="E598" s="26"/>
      <c r="F598" s="26"/>
      <c r="G598" s="27"/>
      <c r="H598" s="27"/>
      <c r="I598" s="27"/>
      <c r="J598" s="27"/>
      <c r="K598" s="23"/>
      <c r="L598" s="23"/>
    </row>
    <row r="599" ht="15.75" customHeight="1">
      <c r="A599" s="23"/>
      <c r="B599" s="24"/>
      <c r="C599" s="25"/>
      <c r="D599" s="26"/>
      <c r="E599" s="26"/>
      <c r="F599" s="26"/>
      <c r="G599" s="27"/>
      <c r="H599" s="27"/>
      <c r="I599" s="27"/>
      <c r="J599" s="27"/>
      <c r="K599" s="23"/>
      <c r="L599" s="23"/>
    </row>
    <row r="600" ht="15.75" customHeight="1">
      <c r="A600" s="23"/>
      <c r="B600" s="24"/>
      <c r="C600" s="25"/>
      <c r="D600" s="26"/>
      <c r="E600" s="26"/>
      <c r="F600" s="26"/>
      <c r="G600" s="27"/>
      <c r="H600" s="27"/>
      <c r="I600" s="27"/>
      <c r="J600" s="27"/>
      <c r="K600" s="23"/>
      <c r="L600" s="23"/>
    </row>
    <row r="601" ht="15.75" customHeight="1">
      <c r="A601" s="23"/>
      <c r="B601" s="24"/>
      <c r="C601" s="25"/>
      <c r="D601" s="26"/>
      <c r="E601" s="26"/>
      <c r="F601" s="26"/>
      <c r="G601" s="27"/>
      <c r="H601" s="27"/>
      <c r="I601" s="27"/>
      <c r="J601" s="27"/>
      <c r="K601" s="23"/>
      <c r="L601" s="23"/>
    </row>
    <row r="602" ht="15.75" customHeight="1">
      <c r="A602" s="23"/>
      <c r="B602" s="24"/>
      <c r="C602" s="25"/>
      <c r="D602" s="26"/>
      <c r="E602" s="26"/>
      <c r="F602" s="26"/>
      <c r="G602" s="27"/>
      <c r="H602" s="27"/>
      <c r="I602" s="27"/>
      <c r="J602" s="27"/>
      <c r="K602" s="23"/>
      <c r="L602" s="23"/>
    </row>
    <row r="603" ht="15.75" customHeight="1">
      <c r="A603" s="23"/>
      <c r="B603" s="24"/>
      <c r="C603" s="25"/>
      <c r="D603" s="26"/>
      <c r="E603" s="26"/>
      <c r="F603" s="26"/>
      <c r="G603" s="27"/>
      <c r="H603" s="27"/>
      <c r="I603" s="27"/>
      <c r="J603" s="27"/>
      <c r="K603" s="23"/>
      <c r="L603" s="23"/>
    </row>
    <row r="604" ht="15.75" customHeight="1">
      <c r="A604" s="23"/>
      <c r="B604" s="24"/>
      <c r="C604" s="25"/>
      <c r="D604" s="26"/>
      <c r="E604" s="26"/>
      <c r="F604" s="26"/>
      <c r="G604" s="27"/>
      <c r="H604" s="27"/>
      <c r="I604" s="27"/>
      <c r="J604" s="27"/>
      <c r="K604" s="23"/>
      <c r="L604" s="23"/>
    </row>
    <row r="605" ht="15.75" customHeight="1">
      <c r="A605" s="23"/>
      <c r="B605" s="24"/>
      <c r="C605" s="25"/>
      <c r="D605" s="26"/>
      <c r="E605" s="26"/>
      <c r="F605" s="26"/>
      <c r="G605" s="27"/>
      <c r="H605" s="27"/>
      <c r="I605" s="27"/>
      <c r="J605" s="27"/>
      <c r="K605" s="23"/>
      <c r="L605" s="23"/>
    </row>
    <row r="606" ht="15.75" customHeight="1">
      <c r="A606" s="23"/>
      <c r="B606" s="24"/>
      <c r="C606" s="25"/>
      <c r="D606" s="26"/>
      <c r="E606" s="26"/>
      <c r="F606" s="26"/>
      <c r="G606" s="27"/>
      <c r="H606" s="27"/>
      <c r="I606" s="27"/>
      <c r="J606" s="27"/>
      <c r="K606" s="23"/>
      <c r="L606" s="23"/>
    </row>
    <row r="607" ht="15.75" customHeight="1">
      <c r="A607" s="23"/>
      <c r="B607" s="24"/>
      <c r="C607" s="25"/>
      <c r="D607" s="26"/>
      <c r="E607" s="26"/>
      <c r="F607" s="26"/>
      <c r="G607" s="27"/>
      <c r="H607" s="27"/>
      <c r="I607" s="27"/>
      <c r="J607" s="27"/>
      <c r="K607" s="23"/>
      <c r="L607" s="23"/>
    </row>
    <row r="608" ht="15.75" customHeight="1">
      <c r="A608" s="23"/>
      <c r="B608" s="24"/>
      <c r="C608" s="25"/>
      <c r="D608" s="26"/>
      <c r="E608" s="26"/>
      <c r="F608" s="26"/>
      <c r="G608" s="27"/>
      <c r="H608" s="27"/>
      <c r="I608" s="27"/>
      <c r="J608" s="27"/>
      <c r="K608" s="23"/>
      <c r="L608" s="23"/>
    </row>
    <row r="609" ht="15.75" customHeight="1">
      <c r="A609" s="23"/>
      <c r="B609" s="24"/>
      <c r="C609" s="25"/>
      <c r="D609" s="26"/>
      <c r="E609" s="26"/>
      <c r="F609" s="26"/>
      <c r="G609" s="27"/>
      <c r="H609" s="27"/>
      <c r="I609" s="27"/>
      <c r="J609" s="27"/>
      <c r="K609" s="23"/>
      <c r="L609" s="23"/>
    </row>
    <row r="610" ht="15.75" customHeight="1">
      <c r="A610" s="23"/>
      <c r="B610" s="24"/>
      <c r="C610" s="25"/>
      <c r="D610" s="26"/>
      <c r="E610" s="26"/>
      <c r="F610" s="26"/>
      <c r="G610" s="27"/>
      <c r="H610" s="27"/>
      <c r="I610" s="27"/>
      <c r="J610" s="27"/>
      <c r="K610" s="23"/>
      <c r="L610" s="23"/>
    </row>
    <row r="611" ht="15.75" customHeight="1">
      <c r="A611" s="23"/>
      <c r="B611" s="24"/>
      <c r="C611" s="25"/>
      <c r="D611" s="26"/>
      <c r="E611" s="26"/>
      <c r="F611" s="26"/>
      <c r="G611" s="27"/>
      <c r="H611" s="27"/>
      <c r="I611" s="27"/>
      <c r="J611" s="27"/>
      <c r="K611" s="23"/>
      <c r="L611" s="23"/>
    </row>
    <row r="612" ht="15.75" customHeight="1">
      <c r="A612" s="23"/>
      <c r="B612" s="24"/>
      <c r="C612" s="25"/>
      <c r="D612" s="26"/>
      <c r="E612" s="26"/>
      <c r="F612" s="26"/>
      <c r="G612" s="27"/>
      <c r="H612" s="27"/>
      <c r="I612" s="27"/>
      <c r="J612" s="27"/>
      <c r="K612" s="23"/>
      <c r="L612" s="23"/>
    </row>
    <row r="613" ht="15.75" customHeight="1">
      <c r="A613" s="23"/>
      <c r="B613" s="24"/>
      <c r="C613" s="25"/>
      <c r="D613" s="26"/>
      <c r="E613" s="26"/>
      <c r="F613" s="26"/>
      <c r="G613" s="27"/>
      <c r="H613" s="27"/>
      <c r="I613" s="27"/>
      <c r="J613" s="27"/>
      <c r="K613" s="23"/>
      <c r="L613" s="23"/>
    </row>
    <row r="614" ht="15.75" customHeight="1">
      <c r="A614" s="23"/>
      <c r="B614" s="24"/>
      <c r="C614" s="25"/>
      <c r="D614" s="26"/>
      <c r="E614" s="26"/>
      <c r="F614" s="26"/>
      <c r="G614" s="27"/>
      <c r="H614" s="27"/>
      <c r="I614" s="27"/>
      <c r="J614" s="27"/>
      <c r="K614" s="23"/>
      <c r="L614" s="23"/>
    </row>
    <row r="615" ht="15.75" customHeight="1">
      <c r="A615" s="23"/>
      <c r="B615" s="24"/>
      <c r="C615" s="25"/>
      <c r="D615" s="26"/>
      <c r="E615" s="26"/>
      <c r="F615" s="26"/>
      <c r="G615" s="27"/>
      <c r="H615" s="27"/>
      <c r="I615" s="27"/>
      <c r="J615" s="27"/>
      <c r="K615" s="23"/>
      <c r="L615" s="23"/>
    </row>
    <row r="616" ht="15.75" customHeight="1">
      <c r="A616" s="23"/>
      <c r="B616" s="24"/>
      <c r="C616" s="25"/>
      <c r="D616" s="26"/>
      <c r="E616" s="26"/>
      <c r="F616" s="26"/>
      <c r="G616" s="27"/>
      <c r="H616" s="27"/>
      <c r="I616" s="27"/>
      <c r="J616" s="27"/>
      <c r="K616" s="23"/>
      <c r="L616" s="23"/>
    </row>
    <row r="617" ht="15.75" customHeight="1">
      <c r="A617" s="23"/>
      <c r="B617" s="24"/>
      <c r="C617" s="25"/>
      <c r="D617" s="26"/>
      <c r="E617" s="26"/>
      <c r="F617" s="26"/>
      <c r="G617" s="27"/>
      <c r="H617" s="27"/>
      <c r="I617" s="27"/>
      <c r="J617" s="27"/>
      <c r="K617" s="23"/>
      <c r="L617" s="23"/>
    </row>
    <row r="618" ht="15.75" customHeight="1">
      <c r="A618" s="23"/>
      <c r="B618" s="24"/>
      <c r="C618" s="25"/>
      <c r="D618" s="26"/>
      <c r="E618" s="26"/>
      <c r="F618" s="26"/>
      <c r="G618" s="27"/>
      <c r="H618" s="27"/>
      <c r="I618" s="27"/>
      <c r="J618" s="27"/>
      <c r="K618" s="23"/>
      <c r="L618" s="23"/>
    </row>
    <row r="619" ht="15.75" customHeight="1">
      <c r="A619" s="23"/>
      <c r="B619" s="24"/>
      <c r="C619" s="25"/>
      <c r="D619" s="26"/>
      <c r="E619" s="26"/>
      <c r="F619" s="26"/>
      <c r="G619" s="27"/>
      <c r="H619" s="27"/>
      <c r="I619" s="27"/>
      <c r="J619" s="27"/>
      <c r="K619" s="23"/>
      <c r="L619" s="23"/>
    </row>
    <row r="620" ht="15.75" customHeight="1">
      <c r="A620" s="23"/>
      <c r="B620" s="24"/>
      <c r="C620" s="25"/>
      <c r="D620" s="26"/>
      <c r="E620" s="26"/>
      <c r="F620" s="26"/>
      <c r="G620" s="27"/>
      <c r="H620" s="27"/>
      <c r="I620" s="27"/>
      <c r="J620" s="27"/>
      <c r="K620" s="23"/>
      <c r="L620" s="23"/>
    </row>
    <row r="621" ht="15.75" customHeight="1">
      <c r="A621" s="23"/>
      <c r="B621" s="24"/>
      <c r="C621" s="25"/>
      <c r="D621" s="26"/>
      <c r="E621" s="26"/>
      <c r="F621" s="26"/>
      <c r="G621" s="27"/>
      <c r="H621" s="27"/>
      <c r="I621" s="27"/>
      <c r="J621" s="27"/>
      <c r="K621" s="23"/>
      <c r="L621" s="23"/>
    </row>
    <row r="622" ht="15.75" customHeight="1">
      <c r="A622" s="23"/>
      <c r="B622" s="24"/>
      <c r="C622" s="25"/>
      <c r="D622" s="26"/>
      <c r="E622" s="26"/>
      <c r="F622" s="26"/>
      <c r="G622" s="27"/>
      <c r="H622" s="27"/>
      <c r="I622" s="27"/>
      <c r="J622" s="27"/>
      <c r="K622" s="23"/>
      <c r="L622" s="23"/>
    </row>
    <row r="623" ht="15.75" customHeight="1">
      <c r="A623" s="23"/>
      <c r="B623" s="24"/>
      <c r="C623" s="25"/>
      <c r="D623" s="26"/>
      <c r="E623" s="26"/>
      <c r="F623" s="26"/>
      <c r="G623" s="27"/>
      <c r="H623" s="27"/>
      <c r="I623" s="27"/>
      <c r="J623" s="27"/>
      <c r="K623" s="23"/>
      <c r="L623" s="23"/>
    </row>
    <row r="624" ht="15.75" customHeight="1">
      <c r="A624" s="23"/>
      <c r="B624" s="24"/>
      <c r="C624" s="25"/>
      <c r="D624" s="26"/>
      <c r="E624" s="26"/>
      <c r="F624" s="26"/>
      <c r="G624" s="27"/>
      <c r="H624" s="27"/>
      <c r="I624" s="27"/>
      <c r="J624" s="27"/>
      <c r="K624" s="23"/>
      <c r="L624" s="23"/>
    </row>
    <row r="625" ht="15.75" customHeight="1">
      <c r="A625" s="23"/>
      <c r="B625" s="24"/>
      <c r="C625" s="25"/>
      <c r="D625" s="26"/>
      <c r="E625" s="26"/>
      <c r="F625" s="26"/>
      <c r="G625" s="27"/>
      <c r="H625" s="27"/>
      <c r="I625" s="27"/>
      <c r="J625" s="27"/>
      <c r="K625" s="23"/>
      <c r="L625" s="23"/>
    </row>
    <row r="626" ht="15.75" customHeight="1">
      <c r="A626" s="23"/>
      <c r="B626" s="24"/>
      <c r="C626" s="25"/>
      <c r="D626" s="26"/>
      <c r="E626" s="26"/>
      <c r="F626" s="26"/>
      <c r="G626" s="27"/>
      <c r="H626" s="27"/>
      <c r="I626" s="27"/>
      <c r="J626" s="27"/>
      <c r="K626" s="23"/>
      <c r="L626" s="23"/>
    </row>
    <row r="627" ht="15.75" customHeight="1">
      <c r="A627" s="23"/>
      <c r="B627" s="24"/>
      <c r="C627" s="25"/>
      <c r="D627" s="26"/>
      <c r="E627" s="26"/>
      <c r="F627" s="26"/>
      <c r="G627" s="27"/>
      <c r="H627" s="27"/>
      <c r="I627" s="27"/>
      <c r="J627" s="27"/>
      <c r="K627" s="23"/>
      <c r="L627" s="23"/>
    </row>
    <row r="628" ht="15.75" customHeight="1">
      <c r="A628" s="23"/>
      <c r="B628" s="24"/>
      <c r="C628" s="25"/>
      <c r="D628" s="26"/>
      <c r="E628" s="26"/>
      <c r="F628" s="26"/>
      <c r="G628" s="27"/>
      <c r="H628" s="27"/>
      <c r="I628" s="27"/>
      <c r="J628" s="27"/>
      <c r="K628" s="23"/>
      <c r="L628" s="23"/>
    </row>
    <row r="629" ht="15.75" customHeight="1">
      <c r="A629" s="23"/>
      <c r="B629" s="24"/>
      <c r="C629" s="25"/>
      <c r="D629" s="26"/>
      <c r="E629" s="26"/>
      <c r="F629" s="26"/>
      <c r="G629" s="27"/>
      <c r="H629" s="27"/>
      <c r="I629" s="27"/>
      <c r="J629" s="27"/>
      <c r="K629" s="23"/>
      <c r="L629" s="23"/>
    </row>
    <row r="630" ht="15.75" customHeight="1">
      <c r="A630" s="23"/>
      <c r="B630" s="24"/>
      <c r="C630" s="25"/>
      <c r="D630" s="26"/>
      <c r="E630" s="26"/>
      <c r="F630" s="26"/>
      <c r="G630" s="27"/>
      <c r="H630" s="27"/>
      <c r="I630" s="27"/>
      <c r="J630" s="27"/>
      <c r="K630" s="23"/>
      <c r="L630" s="23"/>
    </row>
    <row r="631" ht="15.75" customHeight="1">
      <c r="A631" s="23"/>
      <c r="B631" s="24"/>
      <c r="C631" s="25"/>
      <c r="D631" s="26"/>
      <c r="E631" s="26"/>
      <c r="F631" s="26"/>
      <c r="G631" s="27"/>
      <c r="H631" s="27"/>
      <c r="I631" s="27"/>
      <c r="J631" s="27"/>
      <c r="K631" s="23"/>
      <c r="L631" s="23"/>
    </row>
    <row r="632" ht="15.75" customHeight="1">
      <c r="A632" s="23"/>
      <c r="B632" s="24"/>
      <c r="C632" s="25"/>
      <c r="D632" s="26"/>
      <c r="E632" s="26"/>
      <c r="F632" s="26"/>
      <c r="G632" s="27"/>
      <c r="H632" s="27"/>
      <c r="I632" s="27"/>
      <c r="J632" s="27"/>
      <c r="K632" s="23"/>
      <c r="L632" s="23"/>
    </row>
    <row r="633" ht="15.75" customHeight="1">
      <c r="A633" s="23"/>
      <c r="B633" s="24"/>
      <c r="C633" s="25"/>
      <c r="D633" s="26"/>
      <c r="E633" s="26"/>
      <c r="F633" s="26"/>
      <c r="G633" s="27"/>
      <c r="H633" s="27"/>
      <c r="I633" s="27"/>
      <c r="J633" s="27"/>
      <c r="K633" s="23"/>
      <c r="L633" s="23"/>
    </row>
    <row r="634" ht="15.75" customHeight="1">
      <c r="A634" s="23"/>
      <c r="B634" s="24"/>
      <c r="C634" s="25"/>
      <c r="D634" s="26"/>
      <c r="E634" s="26"/>
      <c r="F634" s="26"/>
      <c r="G634" s="27"/>
      <c r="H634" s="27"/>
      <c r="I634" s="27"/>
      <c r="J634" s="27"/>
      <c r="K634" s="23"/>
      <c r="L634" s="23"/>
    </row>
    <row r="635" ht="15.75" customHeight="1">
      <c r="A635" s="23"/>
      <c r="B635" s="24"/>
      <c r="C635" s="25"/>
      <c r="D635" s="26"/>
      <c r="E635" s="26"/>
      <c r="F635" s="26"/>
      <c r="G635" s="27"/>
      <c r="H635" s="27"/>
      <c r="I635" s="27"/>
      <c r="J635" s="27"/>
      <c r="K635" s="23"/>
      <c r="L635" s="23"/>
    </row>
    <row r="636" ht="15.75" customHeight="1">
      <c r="A636" s="23"/>
      <c r="B636" s="24"/>
      <c r="C636" s="25"/>
      <c r="D636" s="26"/>
      <c r="E636" s="26"/>
      <c r="F636" s="26"/>
      <c r="G636" s="27"/>
      <c r="H636" s="27"/>
      <c r="I636" s="27"/>
      <c r="J636" s="27"/>
      <c r="K636" s="23"/>
      <c r="L636" s="23"/>
    </row>
    <row r="637" ht="15.75" customHeight="1">
      <c r="A637" s="23"/>
      <c r="B637" s="24"/>
      <c r="C637" s="25"/>
      <c r="D637" s="26"/>
      <c r="E637" s="26"/>
      <c r="F637" s="26"/>
      <c r="G637" s="27"/>
      <c r="H637" s="27"/>
      <c r="I637" s="27"/>
      <c r="J637" s="27"/>
      <c r="K637" s="23"/>
      <c r="L637" s="23"/>
    </row>
    <row r="638" ht="15.75" customHeight="1">
      <c r="A638" s="23"/>
      <c r="B638" s="24"/>
      <c r="C638" s="25"/>
      <c r="D638" s="26"/>
      <c r="E638" s="26"/>
      <c r="F638" s="26"/>
      <c r="G638" s="27"/>
      <c r="H638" s="27"/>
      <c r="I638" s="27"/>
      <c r="J638" s="27"/>
      <c r="K638" s="23"/>
      <c r="L638" s="23"/>
    </row>
    <row r="639" ht="15.75" customHeight="1">
      <c r="A639" s="23"/>
      <c r="B639" s="24"/>
      <c r="C639" s="25"/>
      <c r="D639" s="26"/>
      <c r="E639" s="26"/>
      <c r="F639" s="26"/>
      <c r="G639" s="27"/>
      <c r="H639" s="27"/>
      <c r="I639" s="27"/>
      <c r="J639" s="27"/>
      <c r="K639" s="23"/>
      <c r="L639" s="23"/>
    </row>
    <row r="640" ht="15.75" customHeight="1">
      <c r="A640" s="23"/>
      <c r="B640" s="24"/>
      <c r="C640" s="25"/>
      <c r="D640" s="26"/>
      <c r="E640" s="26"/>
      <c r="F640" s="26"/>
      <c r="G640" s="27"/>
      <c r="H640" s="27"/>
      <c r="I640" s="27"/>
      <c r="J640" s="27"/>
      <c r="K640" s="23"/>
      <c r="L640" s="23"/>
    </row>
    <row r="641" ht="15.75" customHeight="1">
      <c r="A641" s="23"/>
      <c r="B641" s="24"/>
      <c r="C641" s="25"/>
      <c r="D641" s="26"/>
      <c r="E641" s="26"/>
      <c r="F641" s="26"/>
      <c r="G641" s="27"/>
      <c r="H641" s="27"/>
      <c r="I641" s="27"/>
      <c r="J641" s="27"/>
      <c r="K641" s="23"/>
      <c r="L641" s="23"/>
    </row>
    <row r="642" ht="15.75" customHeight="1">
      <c r="A642" s="23"/>
      <c r="B642" s="24"/>
      <c r="C642" s="25"/>
      <c r="D642" s="26"/>
      <c r="E642" s="26"/>
      <c r="F642" s="26"/>
      <c r="G642" s="27"/>
      <c r="H642" s="27"/>
      <c r="I642" s="27"/>
      <c r="J642" s="27"/>
      <c r="K642" s="23"/>
      <c r="L642" s="23"/>
    </row>
    <row r="643" ht="15.75" customHeight="1">
      <c r="A643" s="23"/>
      <c r="B643" s="24"/>
      <c r="C643" s="25"/>
      <c r="D643" s="26"/>
      <c r="E643" s="26"/>
      <c r="F643" s="26"/>
      <c r="G643" s="27"/>
      <c r="H643" s="27"/>
      <c r="I643" s="27"/>
      <c r="J643" s="27"/>
      <c r="K643" s="23"/>
      <c r="L643" s="23"/>
    </row>
    <row r="644" ht="15.75" customHeight="1">
      <c r="A644" s="23"/>
      <c r="B644" s="24"/>
      <c r="C644" s="25"/>
      <c r="D644" s="26"/>
      <c r="E644" s="26"/>
      <c r="F644" s="26"/>
      <c r="G644" s="27"/>
      <c r="H644" s="27"/>
      <c r="I644" s="27"/>
      <c r="J644" s="27"/>
      <c r="K644" s="23"/>
      <c r="L644" s="23"/>
    </row>
    <row r="645" ht="15.75" customHeight="1">
      <c r="A645" s="23"/>
      <c r="B645" s="24"/>
      <c r="C645" s="25"/>
      <c r="D645" s="26"/>
      <c r="E645" s="26"/>
      <c r="F645" s="26"/>
      <c r="G645" s="27"/>
      <c r="H645" s="27"/>
      <c r="I645" s="27"/>
      <c r="J645" s="27"/>
      <c r="K645" s="23"/>
      <c r="L645" s="23"/>
    </row>
    <row r="646" ht="15.75" customHeight="1">
      <c r="A646" s="23"/>
      <c r="B646" s="24"/>
      <c r="C646" s="25"/>
      <c r="D646" s="26"/>
      <c r="E646" s="26"/>
      <c r="F646" s="26"/>
      <c r="G646" s="27"/>
      <c r="H646" s="27"/>
      <c r="I646" s="27"/>
      <c r="J646" s="27"/>
      <c r="K646" s="23"/>
      <c r="L646" s="23"/>
    </row>
    <row r="647" ht="15.75" customHeight="1">
      <c r="A647" s="23"/>
      <c r="B647" s="24"/>
      <c r="C647" s="25"/>
      <c r="D647" s="26"/>
      <c r="E647" s="26"/>
      <c r="F647" s="26"/>
      <c r="G647" s="27"/>
      <c r="H647" s="27"/>
      <c r="I647" s="27"/>
      <c r="J647" s="27"/>
      <c r="K647" s="23"/>
      <c r="L647" s="23"/>
    </row>
    <row r="648" ht="15.75" customHeight="1">
      <c r="A648" s="23"/>
      <c r="B648" s="24"/>
      <c r="C648" s="25"/>
      <c r="D648" s="26"/>
      <c r="E648" s="26"/>
      <c r="F648" s="26"/>
      <c r="G648" s="27"/>
      <c r="H648" s="27"/>
      <c r="I648" s="27"/>
      <c r="J648" s="27"/>
      <c r="K648" s="23"/>
      <c r="L648" s="23"/>
    </row>
    <row r="649" ht="15.75" customHeight="1">
      <c r="A649" s="23"/>
      <c r="B649" s="24"/>
      <c r="C649" s="25"/>
      <c r="D649" s="26"/>
      <c r="E649" s="26"/>
      <c r="F649" s="26"/>
      <c r="G649" s="27"/>
      <c r="H649" s="27"/>
      <c r="I649" s="27"/>
      <c r="J649" s="27"/>
      <c r="K649" s="23"/>
      <c r="L649" s="23"/>
    </row>
    <row r="650" ht="15.75" customHeight="1">
      <c r="A650" s="23"/>
      <c r="B650" s="24"/>
      <c r="C650" s="25"/>
      <c r="D650" s="26"/>
      <c r="E650" s="26"/>
      <c r="F650" s="26"/>
      <c r="G650" s="27"/>
      <c r="H650" s="27"/>
      <c r="I650" s="27"/>
      <c r="J650" s="27"/>
      <c r="K650" s="23"/>
      <c r="L650" s="23"/>
    </row>
    <row r="651" ht="15.75" customHeight="1">
      <c r="A651" s="23"/>
      <c r="B651" s="24"/>
      <c r="C651" s="25"/>
      <c r="D651" s="26"/>
      <c r="E651" s="26"/>
      <c r="F651" s="26"/>
      <c r="G651" s="27"/>
      <c r="H651" s="27"/>
      <c r="I651" s="27"/>
      <c r="J651" s="27"/>
      <c r="K651" s="23"/>
      <c r="L651" s="23"/>
    </row>
    <row r="652" ht="15.75" customHeight="1">
      <c r="A652" s="23"/>
      <c r="B652" s="24"/>
      <c r="C652" s="25"/>
      <c r="D652" s="26"/>
      <c r="E652" s="26"/>
      <c r="F652" s="26"/>
      <c r="G652" s="27"/>
      <c r="H652" s="27"/>
      <c r="I652" s="27"/>
      <c r="J652" s="27"/>
      <c r="K652" s="23"/>
      <c r="L652" s="23"/>
    </row>
    <row r="653" ht="15.75" customHeight="1">
      <c r="A653" s="23"/>
      <c r="B653" s="24"/>
      <c r="C653" s="25"/>
      <c r="D653" s="26"/>
      <c r="E653" s="26"/>
      <c r="F653" s="26"/>
      <c r="G653" s="27"/>
      <c r="H653" s="27"/>
      <c r="I653" s="27"/>
      <c r="J653" s="27"/>
      <c r="K653" s="23"/>
      <c r="L653" s="23"/>
    </row>
    <row r="654" ht="15.75" customHeight="1">
      <c r="A654" s="23"/>
      <c r="B654" s="24"/>
      <c r="C654" s="25"/>
      <c r="D654" s="26"/>
      <c r="E654" s="26"/>
      <c r="F654" s="26"/>
      <c r="G654" s="27"/>
      <c r="H654" s="27"/>
      <c r="I654" s="27"/>
      <c r="J654" s="27"/>
      <c r="K654" s="23"/>
      <c r="L654" s="23"/>
    </row>
    <row r="655" ht="15.75" customHeight="1">
      <c r="A655" s="23"/>
      <c r="B655" s="24"/>
      <c r="C655" s="25"/>
      <c r="D655" s="26"/>
      <c r="E655" s="26"/>
      <c r="F655" s="26"/>
      <c r="G655" s="27"/>
      <c r="H655" s="27"/>
      <c r="I655" s="27"/>
      <c r="J655" s="27"/>
      <c r="K655" s="23"/>
      <c r="L655" s="23"/>
    </row>
    <row r="656" ht="15.75" customHeight="1">
      <c r="A656" s="23"/>
      <c r="B656" s="24"/>
      <c r="C656" s="25"/>
      <c r="D656" s="26"/>
      <c r="E656" s="26"/>
      <c r="F656" s="26"/>
      <c r="G656" s="27"/>
      <c r="H656" s="27"/>
      <c r="I656" s="27"/>
      <c r="J656" s="27"/>
      <c r="K656" s="23"/>
      <c r="L656" s="23"/>
    </row>
    <row r="657" ht="15.75" customHeight="1">
      <c r="A657" s="23"/>
      <c r="B657" s="24"/>
      <c r="C657" s="25"/>
      <c r="D657" s="26"/>
      <c r="E657" s="26"/>
      <c r="F657" s="26"/>
      <c r="G657" s="27"/>
      <c r="H657" s="27"/>
      <c r="I657" s="27"/>
      <c r="J657" s="27"/>
      <c r="K657" s="23"/>
      <c r="L657" s="23"/>
    </row>
    <row r="658" ht="15.75" customHeight="1">
      <c r="A658" s="23"/>
      <c r="B658" s="24"/>
      <c r="C658" s="25"/>
      <c r="D658" s="26"/>
      <c r="E658" s="26"/>
      <c r="F658" s="26"/>
      <c r="G658" s="27"/>
      <c r="H658" s="27"/>
      <c r="I658" s="27"/>
      <c r="J658" s="27"/>
      <c r="K658" s="23"/>
      <c r="L658" s="23"/>
    </row>
    <row r="659" ht="15.75" customHeight="1">
      <c r="A659" s="23"/>
      <c r="B659" s="24"/>
      <c r="C659" s="25"/>
      <c r="D659" s="26"/>
      <c r="E659" s="26"/>
      <c r="F659" s="26"/>
      <c r="G659" s="27"/>
      <c r="H659" s="27"/>
      <c r="I659" s="27"/>
      <c r="J659" s="27"/>
      <c r="K659" s="23"/>
      <c r="L659" s="23"/>
    </row>
    <row r="660" ht="15.75" customHeight="1">
      <c r="A660" s="23"/>
      <c r="B660" s="24"/>
      <c r="C660" s="25"/>
      <c r="D660" s="26"/>
      <c r="E660" s="26"/>
      <c r="F660" s="26"/>
      <c r="G660" s="27"/>
      <c r="H660" s="27"/>
      <c r="I660" s="27"/>
      <c r="J660" s="27"/>
      <c r="K660" s="23"/>
      <c r="L660" s="23"/>
    </row>
    <row r="661" ht="15.75" customHeight="1">
      <c r="A661" s="23"/>
      <c r="B661" s="24"/>
      <c r="C661" s="25"/>
      <c r="D661" s="26"/>
      <c r="E661" s="26"/>
      <c r="F661" s="26"/>
      <c r="G661" s="27"/>
      <c r="H661" s="27"/>
      <c r="I661" s="27"/>
      <c r="J661" s="27"/>
      <c r="K661" s="23"/>
      <c r="L661" s="23"/>
    </row>
    <row r="662" ht="15.75" customHeight="1">
      <c r="A662" s="23"/>
      <c r="B662" s="24"/>
      <c r="C662" s="25"/>
      <c r="D662" s="26"/>
      <c r="E662" s="26"/>
      <c r="F662" s="26"/>
      <c r="G662" s="27"/>
      <c r="H662" s="27"/>
      <c r="I662" s="27"/>
      <c r="J662" s="27"/>
      <c r="K662" s="23"/>
      <c r="L662" s="23"/>
    </row>
    <row r="663" ht="15.75" customHeight="1">
      <c r="A663" s="23"/>
      <c r="B663" s="24"/>
      <c r="C663" s="25"/>
      <c r="D663" s="26"/>
      <c r="E663" s="26"/>
      <c r="F663" s="26"/>
      <c r="G663" s="27"/>
      <c r="H663" s="27"/>
      <c r="I663" s="27"/>
      <c r="J663" s="27"/>
      <c r="K663" s="23"/>
      <c r="L663" s="23"/>
    </row>
    <row r="664" ht="15.75" customHeight="1">
      <c r="A664" s="23"/>
      <c r="B664" s="24"/>
      <c r="C664" s="25"/>
      <c r="D664" s="26"/>
      <c r="E664" s="26"/>
      <c r="F664" s="26"/>
      <c r="G664" s="27"/>
      <c r="H664" s="27"/>
      <c r="I664" s="27"/>
      <c r="J664" s="27"/>
      <c r="K664" s="23"/>
      <c r="L664" s="23"/>
    </row>
    <row r="665" ht="15.75" customHeight="1">
      <c r="A665" s="23"/>
      <c r="B665" s="24"/>
      <c r="C665" s="25"/>
      <c r="D665" s="26"/>
      <c r="E665" s="26"/>
      <c r="F665" s="26"/>
      <c r="G665" s="27"/>
      <c r="H665" s="27"/>
      <c r="I665" s="27"/>
      <c r="J665" s="27"/>
      <c r="K665" s="23"/>
      <c r="L665" s="23"/>
    </row>
    <row r="666" ht="15.75" customHeight="1">
      <c r="A666" s="23"/>
      <c r="B666" s="24"/>
      <c r="C666" s="25"/>
      <c r="D666" s="26"/>
      <c r="E666" s="26"/>
      <c r="F666" s="26"/>
      <c r="G666" s="27"/>
      <c r="H666" s="27"/>
      <c r="I666" s="27"/>
      <c r="J666" s="27"/>
      <c r="K666" s="23"/>
      <c r="L666" s="23"/>
    </row>
    <row r="667" ht="15.75" customHeight="1">
      <c r="A667" s="23"/>
      <c r="B667" s="24"/>
      <c r="C667" s="25"/>
      <c r="D667" s="26"/>
      <c r="E667" s="26"/>
      <c r="F667" s="26"/>
      <c r="G667" s="27"/>
      <c r="H667" s="27"/>
      <c r="I667" s="27"/>
      <c r="J667" s="27"/>
      <c r="K667" s="23"/>
      <c r="L667" s="23"/>
    </row>
    <row r="668" ht="15.75" customHeight="1">
      <c r="A668" s="23"/>
      <c r="B668" s="24"/>
      <c r="C668" s="25"/>
      <c r="D668" s="26"/>
      <c r="E668" s="26"/>
      <c r="F668" s="26"/>
      <c r="G668" s="27"/>
      <c r="H668" s="27"/>
      <c r="I668" s="27"/>
      <c r="J668" s="27"/>
      <c r="K668" s="23"/>
      <c r="L668" s="23"/>
    </row>
    <row r="669" ht="15.75" customHeight="1">
      <c r="A669" s="23"/>
      <c r="B669" s="24"/>
      <c r="C669" s="25"/>
      <c r="D669" s="26"/>
      <c r="E669" s="26"/>
      <c r="F669" s="26"/>
      <c r="G669" s="27"/>
      <c r="H669" s="27"/>
      <c r="I669" s="27"/>
      <c r="J669" s="27"/>
      <c r="K669" s="23"/>
      <c r="L669" s="23"/>
    </row>
    <row r="670" ht="15.75" customHeight="1">
      <c r="A670" s="23"/>
      <c r="B670" s="24"/>
      <c r="C670" s="25"/>
      <c r="D670" s="26"/>
      <c r="E670" s="26"/>
      <c r="F670" s="26"/>
      <c r="G670" s="27"/>
      <c r="H670" s="27"/>
      <c r="I670" s="27"/>
      <c r="J670" s="27"/>
      <c r="K670" s="23"/>
      <c r="L670" s="23"/>
    </row>
    <row r="671" ht="15.75" customHeight="1">
      <c r="A671" s="23"/>
      <c r="B671" s="24"/>
      <c r="C671" s="25"/>
      <c r="D671" s="26"/>
      <c r="E671" s="26"/>
      <c r="F671" s="26"/>
      <c r="G671" s="27"/>
      <c r="H671" s="27"/>
      <c r="I671" s="27"/>
      <c r="J671" s="27"/>
      <c r="K671" s="23"/>
      <c r="L671" s="23"/>
    </row>
    <row r="672" ht="15.75" customHeight="1">
      <c r="A672" s="23"/>
      <c r="B672" s="24"/>
      <c r="C672" s="25"/>
      <c r="D672" s="26"/>
      <c r="E672" s="26"/>
      <c r="F672" s="26"/>
      <c r="G672" s="27"/>
      <c r="H672" s="27"/>
      <c r="I672" s="27"/>
      <c r="J672" s="27"/>
      <c r="K672" s="23"/>
      <c r="L672" s="23"/>
    </row>
    <row r="673" ht="15.75" customHeight="1">
      <c r="A673" s="23"/>
      <c r="B673" s="24"/>
      <c r="C673" s="25"/>
      <c r="D673" s="26"/>
      <c r="E673" s="26"/>
      <c r="F673" s="26"/>
      <c r="G673" s="27"/>
      <c r="H673" s="27"/>
      <c r="I673" s="27"/>
      <c r="J673" s="27"/>
      <c r="K673" s="23"/>
      <c r="L673" s="23"/>
    </row>
    <row r="674" ht="15.75" customHeight="1">
      <c r="A674" s="23"/>
      <c r="B674" s="24"/>
      <c r="C674" s="25"/>
      <c r="D674" s="26"/>
      <c r="E674" s="26"/>
      <c r="F674" s="26"/>
      <c r="G674" s="27"/>
      <c r="H674" s="27"/>
      <c r="I674" s="27"/>
      <c r="J674" s="27"/>
      <c r="K674" s="23"/>
      <c r="L674" s="23"/>
    </row>
    <row r="675" ht="15.75" customHeight="1">
      <c r="A675" s="23"/>
      <c r="B675" s="24"/>
      <c r="C675" s="25"/>
      <c r="D675" s="26"/>
      <c r="E675" s="26"/>
      <c r="F675" s="26"/>
      <c r="G675" s="27"/>
      <c r="H675" s="27"/>
      <c r="I675" s="27"/>
      <c r="J675" s="27"/>
      <c r="K675" s="23"/>
      <c r="L675" s="23"/>
    </row>
    <row r="676" ht="15.75" customHeight="1">
      <c r="A676" s="23"/>
      <c r="B676" s="24"/>
      <c r="C676" s="25"/>
      <c r="D676" s="26"/>
      <c r="E676" s="26"/>
      <c r="F676" s="26"/>
      <c r="G676" s="27"/>
      <c r="H676" s="27"/>
      <c r="I676" s="27"/>
      <c r="J676" s="27"/>
      <c r="K676" s="23"/>
      <c r="L676" s="23"/>
    </row>
    <row r="677" ht="15.75" customHeight="1">
      <c r="A677" s="23"/>
      <c r="B677" s="24"/>
      <c r="C677" s="25"/>
      <c r="D677" s="26"/>
      <c r="E677" s="26"/>
      <c r="F677" s="26"/>
      <c r="G677" s="27"/>
      <c r="H677" s="27"/>
      <c r="I677" s="27"/>
      <c r="J677" s="27"/>
      <c r="K677" s="23"/>
      <c r="L677" s="23"/>
    </row>
    <row r="678" ht="15.75" customHeight="1">
      <c r="A678" s="23"/>
      <c r="B678" s="24"/>
      <c r="C678" s="25"/>
      <c r="D678" s="26"/>
      <c r="E678" s="26"/>
      <c r="F678" s="26"/>
      <c r="G678" s="27"/>
      <c r="H678" s="27"/>
      <c r="I678" s="27"/>
      <c r="J678" s="27"/>
      <c r="K678" s="23"/>
      <c r="L678" s="23"/>
    </row>
    <row r="679" ht="15.75" customHeight="1">
      <c r="A679" s="23"/>
      <c r="B679" s="24"/>
      <c r="C679" s="25"/>
      <c r="D679" s="26"/>
      <c r="E679" s="26"/>
      <c r="F679" s="26"/>
      <c r="G679" s="27"/>
      <c r="H679" s="27"/>
      <c r="I679" s="27"/>
      <c r="J679" s="27"/>
      <c r="K679" s="23"/>
      <c r="L679" s="23"/>
    </row>
    <row r="680" ht="15.75" customHeight="1">
      <c r="A680" s="23"/>
      <c r="B680" s="24"/>
      <c r="C680" s="25"/>
      <c r="D680" s="26"/>
      <c r="E680" s="26"/>
      <c r="F680" s="26"/>
      <c r="G680" s="27"/>
      <c r="H680" s="27"/>
      <c r="I680" s="27"/>
      <c r="J680" s="27"/>
      <c r="K680" s="23"/>
      <c r="L680" s="23"/>
    </row>
    <row r="681" ht="15.75" customHeight="1">
      <c r="A681" s="23"/>
      <c r="B681" s="24"/>
      <c r="C681" s="25"/>
      <c r="D681" s="26"/>
      <c r="E681" s="26"/>
      <c r="F681" s="26"/>
      <c r="G681" s="27"/>
      <c r="H681" s="27"/>
      <c r="I681" s="27"/>
      <c r="J681" s="27"/>
      <c r="K681" s="23"/>
      <c r="L681" s="23"/>
    </row>
    <row r="682" ht="15.75" customHeight="1">
      <c r="A682" s="23"/>
      <c r="B682" s="24"/>
      <c r="C682" s="25"/>
      <c r="D682" s="26"/>
      <c r="E682" s="26"/>
      <c r="F682" s="26"/>
      <c r="G682" s="27"/>
      <c r="H682" s="27"/>
      <c r="I682" s="27"/>
      <c r="J682" s="27"/>
      <c r="K682" s="23"/>
      <c r="L682" s="23"/>
    </row>
    <row r="683" ht="15.75" customHeight="1">
      <c r="A683" s="23"/>
      <c r="B683" s="24"/>
      <c r="C683" s="25"/>
      <c r="D683" s="26"/>
      <c r="E683" s="26"/>
      <c r="F683" s="26"/>
      <c r="G683" s="27"/>
      <c r="H683" s="27"/>
      <c r="I683" s="27"/>
      <c r="J683" s="27"/>
      <c r="K683" s="23"/>
      <c r="L683" s="23"/>
    </row>
    <row r="684" ht="15.75" customHeight="1">
      <c r="A684" s="23"/>
      <c r="B684" s="24"/>
      <c r="C684" s="25"/>
      <c r="D684" s="26"/>
      <c r="E684" s="26"/>
      <c r="F684" s="26"/>
      <c r="G684" s="27"/>
      <c r="H684" s="27"/>
      <c r="I684" s="27"/>
      <c r="J684" s="27"/>
      <c r="K684" s="23"/>
      <c r="L684" s="23"/>
    </row>
    <row r="685" ht="15.75" customHeight="1">
      <c r="A685" s="23"/>
      <c r="B685" s="24"/>
      <c r="C685" s="25"/>
      <c r="D685" s="26"/>
      <c r="E685" s="26"/>
      <c r="F685" s="26"/>
      <c r="G685" s="27"/>
      <c r="H685" s="27"/>
      <c r="I685" s="27"/>
      <c r="J685" s="27"/>
      <c r="K685" s="23"/>
      <c r="L685" s="23"/>
    </row>
    <row r="686" ht="15.75" customHeight="1">
      <c r="A686" s="23"/>
      <c r="B686" s="24"/>
      <c r="C686" s="25"/>
      <c r="D686" s="26"/>
      <c r="E686" s="26"/>
      <c r="F686" s="26"/>
      <c r="G686" s="27"/>
      <c r="H686" s="27"/>
      <c r="I686" s="27"/>
      <c r="J686" s="27"/>
      <c r="K686" s="23"/>
      <c r="L686" s="23"/>
    </row>
    <row r="687" ht="15.75" customHeight="1">
      <c r="A687" s="23"/>
      <c r="B687" s="24"/>
      <c r="C687" s="25"/>
      <c r="D687" s="26"/>
      <c r="E687" s="26"/>
      <c r="F687" s="26"/>
      <c r="G687" s="27"/>
      <c r="H687" s="27"/>
      <c r="I687" s="27"/>
      <c r="J687" s="27"/>
      <c r="K687" s="23"/>
      <c r="L687" s="23"/>
    </row>
    <row r="688" ht="15.75" customHeight="1">
      <c r="A688" s="23"/>
      <c r="B688" s="24"/>
      <c r="C688" s="25"/>
      <c r="D688" s="26"/>
      <c r="E688" s="26"/>
      <c r="F688" s="26"/>
      <c r="G688" s="27"/>
      <c r="H688" s="27"/>
      <c r="I688" s="27"/>
      <c r="J688" s="27"/>
      <c r="K688" s="23"/>
      <c r="L688" s="23"/>
    </row>
    <row r="689" ht="15.75" customHeight="1">
      <c r="A689" s="23"/>
      <c r="B689" s="24"/>
      <c r="C689" s="25"/>
      <c r="D689" s="26"/>
      <c r="E689" s="26"/>
      <c r="F689" s="26"/>
      <c r="G689" s="27"/>
      <c r="H689" s="27"/>
      <c r="I689" s="27"/>
      <c r="J689" s="27"/>
      <c r="K689" s="23"/>
      <c r="L689" s="23"/>
    </row>
    <row r="690" ht="15.75" customHeight="1">
      <c r="A690" s="23"/>
      <c r="B690" s="24"/>
      <c r="C690" s="25"/>
      <c r="D690" s="26"/>
      <c r="E690" s="26"/>
      <c r="F690" s="26"/>
      <c r="G690" s="27"/>
      <c r="H690" s="27"/>
      <c r="I690" s="27"/>
      <c r="J690" s="27"/>
      <c r="K690" s="23"/>
      <c r="L690" s="23"/>
    </row>
    <row r="691" ht="15.75" customHeight="1">
      <c r="A691" s="23"/>
      <c r="B691" s="24"/>
      <c r="C691" s="25"/>
      <c r="D691" s="26"/>
      <c r="E691" s="26"/>
      <c r="F691" s="26"/>
      <c r="G691" s="27"/>
      <c r="H691" s="27"/>
      <c r="I691" s="27"/>
      <c r="J691" s="27"/>
      <c r="K691" s="23"/>
      <c r="L691" s="23"/>
    </row>
    <row r="692" ht="15.75" customHeight="1">
      <c r="A692" s="23"/>
      <c r="B692" s="24"/>
      <c r="C692" s="25"/>
      <c r="D692" s="26"/>
      <c r="E692" s="26"/>
      <c r="F692" s="26"/>
      <c r="G692" s="27"/>
      <c r="H692" s="27"/>
      <c r="I692" s="27"/>
      <c r="J692" s="27"/>
      <c r="K692" s="23"/>
      <c r="L692" s="23"/>
    </row>
    <row r="693" ht="15.75" customHeight="1">
      <c r="A693" s="23"/>
      <c r="B693" s="24"/>
      <c r="C693" s="25"/>
      <c r="D693" s="26"/>
      <c r="E693" s="26"/>
      <c r="F693" s="26"/>
      <c r="G693" s="27"/>
      <c r="H693" s="27"/>
      <c r="I693" s="27"/>
      <c r="J693" s="27"/>
      <c r="K693" s="23"/>
      <c r="L693" s="23"/>
    </row>
    <row r="694" ht="15.75" customHeight="1">
      <c r="A694" s="23"/>
      <c r="B694" s="24"/>
      <c r="C694" s="25"/>
      <c r="D694" s="26"/>
      <c r="E694" s="26"/>
      <c r="F694" s="26"/>
      <c r="G694" s="27"/>
      <c r="H694" s="27"/>
      <c r="I694" s="27"/>
      <c r="J694" s="27"/>
      <c r="K694" s="23"/>
      <c r="L694" s="23"/>
    </row>
    <row r="695" ht="15.75" customHeight="1">
      <c r="A695" s="23"/>
      <c r="B695" s="24"/>
      <c r="C695" s="25"/>
      <c r="D695" s="26"/>
      <c r="E695" s="26"/>
      <c r="F695" s="26"/>
      <c r="G695" s="27"/>
      <c r="H695" s="27"/>
      <c r="I695" s="27"/>
      <c r="J695" s="27"/>
      <c r="K695" s="23"/>
      <c r="L695" s="23"/>
    </row>
    <row r="696" ht="15.75" customHeight="1">
      <c r="A696" s="23"/>
      <c r="B696" s="24"/>
      <c r="C696" s="25"/>
      <c r="D696" s="26"/>
      <c r="E696" s="26"/>
      <c r="F696" s="26"/>
      <c r="G696" s="27"/>
      <c r="H696" s="27"/>
      <c r="I696" s="27"/>
      <c r="J696" s="27"/>
      <c r="K696" s="23"/>
      <c r="L696" s="23"/>
    </row>
    <row r="697" ht="15.75" customHeight="1">
      <c r="A697" s="23"/>
      <c r="B697" s="24"/>
      <c r="C697" s="25"/>
      <c r="D697" s="26"/>
      <c r="E697" s="26"/>
      <c r="F697" s="26"/>
      <c r="G697" s="27"/>
      <c r="H697" s="27"/>
      <c r="I697" s="27"/>
      <c r="J697" s="27"/>
      <c r="K697" s="23"/>
      <c r="L697" s="23"/>
    </row>
    <row r="698" ht="15.75" customHeight="1">
      <c r="A698" s="23"/>
      <c r="B698" s="24"/>
      <c r="C698" s="25"/>
      <c r="D698" s="26"/>
      <c r="E698" s="26"/>
      <c r="F698" s="26"/>
      <c r="G698" s="27"/>
      <c r="H698" s="27"/>
      <c r="I698" s="27"/>
      <c r="J698" s="27"/>
      <c r="K698" s="23"/>
      <c r="L698" s="23"/>
    </row>
    <row r="699" ht="15.75" customHeight="1">
      <c r="A699" s="23"/>
      <c r="B699" s="24"/>
      <c r="C699" s="25"/>
      <c r="D699" s="26"/>
      <c r="E699" s="26"/>
      <c r="F699" s="26"/>
      <c r="G699" s="27"/>
      <c r="H699" s="27"/>
      <c r="I699" s="27"/>
      <c r="J699" s="27"/>
      <c r="K699" s="23"/>
      <c r="L699" s="23"/>
    </row>
    <row r="700" ht="15.75" customHeight="1">
      <c r="A700" s="23"/>
      <c r="B700" s="24"/>
      <c r="C700" s="25"/>
      <c r="D700" s="26"/>
      <c r="E700" s="26"/>
      <c r="F700" s="26"/>
      <c r="G700" s="27"/>
      <c r="H700" s="27"/>
      <c r="I700" s="27"/>
      <c r="J700" s="27"/>
      <c r="K700" s="23"/>
      <c r="L700" s="23"/>
    </row>
    <row r="701" ht="15.75" customHeight="1">
      <c r="A701" s="23"/>
      <c r="B701" s="24"/>
      <c r="C701" s="25"/>
      <c r="D701" s="26"/>
      <c r="E701" s="26"/>
      <c r="F701" s="26"/>
      <c r="G701" s="27"/>
      <c r="H701" s="27"/>
      <c r="I701" s="27"/>
      <c r="J701" s="27"/>
      <c r="K701" s="23"/>
      <c r="L701" s="23"/>
    </row>
    <row r="702" ht="15.75" customHeight="1">
      <c r="A702" s="23"/>
      <c r="B702" s="24"/>
      <c r="C702" s="25"/>
      <c r="D702" s="26"/>
      <c r="E702" s="26"/>
      <c r="F702" s="26"/>
      <c r="G702" s="27"/>
      <c r="H702" s="27"/>
      <c r="I702" s="27"/>
      <c r="J702" s="27"/>
      <c r="K702" s="23"/>
      <c r="L702" s="23"/>
    </row>
    <row r="703" ht="15.75" customHeight="1">
      <c r="A703" s="23"/>
      <c r="B703" s="24"/>
      <c r="C703" s="25"/>
      <c r="D703" s="26"/>
      <c r="E703" s="26"/>
      <c r="F703" s="26"/>
      <c r="G703" s="27"/>
      <c r="H703" s="27"/>
      <c r="I703" s="27"/>
      <c r="J703" s="27"/>
      <c r="K703" s="23"/>
      <c r="L703" s="23"/>
    </row>
    <row r="704" ht="15.75" customHeight="1">
      <c r="A704" s="23"/>
      <c r="B704" s="24"/>
      <c r="C704" s="25"/>
      <c r="D704" s="26"/>
      <c r="E704" s="26"/>
      <c r="F704" s="26"/>
      <c r="G704" s="27"/>
      <c r="H704" s="27"/>
      <c r="I704" s="27"/>
      <c r="J704" s="27"/>
      <c r="K704" s="23"/>
      <c r="L704" s="23"/>
    </row>
    <row r="705" ht="15.75" customHeight="1">
      <c r="A705" s="23"/>
      <c r="B705" s="24"/>
      <c r="C705" s="25"/>
      <c r="D705" s="26"/>
      <c r="E705" s="26"/>
      <c r="F705" s="26"/>
      <c r="G705" s="27"/>
      <c r="H705" s="27"/>
      <c r="I705" s="27"/>
      <c r="J705" s="27"/>
      <c r="K705" s="23"/>
      <c r="L705" s="23"/>
    </row>
    <row r="706" ht="15.75" customHeight="1">
      <c r="A706" s="23"/>
      <c r="B706" s="24"/>
      <c r="C706" s="25"/>
      <c r="D706" s="26"/>
      <c r="E706" s="26"/>
      <c r="F706" s="26"/>
      <c r="G706" s="27"/>
      <c r="H706" s="27"/>
      <c r="I706" s="27"/>
      <c r="J706" s="27"/>
      <c r="K706" s="23"/>
      <c r="L706" s="23"/>
    </row>
    <row r="707" ht="15.75" customHeight="1">
      <c r="A707" s="23"/>
      <c r="B707" s="24"/>
      <c r="C707" s="25"/>
      <c r="D707" s="26"/>
      <c r="E707" s="26"/>
      <c r="F707" s="26"/>
      <c r="G707" s="27"/>
      <c r="H707" s="27"/>
      <c r="I707" s="27"/>
      <c r="J707" s="27"/>
      <c r="K707" s="23"/>
      <c r="L707" s="23"/>
    </row>
    <row r="708" ht="15.75" customHeight="1">
      <c r="A708" s="23"/>
      <c r="B708" s="24"/>
      <c r="C708" s="25"/>
      <c r="D708" s="26"/>
      <c r="E708" s="26"/>
      <c r="F708" s="26"/>
      <c r="G708" s="27"/>
      <c r="H708" s="27"/>
      <c r="I708" s="27"/>
      <c r="J708" s="27"/>
      <c r="K708" s="23"/>
      <c r="L708" s="23"/>
    </row>
    <row r="709" ht="15.75" customHeight="1">
      <c r="A709" s="23"/>
      <c r="B709" s="24"/>
      <c r="C709" s="25"/>
      <c r="D709" s="26"/>
      <c r="E709" s="26"/>
      <c r="F709" s="26"/>
      <c r="G709" s="27"/>
      <c r="H709" s="27"/>
      <c r="I709" s="27"/>
      <c r="J709" s="27"/>
      <c r="K709" s="23"/>
      <c r="L709" s="23"/>
    </row>
    <row r="710" ht="15.75" customHeight="1">
      <c r="A710" s="23"/>
      <c r="B710" s="24"/>
      <c r="C710" s="25"/>
      <c r="D710" s="26"/>
      <c r="E710" s="26"/>
      <c r="F710" s="26"/>
      <c r="G710" s="27"/>
      <c r="H710" s="27"/>
      <c r="I710" s="27"/>
      <c r="J710" s="27"/>
      <c r="K710" s="23"/>
      <c r="L710" s="23"/>
    </row>
    <row r="711" ht="15.75" customHeight="1">
      <c r="A711" s="23"/>
      <c r="B711" s="24"/>
      <c r="C711" s="25"/>
      <c r="D711" s="26"/>
      <c r="E711" s="26"/>
      <c r="F711" s="26"/>
      <c r="G711" s="27"/>
      <c r="H711" s="27"/>
      <c r="I711" s="27"/>
      <c r="J711" s="27"/>
      <c r="K711" s="23"/>
      <c r="L711" s="23"/>
    </row>
    <row r="712" ht="15.75" customHeight="1">
      <c r="A712" s="23"/>
      <c r="B712" s="24"/>
      <c r="C712" s="25"/>
      <c r="D712" s="26"/>
      <c r="E712" s="26"/>
      <c r="F712" s="26"/>
      <c r="G712" s="27"/>
      <c r="H712" s="27"/>
      <c r="I712" s="27"/>
      <c r="J712" s="27"/>
      <c r="K712" s="23"/>
      <c r="L712" s="23"/>
    </row>
    <row r="713" ht="15.75" customHeight="1">
      <c r="A713" s="23"/>
      <c r="B713" s="24"/>
      <c r="C713" s="25"/>
      <c r="D713" s="26"/>
      <c r="E713" s="26"/>
      <c r="F713" s="26"/>
      <c r="G713" s="27"/>
      <c r="H713" s="27"/>
      <c r="I713" s="27"/>
      <c r="J713" s="27"/>
      <c r="K713" s="23"/>
      <c r="L713" s="23"/>
    </row>
    <row r="714" ht="15.75" customHeight="1">
      <c r="A714" s="23"/>
      <c r="B714" s="24"/>
      <c r="C714" s="25"/>
      <c r="D714" s="26"/>
      <c r="E714" s="26"/>
      <c r="F714" s="26"/>
      <c r="G714" s="27"/>
      <c r="H714" s="27"/>
      <c r="I714" s="27"/>
      <c r="J714" s="27"/>
      <c r="K714" s="23"/>
      <c r="L714" s="23"/>
    </row>
    <row r="715" ht="15.75" customHeight="1">
      <c r="A715" s="23"/>
      <c r="B715" s="24"/>
      <c r="C715" s="25"/>
      <c r="D715" s="26"/>
      <c r="E715" s="26"/>
      <c r="F715" s="26"/>
      <c r="G715" s="27"/>
      <c r="H715" s="27"/>
      <c r="I715" s="27"/>
      <c r="J715" s="27"/>
      <c r="K715" s="23"/>
      <c r="L715" s="23"/>
    </row>
    <row r="716" ht="15.75" customHeight="1">
      <c r="A716" s="23"/>
      <c r="B716" s="24"/>
      <c r="C716" s="25"/>
      <c r="D716" s="26"/>
      <c r="E716" s="26"/>
      <c r="F716" s="26"/>
      <c r="G716" s="27"/>
      <c r="H716" s="27"/>
      <c r="I716" s="27"/>
      <c r="J716" s="27"/>
      <c r="K716" s="23"/>
      <c r="L716" s="23"/>
    </row>
    <row r="717" ht="15.75" customHeight="1">
      <c r="A717" s="23"/>
      <c r="B717" s="24"/>
      <c r="C717" s="25"/>
      <c r="D717" s="26"/>
      <c r="E717" s="26"/>
      <c r="F717" s="26"/>
      <c r="G717" s="27"/>
      <c r="H717" s="27"/>
      <c r="I717" s="27"/>
      <c r="J717" s="27"/>
      <c r="K717" s="23"/>
      <c r="L717" s="23"/>
    </row>
    <row r="718" ht="15.75" customHeight="1">
      <c r="A718" s="23"/>
      <c r="B718" s="24"/>
      <c r="C718" s="25"/>
      <c r="D718" s="26"/>
      <c r="E718" s="26"/>
      <c r="F718" s="26"/>
      <c r="G718" s="27"/>
      <c r="H718" s="27"/>
      <c r="I718" s="27"/>
      <c r="J718" s="27"/>
      <c r="K718" s="23"/>
      <c r="L718" s="23"/>
    </row>
    <row r="719" ht="15.75" customHeight="1">
      <c r="A719" s="23"/>
      <c r="B719" s="24"/>
      <c r="C719" s="25"/>
      <c r="D719" s="26"/>
      <c r="E719" s="26"/>
      <c r="F719" s="26"/>
      <c r="G719" s="27"/>
      <c r="H719" s="27"/>
      <c r="I719" s="27"/>
      <c r="J719" s="27"/>
      <c r="K719" s="23"/>
      <c r="L719" s="23"/>
    </row>
    <row r="720" ht="15.75" customHeight="1">
      <c r="A720" s="23"/>
      <c r="B720" s="24"/>
      <c r="C720" s="25"/>
      <c r="D720" s="26"/>
      <c r="E720" s="26"/>
      <c r="F720" s="26"/>
      <c r="G720" s="27"/>
      <c r="H720" s="27"/>
      <c r="I720" s="27"/>
      <c r="J720" s="27"/>
      <c r="K720" s="23"/>
      <c r="L720" s="23"/>
    </row>
    <row r="721" ht="15.75" customHeight="1">
      <c r="A721" s="23"/>
      <c r="B721" s="24"/>
      <c r="C721" s="25"/>
      <c r="D721" s="26"/>
      <c r="E721" s="26"/>
      <c r="F721" s="26"/>
      <c r="G721" s="27"/>
      <c r="H721" s="27"/>
      <c r="I721" s="27"/>
      <c r="J721" s="27"/>
      <c r="K721" s="23"/>
      <c r="L721" s="23"/>
    </row>
    <row r="722" ht="15.75" customHeight="1">
      <c r="A722" s="23"/>
      <c r="B722" s="24"/>
      <c r="C722" s="25"/>
      <c r="D722" s="26"/>
      <c r="E722" s="26"/>
      <c r="F722" s="26"/>
      <c r="G722" s="27"/>
      <c r="H722" s="27"/>
      <c r="I722" s="27"/>
      <c r="J722" s="27"/>
      <c r="K722" s="23"/>
      <c r="L722" s="23"/>
    </row>
    <row r="723" ht="15.75" customHeight="1">
      <c r="A723" s="23"/>
      <c r="B723" s="24"/>
      <c r="C723" s="25"/>
      <c r="D723" s="26"/>
      <c r="E723" s="26"/>
      <c r="F723" s="26"/>
      <c r="G723" s="27"/>
      <c r="H723" s="27"/>
      <c r="I723" s="27"/>
      <c r="J723" s="27"/>
      <c r="K723" s="23"/>
      <c r="L723" s="23"/>
    </row>
    <row r="724" ht="15.75" customHeight="1">
      <c r="A724" s="23"/>
      <c r="B724" s="24"/>
      <c r="C724" s="25"/>
      <c r="D724" s="26"/>
      <c r="E724" s="26"/>
      <c r="F724" s="26"/>
      <c r="G724" s="27"/>
      <c r="H724" s="27"/>
      <c r="I724" s="27"/>
      <c r="J724" s="27"/>
      <c r="K724" s="23"/>
      <c r="L724" s="23"/>
    </row>
    <row r="725" ht="15.75" customHeight="1">
      <c r="A725" s="23"/>
      <c r="B725" s="24"/>
      <c r="C725" s="25"/>
      <c r="D725" s="26"/>
      <c r="E725" s="26"/>
      <c r="F725" s="26"/>
      <c r="G725" s="27"/>
      <c r="H725" s="27"/>
      <c r="I725" s="27"/>
      <c r="J725" s="27"/>
      <c r="K725" s="23"/>
      <c r="L725" s="23"/>
    </row>
    <row r="726" ht="15.75" customHeight="1">
      <c r="A726" s="23"/>
      <c r="B726" s="24"/>
      <c r="C726" s="25"/>
      <c r="D726" s="26"/>
      <c r="E726" s="26"/>
      <c r="F726" s="26"/>
      <c r="G726" s="27"/>
      <c r="H726" s="27"/>
      <c r="I726" s="27"/>
      <c r="J726" s="27"/>
      <c r="K726" s="23"/>
      <c r="L726" s="23"/>
    </row>
    <row r="727" ht="15.75" customHeight="1">
      <c r="A727" s="23"/>
      <c r="B727" s="24"/>
      <c r="C727" s="25"/>
      <c r="D727" s="26"/>
      <c r="E727" s="26"/>
      <c r="F727" s="26"/>
      <c r="G727" s="27"/>
      <c r="H727" s="27"/>
      <c r="I727" s="27"/>
      <c r="J727" s="27"/>
      <c r="K727" s="23"/>
      <c r="L727" s="23"/>
    </row>
    <row r="728" ht="15.75" customHeight="1">
      <c r="A728" s="23"/>
      <c r="B728" s="24"/>
      <c r="C728" s="25"/>
      <c r="D728" s="26"/>
      <c r="E728" s="26"/>
      <c r="F728" s="26"/>
      <c r="G728" s="27"/>
      <c r="H728" s="27"/>
      <c r="I728" s="27"/>
      <c r="J728" s="27"/>
      <c r="K728" s="23"/>
      <c r="L728" s="23"/>
    </row>
    <row r="729" ht="15.75" customHeight="1">
      <c r="A729" s="23"/>
      <c r="B729" s="24"/>
      <c r="C729" s="25"/>
      <c r="D729" s="26"/>
      <c r="E729" s="26"/>
      <c r="F729" s="26"/>
      <c r="G729" s="27"/>
      <c r="H729" s="27"/>
      <c r="I729" s="27"/>
      <c r="J729" s="27"/>
      <c r="K729" s="23"/>
      <c r="L729" s="23"/>
    </row>
    <row r="730" ht="15.75" customHeight="1">
      <c r="A730" s="23"/>
      <c r="B730" s="24"/>
      <c r="C730" s="25"/>
      <c r="D730" s="26"/>
      <c r="E730" s="26"/>
      <c r="F730" s="26"/>
      <c r="G730" s="27"/>
      <c r="H730" s="27"/>
      <c r="I730" s="27"/>
      <c r="J730" s="27"/>
      <c r="K730" s="23"/>
      <c r="L730" s="23"/>
    </row>
    <row r="731" ht="15.75" customHeight="1">
      <c r="A731" s="23"/>
      <c r="B731" s="24"/>
      <c r="C731" s="25"/>
      <c r="D731" s="26"/>
      <c r="E731" s="26"/>
      <c r="F731" s="26"/>
      <c r="G731" s="27"/>
      <c r="H731" s="27"/>
      <c r="I731" s="27"/>
      <c r="J731" s="27"/>
      <c r="K731" s="23"/>
      <c r="L731" s="23"/>
    </row>
    <row r="732" ht="15.75" customHeight="1">
      <c r="A732" s="23"/>
      <c r="B732" s="24"/>
      <c r="C732" s="25"/>
      <c r="D732" s="26"/>
      <c r="E732" s="26"/>
      <c r="F732" s="26"/>
      <c r="G732" s="27"/>
      <c r="H732" s="27"/>
      <c r="I732" s="27"/>
      <c r="J732" s="27"/>
      <c r="K732" s="23"/>
      <c r="L732" s="23"/>
    </row>
    <row r="733" ht="15.75" customHeight="1">
      <c r="A733" s="23"/>
      <c r="B733" s="24"/>
      <c r="C733" s="25"/>
      <c r="D733" s="26"/>
      <c r="E733" s="26"/>
      <c r="F733" s="26"/>
      <c r="G733" s="27"/>
      <c r="H733" s="27"/>
      <c r="I733" s="27"/>
      <c r="J733" s="27"/>
      <c r="K733" s="23"/>
      <c r="L733" s="23"/>
    </row>
    <row r="734" ht="15.75" customHeight="1">
      <c r="A734" s="23"/>
      <c r="B734" s="24"/>
      <c r="C734" s="25"/>
      <c r="D734" s="26"/>
      <c r="E734" s="26"/>
      <c r="F734" s="26"/>
      <c r="G734" s="27"/>
      <c r="H734" s="27"/>
      <c r="I734" s="27"/>
      <c r="J734" s="27"/>
      <c r="K734" s="23"/>
      <c r="L734" s="23"/>
    </row>
    <row r="735" ht="15.75" customHeight="1">
      <c r="A735" s="23"/>
      <c r="B735" s="24"/>
      <c r="C735" s="25"/>
      <c r="D735" s="26"/>
      <c r="E735" s="26"/>
      <c r="F735" s="26"/>
      <c r="G735" s="27"/>
      <c r="H735" s="27"/>
      <c r="I735" s="27"/>
      <c r="J735" s="27"/>
      <c r="K735" s="23"/>
      <c r="L735" s="23"/>
    </row>
    <row r="736" ht="15.75" customHeight="1">
      <c r="A736" s="23"/>
      <c r="B736" s="24"/>
      <c r="C736" s="25"/>
      <c r="D736" s="26"/>
      <c r="E736" s="26"/>
      <c r="F736" s="26"/>
      <c r="G736" s="27"/>
      <c r="H736" s="27"/>
      <c r="I736" s="27"/>
      <c r="J736" s="27"/>
      <c r="K736" s="23"/>
      <c r="L736" s="23"/>
    </row>
    <row r="737" ht="15.75" customHeight="1">
      <c r="A737" s="23"/>
      <c r="B737" s="24"/>
      <c r="C737" s="25"/>
      <c r="D737" s="26"/>
      <c r="E737" s="26"/>
      <c r="F737" s="26"/>
      <c r="G737" s="27"/>
      <c r="H737" s="27"/>
      <c r="I737" s="27"/>
      <c r="J737" s="27"/>
      <c r="K737" s="23"/>
      <c r="L737" s="23"/>
    </row>
    <row r="738" ht="15.75" customHeight="1">
      <c r="A738" s="23"/>
      <c r="B738" s="24"/>
      <c r="C738" s="25"/>
      <c r="D738" s="26"/>
      <c r="E738" s="26"/>
      <c r="F738" s="26"/>
      <c r="G738" s="27"/>
      <c r="H738" s="27"/>
      <c r="I738" s="27"/>
      <c r="J738" s="27"/>
      <c r="K738" s="23"/>
      <c r="L738" s="23"/>
    </row>
    <row r="739" ht="15.75" customHeight="1">
      <c r="A739" s="23"/>
      <c r="B739" s="24"/>
      <c r="C739" s="25"/>
      <c r="D739" s="26"/>
      <c r="E739" s="26"/>
      <c r="F739" s="26"/>
      <c r="G739" s="27"/>
      <c r="H739" s="27"/>
      <c r="I739" s="27"/>
      <c r="J739" s="27"/>
      <c r="K739" s="23"/>
      <c r="L739" s="23"/>
    </row>
    <row r="740" ht="15.75" customHeight="1">
      <c r="A740" s="23"/>
      <c r="B740" s="24"/>
      <c r="C740" s="25"/>
      <c r="D740" s="26"/>
      <c r="E740" s="26"/>
      <c r="F740" s="26"/>
      <c r="G740" s="27"/>
      <c r="H740" s="27"/>
      <c r="I740" s="27"/>
      <c r="J740" s="27"/>
      <c r="K740" s="23"/>
      <c r="L740" s="23"/>
    </row>
    <row r="741" ht="15.75" customHeight="1">
      <c r="A741" s="23"/>
      <c r="B741" s="24"/>
      <c r="C741" s="25"/>
      <c r="D741" s="26"/>
      <c r="E741" s="26"/>
      <c r="F741" s="26"/>
      <c r="G741" s="27"/>
      <c r="H741" s="27"/>
      <c r="I741" s="27"/>
      <c r="J741" s="27"/>
      <c r="K741" s="23"/>
      <c r="L741" s="23"/>
    </row>
    <row r="742" ht="15.75" customHeight="1">
      <c r="A742" s="23"/>
      <c r="B742" s="24"/>
      <c r="C742" s="25"/>
      <c r="D742" s="26"/>
      <c r="E742" s="26"/>
      <c r="F742" s="26"/>
      <c r="G742" s="27"/>
      <c r="H742" s="27"/>
      <c r="I742" s="27"/>
      <c r="J742" s="27"/>
      <c r="K742" s="23"/>
      <c r="L742" s="23"/>
    </row>
    <row r="743" ht="15.75" customHeight="1">
      <c r="A743" s="23"/>
      <c r="B743" s="24"/>
      <c r="C743" s="25"/>
      <c r="D743" s="26"/>
      <c r="E743" s="26"/>
      <c r="F743" s="26"/>
      <c r="G743" s="27"/>
      <c r="H743" s="27"/>
      <c r="I743" s="27"/>
      <c r="J743" s="27"/>
      <c r="K743" s="23"/>
      <c r="L743" s="23"/>
    </row>
    <row r="744" ht="15.75" customHeight="1">
      <c r="A744" s="23"/>
      <c r="B744" s="24"/>
      <c r="C744" s="25"/>
      <c r="D744" s="26"/>
      <c r="E744" s="26"/>
      <c r="F744" s="26"/>
      <c r="G744" s="27"/>
      <c r="H744" s="27"/>
      <c r="I744" s="27"/>
      <c r="J744" s="27"/>
      <c r="K744" s="23"/>
      <c r="L744" s="23"/>
    </row>
    <row r="745" ht="15.75" customHeight="1">
      <c r="A745" s="23"/>
      <c r="B745" s="24"/>
      <c r="C745" s="25"/>
      <c r="D745" s="26"/>
      <c r="E745" s="26"/>
      <c r="F745" s="26"/>
      <c r="G745" s="27"/>
      <c r="H745" s="27"/>
      <c r="I745" s="27"/>
      <c r="J745" s="27"/>
      <c r="K745" s="23"/>
      <c r="L745" s="23"/>
    </row>
    <row r="746" ht="15.75" customHeight="1">
      <c r="A746" s="23"/>
      <c r="B746" s="24"/>
      <c r="C746" s="25"/>
      <c r="D746" s="26"/>
      <c r="E746" s="26"/>
      <c r="F746" s="26"/>
      <c r="G746" s="27"/>
      <c r="H746" s="27"/>
      <c r="I746" s="27"/>
      <c r="J746" s="27"/>
      <c r="K746" s="23"/>
      <c r="L746" s="23"/>
    </row>
    <row r="747" ht="15.75" customHeight="1">
      <c r="A747" s="23"/>
      <c r="B747" s="24"/>
      <c r="C747" s="25"/>
      <c r="D747" s="26"/>
      <c r="E747" s="26"/>
      <c r="F747" s="26"/>
      <c r="G747" s="27"/>
      <c r="H747" s="27"/>
      <c r="I747" s="27"/>
      <c r="J747" s="27"/>
      <c r="K747" s="23"/>
      <c r="L747" s="23"/>
    </row>
    <row r="748" ht="15.75" customHeight="1">
      <c r="A748" s="23"/>
      <c r="B748" s="24"/>
      <c r="C748" s="25"/>
      <c r="D748" s="26"/>
      <c r="E748" s="26"/>
      <c r="F748" s="26"/>
      <c r="G748" s="27"/>
      <c r="H748" s="27"/>
      <c r="I748" s="27"/>
      <c r="J748" s="27"/>
      <c r="K748" s="23"/>
      <c r="L748" s="23"/>
    </row>
    <row r="749" ht="15.75" customHeight="1">
      <c r="A749" s="23"/>
      <c r="B749" s="24"/>
      <c r="C749" s="25"/>
      <c r="D749" s="26"/>
      <c r="E749" s="26"/>
      <c r="F749" s="26"/>
      <c r="G749" s="27"/>
      <c r="H749" s="27"/>
      <c r="I749" s="27"/>
      <c r="J749" s="27"/>
      <c r="K749" s="23"/>
      <c r="L749" s="23"/>
    </row>
    <row r="750" ht="15.75" customHeight="1">
      <c r="A750" s="23"/>
      <c r="B750" s="24"/>
      <c r="C750" s="25"/>
      <c r="D750" s="26"/>
      <c r="E750" s="26"/>
      <c r="F750" s="26"/>
      <c r="G750" s="27"/>
      <c r="H750" s="27"/>
      <c r="I750" s="27"/>
      <c r="J750" s="27"/>
      <c r="K750" s="23"/>
      <c r="L750" s="23"/>
    </row>
    <row r="751" ht="15.75" customHeight="1">
      <c r="A751" s="23"/>
      <c r="B751" s="24"/>
      <c r="C751" s="25"/>
      <c r="D751" s="26"/>
      <c r="E751" s="26"/>
      <c r="F751" s="26"/>
      <c r="G751" s="27"/>
      <c r="H751" s="27"/>
      <c r="I751" s="27"/>
      <c r="J751" s="27"/>
      <c r="K751" s="23"/>
      <c r="L751" s="23"/>
    </row>
    <row r="752" ht="15.75" customHeight="1">
      <c r="A752" s="23"/>
      <c r="B752" s="24"/>
      <c r="C752" s="25"/>
      <c r="D752" s="26"/>
      <c r="E752" s="26"/>
      <c r="F752" s="26"/>
      <c r="G752" s="27"/>
      <c r="H752" s="27"/>
      <c r="I752" s="27"/>
      <c r="J752" s="27"/>
      <c r="K752" s="23"/>
      <c r="L752" s="23"/>
    </row>
    <row r="753" ht="15.75" customHeight="1">
      <c r="A753" s="23"/>
      <c r="B753" s="24"/>
      <c r="C753" s="25"/>
      <c r="D753" s="26"/>
      <c r="E753" s="26"/>
      <c r="F753" s="26"/>
      <c r="G753" s="27"/>
      <c r="H753" s="27"/>
      <c r="I753" s="27"/>
      <c r="J753" s="27"/>
      <c r="K753" s="23"/>
      <c r="L753" s="23"/>
    </row>
    <row r="754" ht="15.75" customHeight="1">
      <c r="A754" s="23"/>
      <c r="B754" s="24"/>
      <c r="C754" s="25"/>
      <c r="D754" s="26"/>
      <c r="E754" s="26"/>
      <c r="F754" s="26"/>
      <c r="G754" s="27"/>
      <c r="H754" s="27"/>
      <c r="I754" s="27"/>
      <c r="J754" s="27"/>
      <c r="K754" s="23"/>
      <c r="L754" s="23"/>
    </row>
    <row r="755" ht="15.75" customHeight="1">
      <c r="A755" s="23"/>
      <c r="B755" s="24"/>
      <c r="C755" s="25"/>
      <c r="D755" s="26"/>
      <c r="E755" s="26"/>
      <c r="F755" s="26"/>
      <c r="G755" s="27"/>
      <c r="H755" s="27"/>
      <c r="I755" s="27"/>
      <c r="J755" s="27"/>
      <c r="K755" s="23"/>
      <c r="L755" s="23"/>
    </row>
    <row r="756" ht="15.75" customHeight="1">
      <c r="A756" s="23"/>
      <c r="B756" s="24"/>
      <c r="C756" s="25"/>
      <c r="D756" s="26"/>
      <c r="E756" s="26"/>
      <c r="F756" s="26"/>
      <c r="G756" s="27"/>
      <c r="H756" s="27"/>
      <c r="I756" s="27"/>
      <c r="J756" s="27"/>
      <c r="K756" s="23"/>
      <c r="L756" s="23"/>
    </row>
    <row r="757" ht="15.75" customHeight="1">
      <c r="A757" s="23"/>
      <c r="B757" s="24"/>
      <c r="C757" s="25"/>
      <c r="D757" s="26"/>
      <c r="E757" s="26"/>
      <c r="F757" s="26"/>
      <c r="G757" s="27"/>
      <c r="H757" s="27"/>
      <c r="I757" s="27"/>
      <c r="J757" s="27"/>
      <c r="K757" s="23"/>
      <c r="L757" s="23"/>
    </row>
    <row r="758" ht="15.75" customHeight="1">
      <c r="A758" s="23"/>
      <c r="B758" s="24"/>
      <c r="C758" s="25"/>
      <c r="D758" s="26"/>
      <c r="E758" s="26"/>
      <c r="F758" s="26"/>
      <c r="G758" s="27"/>
      <c r="H758" s="27"/>
      <c r="I758" s="27"/>
      <c r="J758" s="27"/>
      <c r="K758" s="23"/>
      <c r="L758" s="23"/>
    </row>
    <row r="759" ht="15.75" customHeight="1">
      <c r="A759" s="23"/>
      <c r="B759" s="24"/>
      <c r="C759" s="25"/>
      <c r="D759" s="26"/>
      <c r="E759" s="26"/>
      <c r="F759" s="26"/>
      <c r="G759" s="27"/>
      <c r="H759" s="27"/>
      <c r="I759" s="27"/>
      <c r="J759" s="27"/>
      <c r="K759" s="23"/>
      <c r="L759" s="23"/>
    </row>
    <row r="760" ht="15.75" customHeight="1">
      <c r="A760" s="23"/>
      <c r="B760" s="24"/>
      <c r="C760" s="25"/>
      <c r="D760" s="26"/>
      <c r="E760" s="26"/>
      <c r="F760" s="26"/>
      <c r="G760" s="27"/>
      <c r="H760" s="27"/>
      <c r="I760" s="27"/>
      <c r="J760" s="27"/>
      <c r="K760" s="23"/>
      <c r="L760" s="23"/>
    </row>
    <row r="761" ht="15.75" customHeight="1">
      <c r="A761" s="23"/>
      <c r="B761" s="24"/>
      <c r="C761" s="25"/>
      <c r="D761" s="26"/>
      <c r="E761" s="26"/>
      <c r="F761" s="26"/>
      <c r="G761" s="27"/>
      <c r="H761" s="27"/>
      <c r="I761" s="27"/>
      <c r="J761" s="27"/>
      <c r="K761" s="23"/>
      <c r="L761" s="23"/>
    </row>
    <row r="762" ht="15.75" customHeight="1">
      <c r="A762" s="23"/>
      <c r="B762" s="24"/>
      <c r="C762" s="25"/>
      <c r="D762" s="26"/>
      <c r="E762" s="26"/>
      <c r="F762" s="26"/>
      <c r="G762" s="27"/>
      <c r="H762" s="27"/>
      <c r="I762" s="27"/>
      <c r="J762" s="27"/>
      <c r="K762" s="23"/>
      <c r="L762" s="23"/>
    </row>
    <row r="763" ht="15.75" customHeight="1">
      <c r="A763" s="23"/>
      <c r="B763" s="24"/>
      <c r="C763" s="25"/>
      <c r="D763" s="26"/>
      <c r="E763" s="26"/>
      <c r="F763" s="26"/>
      <c r="G763" s="27"/>
      <c r="H763" s="27"/>
      <c r="I763" s="27"/>
      <c r="J763" s="27"/>
      <c r="K763" s="23"/>
      <c r="L763" s="23"/>
    </row>
    <row r="764" ht="15.75" customHeight="1">
      <c r="A764" s="23"/>
      <c r="B764" s="24"/>
      <c r="C764" s="25"/>
      <c r="D764" s="26"/>
      <c r="E764" s="26"/>
      <c r="F764" s="26"/>
      <c r="G764" s="27"/>
      <c r="H764" s="27"/>
      <c r="I764" s="27"/>
      <c r="J764" s="27"/>
      <c r="K764" s="23"/>
      <c r="L764" s="23"/>
    </row>
    <row r="765" ht="15.75" customHeight="1">
      <c r="A765" s="23"/>
      <c r="B765" s="24"/>
      <c r="C765" s="25"/>
      <c r="D765" s="26"/>
      <c r="E765" s="26"/>
      <c r="F765" s="26"/>
      <c r="G765" s="27"/>
      <c r="H765" s="27"/>
      <c r="I765" s="27"/>
      <c r="J765" s="27"/>
      <c r="K765" s="23"/>
      <c r="L765" s="23"/>
    </row>
    <row r="766" ht="15.75" customHeight="1">
      <c r="A766" s="23"/>
      <c r="B766" s="24"/>
      <c r="C766" s="25"/>
      <c r="D766" s="26"/>
      <c r="E766" s="26"/>
      <c r="F766" s="26"/>
      <c r="G766" s="27"/>
      <c r="H766" s="27"/>
      <c r="I766" s="27"/>
      <c r="J766" s="27"/>
      <c r="K766" s="23"/>
      <c r="L766" s="23"/>
    </row>
    <row r="767" ht="15.75" customHeight="1">
      <c r="A767" s="23"/>
      <c r="B767" s="24"/>
      <c r="C767" s="25"/>
      <c r="D767" s="26"/>
      <c r="E767" s="26"/>
      <c r="F767" s="26"/>
      <c r="G767" s="27"/>
      <c r="H767" s="27"/>
      <c r="I767" s="27"/>
      <c r="J767" s="27"/>
      <c r="K767" s="23"/>
      <c r="L767" s="23"/>
    </row>
    <row r="768" ht="15.75" customHeight="1">
      <c r="A768" s="23"/>
      <c r="B768" s="24"/>
      <c r="C768" s="25"/>
      <c r="D768" s="26"/>
      <c r="E768" s="26"/>
      <c r="F768" s="26"/>
      <c r="G768" s="27"/>
      <c r="H768" s="27"/>
      <c r="I768" s="27"/>
      <c r="J768" s="27"/>
      <c r="K768" s="23"/>
      <c r="L768" s="23"/>
    </row>
    <row r="769" ht="15.75" customHeight="1">
      <c r="A769" s="23"/>
      <c r="B769" s="24"/>
      <c r="C769" s="25"/>
      <c r="D769" s="26"/>
      <c r="E769" s="26"/>
      <c r="F769" s="26"/>
      <c r="G769" s="27"/>
      <c r="H769" s="27"/>
      <c r="I769" s="27"/>
      <c r="J769" s="27"/>
      <c r="K769" s="23"/>
      <c r="L769" s="23"/>
    </row>
    <row r="770" ht="15.75" customHeight="1">
      <c r="A770" s="23"/>
      <c r="B770" s="24"/>
      <c r="C770" s="25"/>
      <c r="D770" s="26"/>
      <c r="E770" s="26"/>
      <c r="F770" s="26"/>
      <c r="G770" s="27"/>
      <c r="H770" s="27"/>
      <c r="I770" s="27"/>
      <c r="J770" s="27"/>
      <c r="K770" s="23"/>
      <c r="L770" s="23"/>
    </row>
    <row r="771" ht="15.75" customHeight="1">
      <c r="A771" s="23"/>
      <c r="B771" s="24"/>
      <c r="C771" s="25"/>
      <c r="D771" s="26"/>
      <c r="E771" s="26"/>
      <c r="F771" s="26"/>
      <c r="G771" s="27"/>
      <c r="H771" s="27"/>
      <c r="I771" s="27"/>
      <c r="J771" s="27"/>
      <c r="K771" s="23"/>
      <c r="L771" s="23"/>
    </row>
    <row r="772" ht="15.75" customHeight="1">
      <c r="A772" s="23"/>
      <c r="B772" s="24"/>
      <c r="C772" s="25"/>
      <c r="D772" s="26"/>
      <c r="E772" s="26"/>
      <c r="F772" s="26"/>
      <c r="G772" s="27"/>
      <c r="H772" s="27"/>
      <c r="I772" s="27"/>
      <c r="J772" s="27"/>
      <c r="K772" s="23"/>
      <c r="L772" s="23"/>
    </row>
    <row r="773" ht="15.75" customHeight="1">
      <c r="A773" s="23"/>
      <c r="B773" s="24"/>
      <c r="C773" s="25"/>
      <c r="D773" s="26"/>
      <c r="E773" s="26"/>
      <c r="F773" s="26"/>
      <c r="G773" s="27"/>
      <c r="H773" s="27"/>
      <c r="I773" s="27"/>
      <c r="J773" s="27"/>
      <c r="K773" s="23"/>
      <c r="L773" s="23"/>
    </row>
    <row r="774" ht="15.75" customHeight="1">
      <c r="A774" s="23"/>
      <c r="B774" s="24"/>
      <c r="C774" s="25"/>
      <c r="D774" s="26"/>
      <c r="E774" s="26"/>
      <c r="F774" s="26"/>
      <c r="G774" s="27"/>
      <c r="H774" s="27"/>
      <c r="I774" s="27"/>
      <c r="J774" s="27"/>
      <c r="K774" s="23"/>
      <c r="L774" s="23"/>
    </row>
    <row r="775" ht="15.75" customHeight="1">
      <c r="A775" s="23"/>
      <c r="B775" s="24"/>
      <c r="C775" s="25"/>
      <c r="D775" s="26"/>
      <c r="E775" s="26"/>
      <c r="F775" s="26"/>
      <c r="G775" s="27"/>
      <c r="H775" s="27"/>
      <c r="I775" s="27"/>
      <c r="J775" s="27"/>
      <c r="K775" s="23"/>
      <c r="L775" s="23"/>
    </row>
    <row r="776" ht="15.75" customHeight="1">
      <c r="A776" s="23"/>
      <c r="B776" s="24"/>
      <c r="C776" s="25"/>
      <c r="D776" s="26"/>
      <c r="E776" s="26"/>
      <c r="F776" s="26"/>
      <c r="G776" s="27"/>
      <c r="H776" s="27"/>
      <c r="I776" s="27"/>
      <c r="J776" s="27"/>
      <c r="K776" s="23"/>
      <c r="L776" s="23"/>
    </row>
    <row r="777" ht="15.75" customHeight="1">
      <c r="A777" s="23"/>
      <c r="B777" s="24"/>
      <c r="C777" s="25"/>
      <c r="D777" s="26"/>
      <c r="E777" s="26"/>
      <c r="F777" s="26"/>
      <c r="G777" s="27"/>
      <c r="H777" s="27"/>
      <c r="I777" s="27"/>
      <c r="J777" s="27"/>
      <c r="K777" s="23"/>
      <c r="L777" s="23"/>
    </row>
    <row r="778" ht="15.75" customHeight="1">
      <c r="A778" s="23"/>
      <c r="B778" s="24"/>
      <c r="C778" s="25"/>
      <c r="D778" s="26"/>
      <c r="E778" s="26"/>
      <c r="F778" s="26"/>
      <c r="G778" s="27"/>
      <c r="H778" s="27"/>
      <c r="I778" s="27"/>
      <c r="J778" s="27"/>
      <c r="K778" s="23"/>
      <c r="L778" s="23"/>
    </row>
    <row r="779" ht="15.75" customHeight="1">
      <c r="A779" s="23"/>
      <c r="B779" s="24"/>
      <c r="C779" s="25"/>
      <c r="D779" s="26"/>
      <c r="E779" s="26"/>
      <c r="F779" s="26"/>
      <c r="G779" s="27"/>
      <c r="H779" s="27"/>
      <c r="I779" s="27"/>
      <c r="J779" s="27"/>
      <c r="K779" s="23"/>
      <c r="L779" s="23"/>
    </row>
    <row r="780" ht="15.75" customHeight="1">
      <c r="A780" s="23"/>
      <c r="B780" s="24"/>
      <c r="C780" s="25"/>
      <c r="D780" s="26"/>
      <c r="E780" s="26"/>
      <c r="F780" s="26"/>
      <c r="G780" s="27"/>
      <c r="H780" s="27"/>
      <c r="I780" s="27"/>
      <c r="J780" s="27"/>
      <c r="K780" s="23"/>
      <c r="L780" s="23"/>
    </row>
    <row r="781" ht="15.75" customHeight="1">
      <c r="A781" s="23"/>
      <c r="B781" s="24"/>
      <c r="C781" s="25"/>
      <c r="D781" s="26"/>
      <c r="E781" s="26"/>
      <c r="F781" s="26"/>
      <c r="G781" s="27"/>
      <c r="H781" s="27"/>
      <c r="I781" s="27"/>
      <c r="J781" s="27"/>
      <c r="K781" s="23"/>
      <c r="L781" s="23"/>
    </row>
    <row r="782" ht="15.75" customHeight="1">
      <c r="A782" s="23"/>
      <c r="B782" s="24"/>
      <c r="C782" s="25"/>
      <c r="D782" s="26"/>
      <c r="E782" s="26"/>
      <c r="F782" s="26"/>
      <c r="G782" s="27"/>
      <c r="H782" s="27"/>
      <c r="I782" s="27"/>
      <c r="J782" s="27"/>
      <c r="K782" s="23"/>
      <c r="L782" s="23"/>
    </row>
    <row r="783" ht="15.75" customHeight="1">
      <c r="A783" s="23"/>
      <c r="B783" s="24"/>
      <c r="C783" s="25"/>
      <c r="D783" s="26"/>
      <c r="E783" s="26"/>
      <c r="F783" s="26"/>
      <c r="G783" s="27"/>
      <c r="H783" s="27"/>
      <c r="I783" s="27"/>
      <c r="J783" s="27"/>
      <c r="K783" s="23"/>
      <c r="L783" s="23"/>
    </row>
    <row r="784" ht="15.75" customHeight="1">
      <c r="A784" s="23"/>
      <c r="B784" s="24"/>
      <c r="C784" s="25"/>
      <c r="D784" s="26"/>
      <c r="E784" s="26"/>
      <c r="F784" s="26"/>
      <c r="G784" s="27"/>
      <c r="H784" s="27"/>
      <c r="I784" s="27"/>
      <c r="J784" s="27"/>
      <c r="K784" s="23"/>
      <c r="L784" s="23"/>
    </row>
    <row r="785" ht="15.75" customHeight="1">
      <c r="A785" s="23"/>
      <c r="B785" s="24"/>
      <c r="C785" s="25"/>
      <c r="D785" s="26"/>
      <c r="E785" s="26"/>
      <c r="F785" s="26"/>
      <c r="G785" s="27"/>
      <c r="H785" s="27"/>
      <c r="I785" s="27"/>
      <c r="J785" s="27"/>
      <c r="K785" s="23"/>
      <c r="L785" s="23"/>
    </row>
    <row r="786" ht="15.75" customHeight="1">
      <c r="A786" s="23"/>
      <c r="B786" s="24"/>
      <c r="C786" s="25"/>
      <c r="D786" s="26"/>
      <c r="E786" s="26"/>
      <c r="F786" s="26"/>
      <c r="G786" s="27"/>
      <c r="H786" s="27"/>
      <c r="I786" s="27"/>
      <c r="J786" s="27"/>
      <c r="K786" s="23"/>
      <c r="L786" s="23"/>
    </row>
    <row r="787" ht="15.75" customHeight="1">
      <c r="A787" s="23"/>
      <c r="B787" s="24"/>
      <c r="C787" s="25"/>
      <c r="D787" s="26"/>
      <c r="E787" s="26"/>
      <c r="F787" s="26"/>
      <c r="G787" s="27"/>
      <c r="H787" s="27"/>
      <c r="I787" s="27"/>
      <c r="J787" s="27"/>
      <c r="K787" s="23"/>
      <c r="L787" s="23"/>
    </row>
    <row r="788" ht="15.75" customHeight="1">
      <c r="A788" s="23"/>
      <c r="B788" s="24"/>
      <c r="C788" s="25"/>
      <c r="D788" s="26"/>
      <c r="E788" s="26"/>
      <c r="F788" s="26"/>
      <c r="G788" s="27"/>
      <c r="H788" s="27"/>
      <c r="I788" s="27"/>
      <c r="J788" s="27"/>
      <c r="K788" s="23"/>
      <c r="L788" s="23"/>
    </row>
    <row r="789" ht="15.75" customHeight="1">
      <c r="A789" s="23"/>
      <c r="B789" s="24"/>
      <c r="C789" s="25"/>
      <c r="D789" s="26"/>
      <c r="E789" s="26"/>
      <c r="F789" s="26"/>
      <c r="G789" s="27"/>
      <c r="H789" s="27"/>
      <c r="I789" s="27"/>
      <c r="J789" s="27"/>
      <c r="K789" s="23"/>
      <c r="L789" s="23"/>
    </row>
    <row r="790" ht="15.75" customHeight="1">
      <c r="A790" s="23"/>
      <c r="B790" s="24"/>
      <c r="C790" s="25"/>
      <c r="D790" s="26"/>
      <c r="E790" s="26"/>
      <c r="F790" s="26"/>
      <c r="G790" s="27"/>
      <c r="H790" s="27"/>
      <c r="I790" s="27"/>
      <c r="J790" s="27"/>
      <c r="K790" s="23"/>
      <c r="L790" s="23"/>
    </row>
    <row r="791" ht="15.75" customHeight="1">
      <c r="A791" s="23"/>
      <c r="B791" s="24"/>
      <c r="C791" s="25"/>
      <c r="D791" s="26"/>
      <c r="E791" s="26"/>
      <c r="F791" s="26"/>
      <c r="G791" s="27"/>
      <c r="H791" s="27"/>
      <c r="I791" s="27"/>
      <c r="J791" s="27"/>
      <c r="K791" s="23"/>
      <c r="L791" s="23"/>
    </row>
    <row r="792" ht="15.75" customHeight="1">
      <c r="A792" s="23"/>
      <c r="B792" s="24"/>
      <c r="C792" s="25"/>
      <c r="D792" s="26"/>
      <c r="E792" s="26"/>
      <c r="F792" s="26"/>
      <c r="G792" s="27"/>
      <c r="H792" s="27"/>
      <c r="I792" s="27"/>
      <c r="J792" s="27"/>
      <c r="K792" s="23"/>
      <c r="L792" s="23"/>
    </row>
    <row r="793" ht="15.75" customHeight="1">
      <c r="A793" s="23"/>
      <c r="B793" s="24"/>
      <c r="C793" s="25"/>
      <c r="D793" s="26"/>
      <c r="E793" s="26"/>
      <c r="F793" s="26"/>
      <c r="G793" s="27"/>
      <c r="H793" s="27"/>
      <c r="I793" s="27"/>
      <c r="J793" s="27"/>
      <c r="K793" s="23"/>
      <c r="L793" s="23"/>
    </row>
    <row r="794" ht="15.75" customHeight="1">
      <c r="A794" s="23"/>
      <c r="B794" s="24"/>
      <c r="C794" s="25"/>
      <c r="D794" s="26"/>
      <c r="E794" s="26"/>
      <c r="F794" s="26"/>
      <c r="G794" s="27"/>
      <c r="H794" s="27"/>
      <c r="I794" s="27"/>
      <c r="J794" s="27"/>
      <c r="K794" s="23"/>
      <c r="L794" s="23"/>
    </row>
    <row r="795" ht="15.75" customHeight="1">
      <c r="A795" s="23"/>
      <c r="B795" s="24"/>
      <c r="C795" s="25"/>
      <c r="D795" s="26"/>
      <c r="E795" s="26"/>
      <c r="F795" s="26"/>
      <c r="G795" s="27"/>
      <c r="H795" s="27"/>
      <c r="I795" s="27"/>
      <c r="J795" s="27"/>
      <c r="K795" s="23"/>
      <c r="L795" s="23"/>
    </row>
    <row r="796" ht="15.75" customHeight="1">
      <c r="A796" s="23"/>
      <c r="B796" s="24"/>
      <c r="C796" s="25"/>
      <c r="D796" s="26"/>
      <c r="E796" s="26"/>
      <c r="F796" s="26"/>
      <c r="G796" s="27"/>
      <c r="H796" s="27"/>
      <c r="I796" s="27"/>
      <c r="J796" s="27"/>
      <c r="K796" s="23"/>
      <c r="L796" s="23"/>
    </row>
    <row r="797" ht="15.75" customHeight="1">
      <c r="A797" s="23"/>
      <c r="B797" s="24"/>
      <c r="C797" s="25"/>
      <c r="D797" s="26"/>
      <c r="E797" s="26"/>
      <c r="F797" s="26"/>
      <c r="G797" s="27"/>
      <c r="H797" s="27"/>
      <c r="I797" s="27"/>
      <c r="J797" s="27"/>
      <c r="K797" s="23"/>
      <c r="L797" s="23"/>
    </row>
    <row r="798" ht="15.75" customHeight="1">
      <c r="A798" s="23"/>
      <c r="B798" s="24"/>
      <c r="C798" s="25"/>
      <c r="D798" s="26"/>
      <c r="E798" s="26"/>
      <c r="F798" s="26"/>
      <c r="G798" s="27"/>
      <c r="H798" s="27"/>
      <c r="I798" s="27"/>
      <c r="J798" s="27"/>
      <c r="K798" s="23"/>
      <c r="L798" s="23"/>
    </row>
    <row r="799" ht="15.75" customHeight="1">
      <c r="A799" s="23"/>
      <c r="B799" s="24"/>
      <c r="C799" s="25"/>
      <c r="D799" s="26"/>
      <c r="E799" s="26"/>
      <c r="F799" s="26"/>
      <c r="G799" s="27"/>
      <c r="H799" s="27"/>
      <c r="I799" s="27"/>
      <c r="J799" s="27"/>
      <c r="K799" s="23"/>
      <c r="L799" s="23"/>
    </row>
    <row r="800" ht="15.75" customHeight="1">
      <c r="A800" s="23"/>
      <c r="B800" s="24"/>
      <c r="C800" s="25"/>
      <c r="D800" s="26"/>
      <c r="E800" s="26"/>
      <c r="F800" s="26"/>
      <c r="G800" s="27"/>
      <c r="H800" s="27"/>
      <c r="I800" s="27"/>
      <c r="J800" s="27"/>
      <c r="K800" s="23"/>
      <c r="L800" s="23"/>
    </row>
    <row r="801" ht="15.75" customHeight="1">
      <c r="A801" s="23"/>
      <c r="B801" s="24"/>
      <c r="C801" s="25"/>
      <c r="D801" s="26"/>
      <c r="E801" s="26"/>
      <c r="F801" s="26"/>
      <c r="G801" s="27"/>
      <c r="H801" s="27"/>
      <c r="I801" s="27"/>
      <c r="J801" s="27"/>
      <c r="K801" s="23"/>
      <c r="L801" s="23"/>
    </row>
    <row r="802" ht="15.75" customHeight="1">
      <c r="A802" s="23"/>
      <c r="B802" s="24"/>
      <c r="C802" s="25"/>
      <c r="D802" s="26"/>
      <c r="E802" s="26"/>
      <c r="F802" s="26"/>
      <c r="G802" s="27"/>
      <c r="H802" s="27"/>
      <c r="I802" s="27"/>
      <c r="J802" s="27"/>
      <c r="K802" s="23"/>
      <c r="L802" s="23"/>
    </row>
    <row r="803" ht="15.75" customHeight="1">
      <c r="A803" s="23"/>
      <c r="B803" s="24"/>
      <c r="C803" s="25"/>
      <c r="D803" s="26"/>
      <c r="E803" s="26"/>
      <c r="F803" s="26"/>
      <c r="G803" s="27"/>
      <c r="H803" s="27"/>
      <c r="I803" s="27"/>
      <c r="J803" s="27"/>
      <c r="K803" s="23"/>
      <c r="L803" s="23"/>
    </row>
    <row r="804" ht="15.75" customHeight="1">
      <c r="A804" s="23"/>
      <c r="B804" s="24"/>
      <c r="C804" s="25"/>
      <c r="D804" s="26"/>
      <c r="E804" s="26"/>
      <c r="F804" s="26"/>
      <c r="G804" s="27"/>
      <c r="H804" s="27"/>
      <c r="I804" s="27"/>
      <c r="J804" s="27"/>
      <c r="K804" s="23"/>
      <c r="L804" s="23"/>
    </row>
    <row r="805" ht="15.75" customHeight="1">
      <c r="A805" s="23"/>
      <c r="B805" s="24"/>
      <c r="C805" s="25"/>
      <c r="D805" s="26"/>
      <c r="E805" s="26"/>
      <c r="F805" s="26"/>
      <c r="G805" s="27"/>
      <c r="H805" s="27"/>
      <c r="I805" s="27"/>
      <c r="J805" s="27"/>
      <c r="K805" s="23"/>
      <c r="L805" s="23"/>
    </row>
    <row r="806" ht="15.75" customHeight="1">
      <c r="A806" s="23"/>
      <c r="B806" s="24"/>
      <c r="C806" s="25"/>
      <c r="D806" s="26"/>
      <c r="E806" s="26"/>
      <c r="F806" s="26"/>
      <c r="G806" s="27"/>
      <c r="H806" s="27"/>
      <c r="I806" s="27"/>
      <c r="J806" s="27"/>
      <c r="K806" s="23"/>
      <c r="L806" s="23"/>
    </row>
    <row r="807" ht="15.75" customHeight="1">
      <c r="A807" s="23"/>
      <c r="B807" s="24"/>
      <c r="C807" s="25"/>
      <c r="D807" s="26"/>
      <c r="E807" s="26"/>
      <c r="F807" s="26"/>
      <c r="G807" s="27"/>
      <c r="H807" s="27"/>
      <c r="I807" s="27"/>
      <c r="J807" s="27"/>
      <c r="K807" s="23"/>
      <c r="L807" s="23"/>
    </row>
    <row r="808" ht="15.75" customHeight="1">
      <c r="A808" s="23"/>
      <c r="B808" s="24"/>
      <c r="C808" s="25"/>
      <c r="D808" s="26"/>
      <c r="E808" s="26"/>
      <c r="F808" s="26"/>
      <c r="G808" s="27"/>
      <c r="H808" s="27"/>
      <c r="I808" s="27"/>
      <c r="J808" s="27"/>
      <c r="K808" s="23"/>
      <c r="L808" s="23"/>
    </row>
    <row r="809" ht="15.75" customHeight="1">
      <c r="A809" s="23"/>
      <c r="B809" s="24"/>
      <c r="C809" s="25"/>
      <c r="D809" s="26"/>
      <c r="E809" s="26"/>
      <c r="F809" s="26"/>
      <c r="G809" s="27"/>
      <c r="H809" s="27"/>
      <c r="I809" s="27"/>
      <c r="J809" s="27"/>
      <c r="K809" s="23"/>
      <c r="L809" s="23"/>
    </row>
    <row r="810" ht="15.75" customHeight="1">
      <c r="A810" s="23"/>
      <c r="B810" s="24"/>
      <c r="C810" s="25"/>
      <c r="D810" s="26"/>
      <c r="E810" s="26"/>
      <c r="F810" s="26"/>
      <c r="G810" s="27"/>
      <c r="H810" s="27"/>
      <c r="I810" s="27"/>
      <c r="J810" s="27"/>
      <c r="K810" s="23"/>
      <c r="L810" s="23"/>
    </row>
    <row r="811" ht="15.75" customHeight="1">
      <c r="A811" s="23"/>
      <c r="B811" s="24"/>
      <c r="C811" s="25"/>
      <c r="D811" s="26"/>
      <c r="E811" s="26"/>
      <c r="F811" s="26"/>
      <c r="G811" s="27"/>
      <c r="H811" s="27"/>
      <c r="I811" s="27"/>
      <c r="J811" s="27"/>
      <c r="K811" s="23"/>
      <c r="L811" s="23"/>
    </row>
    <row r="812" ht="15.75" customHeight="1">
      <c r="A812" s="23"/>
      <c r="B812" s="24"/>
      <c r="C812" s="25"/>
      <c r="D812" s="26"/>
      <c r="E812" s="26"/>
      <c r="F812" s="26"/>
      <c r="G812" s="27"/>
      <c r="H812" s="27"/>
      <c r="I812" s="27"/>
      <c r="J812" s="27"/>
      <c r="K812" s="23"/>
      <c r="L812" s="23"/>
    </row>
    <row r="813" ht="15.75" customHeight="1">
      <c r="A813" s="23"/>
      <c r="B813" s="24"/>
      <c r="C813" s="25"/>
      <c r="D813" s="26"/>
      <c r="E813" s="26"/>
      <c r="F813" s="26"/>
      <c r="G813" s="27"/>
      <c r="H813" s="27"/>
      <c r="I813" s="27"/>
      <c r="J813" s="27"/>
      <c r="K813" s="23"/>
      <c r="L813" s="23"/>
    </row>
    <row r="814" ht="15.75" customHeight="1">
      <c r="A814" s="23"/>
      <c r="B814" s="24"/>
      <c r="C814" s="25"/>
      <c r="D814" s="26"/>
      <c r="E814" s="26"/>
      <c r="F814" s="26"/>
      <c r="G814" s="27"/>
      <c r="H814" s="27"/>
      <c r="I814" s="27"/>
      <c r="J814" s="27"/>
      <c r="K814" s="23"/>
      <c r="L814" s="23"/>
    </row>
    <row r="815" ht="15.75" customHeight="1">
      <c r="A815" s="23"/>
      <c r="B815" s="24"/>
      <c r="C815" s="25"/>
      <c r="D815" s="26"/>
      <c r="E815" s="26"/>
      <c r="F815" s="26"/>
      <c r="G815" s="27"/>
      <c r="H815" s="27"/>
      <c r="I815" s="27"/>
      <c r="J815" s="27"/>
      <c r="K815" s="23"/>
      <c r="L815" s="23"/>
    </row>
    <row r="816" ht="15.75" customHeight="1">
      <c r="A816" s="23"/>
      <c r="B816" s="24"/>
      <c r="C816" s="25"/>
      <c r="D816" s="26"/>
      <c r="E816" s="26"/>
      <c r="F816" s="26"/>
      <c r="G816" s="27"/>
      <c r="H816" s="27"/>
      <c r="I816" s="27"/>
      <c r="J816" s="27"/>
      <c r="K816" s="23"/>
      <c r="L816" s="23"/>
    </row>
    <row r="817" ht="15.75" customHeight="1">
      <c r="A817" s="23"/>
      <c r="B817" s="24"/>
      <c r="C817" s="25"/>
      <c r="D817" s="26"/>
      <c r="E817" s="26"/>
      <c r="F817" s="26"/>
      <c r="G817" s="27"/>
      <c r="H817" s="27"/>
      <c r="I817" s="27"/>
      <c r="J817" s="27"/>
      <c r="K817" s="23"/>
      <c r="L817" s="23"/>
    </row>
    <row r="818" ht="15.75" customHeight="1">
      <c r="A818" s="23"/>
      <c r="B818" s="24"/>
      <c r="C818" s="25"/>
      <c r="D818" s="26"/>
      <c r="E818" s="26"/>
      <c r="F818" s="26"/>
      <c r="G818" s="27"/>
      <c r="H818" s="27"/>
      <c r="I818" s="27"/>
      <c r="J818" s="27"/>
      <c r="K818" s="23"/>
      <c r="L818" s="23"/>
    </row>
    <row r="819" ht="15.75" customHeight="1">
      <c r="A819" s="23"/>
      <c r="B819" s="24"/>
      <c r="C819" s="25"/>
      <c r="D819" s="26"/>
      <c r="E819" s="26"/>
      <c r="F819" s="26"/>
      <c r="G819" s="27"/>
      <c r="H819" s="27"/>
      <c r="I819" s="27"/>
      <c r="J819" s="27"/>
      <c r="K819" s="23"/>
      <c r="L819" s="23"/>
    </row>
    <row r="820" ht="15.75" customHeight="1">
      <c r="A820" s="23"/>
      <c r="B820" s="24"/>
      <c r="C820" s="25"/>
      <c r="D820" s="26"/>
      <c r="E820" s="26"/>
      <c r="F820" s="26"/>
      <c r="G820" s="27"/>
      <c r="H820" s="27"/>
      <c r="I820" s="27"/>
      <c r="J820" s="27"/>
      <c r="K820" s="23"/>
      <c r="L820" s="23"/>
    </row>
    <row r="821" ht="15.75" customHeight="1">
      <c r="A821" s="23"/>
      <c r="B821" s="24"/>
      <c r="C821" s="25"/>
      <c r="D821" s="26"/>
      <c r="E821" s="26"/>
      <c r="F821" s="26"/>
      <c r="G821" s="27"/>
      <c r="H821" s="27"/>
      <c r="I821" s="27"/>
      <c r="J821" s="27"/>
      <c r="K821" s="23"/>
      <c r="L821" s="23"/>
    </row>
    <row r="822" ht="15.75" customHeight="1">
      <c r="A822" s="23"/>
      <c r="B822" s="24"/>
      <c r="C822" s="25"/>
      <c r="D822" s="26"/>
      <c r="E822" s="26"/>
      <c r="F822" s="26"/>
      <c r="G822" s="27"/>
      <c r="H822" s="27"/>
      <c r="I822" s="27"/>
      <c r="J822" s="27"/>
      <c r="K822" s="23"/>
      <c r="L822" s="23"/>
    </row>
    <row r="823" ht="15.75" customHeight="1">
      <c r="A823" s="23"/>
      <c r="B823" s="24"/>
      <c r="C823" s="25"/>
      <c r="D823" s="26"/>
      <c r="E823" s="26"/>
      <c r="F823" s="26"/>
      <c r="G823" s="27"/>
      <c r="H823" s="27"/>
      <c r="I823" s="27"/>
      <c r="J823" s="27"/>
      <c r="K823" s="23"/>
      <c r="L823" s="23"/>
    </row>
    <row r="824" ht="15.75" customHeight="1">
      <c r="A824" s="23"/>
      <c r="B824" s="24"/>
      <c r="C824" s="25"/>
      <c r="D824" s="26"/>
      <c r="E824" s="26"/>
      <c r="F824" s="26"/>
      <c r="G824" s="27"/>
      <c r="H824" s="27"/>
      <c r="I824" s="27"/>
      <c r="J824" s="27"/>
      <c r="K824" s="23"/>
      <c r="L824" s="23"/>
    </row>
    <row r="825" ht="15.75" customHeight="1">
      <c r="A825" s="23"/>
      <c r="B825" s="24"/>
      <c r="C825" s="25"/>
      <c r="D825" s="26"/>
      <c r="E825" s="26"/>
      <c r="F825" s="26"/>
      <c r="G825" s="27"/>
      <c r="H825" s="27"/>
      <c r="I825" s="27"/>
      <c r="J825" s="27"/>
      <c r="K825" s="23"/>
      <c r="L825" s="23"/>
    </row>
    <row r="826" ht="15.75" customHeight="1">
      <c r="A826" s="23"/>
      <c r="B826" s="24"/>
      <c r="C826" s="25"/>
      <c r="D826" s="26"/>
      <c r="E826" s="26"/>
      <c r="F826" s="26"/>
      <c r="G826" s="27"/>
      <c r="H826" s="27"/>
      <c r="I826" s="27"/>
      <c r="J826" s="27"/>
      <c r="K826" s="23"/>
      <c r="L826" s="23"/>
    </row>
    <row r="827" ht="15.75" customHeight="1">
      <c r="A827" s="23"/>
      <c r="B827" s="24"/>
      <c r="C827" s="25"/>
      <c r="D827" s="26"/>
      <c r="E827" s="26"/>
      <c r="F827" s="26"/>
      <c r="G827" s="27"/>
      <c r="H827" s="27"/>
      <c r="I827" s="27"/>
      <c r="J827" s="27"/>
      <c r="K827" s="23"/>
      <c r="L827" s="23"/>
    </row>
    <row r="828" ht="15.75" customHeight="1">
      <c r="A828" s="23"/>
      <c r="B828" s="24"/>
      <c r="C828" s="25"/>
      <c r="D828" s="26"/>
      <c r="E828" s="26"/>
      <c r="F828" s="26"/>
      <c r="G828" s="27"/>
      <c r="H828" s="27"/>
      <c r="I828" s="27"/>
      <c r="J828" s="27"/>
      <c r="K828" s="23"/>
      <c r="L828" s="23"/>
    </row>
    <row r="829" ht="15.75" customHeight="1">
      <c r="A829" s="23"/>
      <c r="B829" s="24"/>
      <c r="C829" s="25"/>
      <c r="D829" s="26"/>
      <c r="E829" s="26"/>
      <c r="F829" s="26"/>
      <c r="G829" s="27"/>
      <c r="H829" s="27"/>
      <c r="I829" s="27"/>
      <c r="J829" s="27"/>
      <c r="K829" s="23"/>
      <c r="L829" s="23"/>
    </row>
    <row r="830" ht="15.75" customHeight="1">
      <c r="A830" s="23"/>
      <c r="B830" s="24"/>
      <c r="C830" s="25"/>
      <c r="D830" s="26"/>
      <c r="E830" s="26"/>
      <c r="F830" s="26"/>
      <c r="G830" s="27"/>
      <c r="H830" s="27"/>
      <c r="I830" s="27"/>
      <c r="J830" s="27"/>
      <c r="K830" s="23"/>
      <c r="L830" s="23"/>
    </row>
    <row r="831" ht="15.75" customHeight="1">
      <c r="A831" s="23"/>
      <c r="B831" s="24"/>
      <c r="C831" s="25"/>
      <c r="D831" s="26"/>
      <c r="E831" s="26"/>
      <c r="F831" s="26"/>
      <c r="G831" s="27"/>
      <c r="H831" s="27"/>
      <c r="I831" s="27"/>
      <c r="J831" s="27"/>
      <c r="K831" s="23"/>
      <c r="L831" s="23"/>
    </row>
    <row r="832" ht="15.75" customHeight="1">
      <c r="A832" s="23"/>
      <c r="B832" s="24"/>
      <c r="C832" s="25"/>
      <c r="D832" s="26"/>
      <c r="E832" s="26"/>
      <c r="F832" s="26"/>
      <c r="G832" s="27"/>
      <c r="H832" s="27"/>
      <c r="I832" s="27"/>
      <c r="J832" s="27"/>
      <c r="K832" s="23"/>
      <c r="L832" s="23"/>
    </row>
    <row r="833" ht="15.75" customHeight="1">
      <c r="A833" s="23"/>
      <c r="B833" s="24"/>
      <c r="C833" s="25"/>
      <c r="D833" s="26"/>
      <c r="E833" s="26"/>
      <c r="F833" s="26"/>
      <c r="G833" s="27"/>
      <c r="H833" s="27"/>
      <c r="I833" s="27"/>
      <c r="J833" s="27"/>
      <c r="K833" s="23"/>
      <c r="L833" s="23"/>
    </row>
    <row r="834" ht="15.75" customHeight="1">
      <c r="A834" s="23"/>
      <c r="B834" s="24"/>
      <c r="C834" s="25"/>
      <c r="D834" s="26"/>
      <c r="E834" s="26"/>
      <c r="F834" s="26"/>
      <c r="G834" s="27"/>
      <c r="H834" s="27"/>
      <c r="I834" s="27"/>
      <c r="J834" s="27"/>
      <c r="K834" s="23"/>
      <c r="L834" s="23"/>
    </row>
    <row r="835" ht="15.75" customHeight="1">
      <c r="A835" s="23"/>
      <c r="B835" s="24"/>
      <c r="C835" s="25"/>
      <c r="D835" s="26"/>
      <c r="E835" s="26"/>
      <c r="F835" s="26"/>
      <c r="G835" s="27"/>
      <c r="H835" s="27"/>
      <c r="I835" s="27"/>
      <c r="J835" s="27"/>
      <c r="K835" s="23"/>
      <c r="L835" s="23"/>
    </row>
    <row r="836" ht="15.75" customHeight="1">
      <c r="A836" s="23"/>
      <c r="B836" s="24"/>
      <c r="C836" s="25"/>
      <c r="D836" s="26"/>
      <c r="E836" s="26"/>
      <c r="F836" s="26"/>
      <c r="G836" s="27"/>
      <c r="H836" s="27"/>
      <c r="I836" s="27"/>
      <c r="J836" s="27"/>
      <c r="K836" s="23"/>
      <c r="L836" s="23"/>
    </row>
    <row r="837" ht="15.75" customHeight="1">
      <c r="A837" s="23"/>
      <c r="B837" s="24"/>
      <c r="C837" s="25"/>
      <c r="D837" s="26"/>
      <c r="E837" s="26"/>
      <c r="F837" s="26"/>
      <c r="G837" s="27"/>
      <c r="H837" s="27"/>
      <c r="I837" s="27"/>
      <c r="J837" s="27"/>
      <c r="K837" s="23"/>
      <c r="L837" s="23"/>
    </row>
    <row r="838" ht="15.75" customHeight="1">
      <c r="A838" s="23"/>
      <c r="B838" s="24"/>
      <c r="C838" s="25"/>
      <c r="D838" s="26"/>
      <c r="E838" s="26"/>
      <c r="F838" s="26"/>
      <c r="G838" s="27"/>
      <c r="H838" s="27"/>
      <c r="I838" s="27"/>
      <c r="J838" s="27"/>
      <c r="K838" s="23"/>
      <c r="L838" s="23"/>
    </row>
    <row r="839" ht="15.75" customHeight="1">
      <c r="A839" s="23"/>
      <c r="B839" s="24"/>
      <c r="C839" s="25"/>
      <c r="D839" s="26"/>
      <c r="E839" s="26"/>
      <c r="F839" s="26"/>
      <c r="G839" s="27"/>
      <c r="H839" s="27"/>
      <c r="I839" s="27"/>
      <c r="J839" s="27"/>
      <c r="K839" s="23"/>
      <c r="L839" s="23"/>
    </row>
    <row r="840" ht="15.75" customHeight="1">
      <c r="A840" s="23"/>
      <c r="B840" s="24"/>
      <c r="C840" s="25"/>
      <c r="D840" s="26"/>
      <c r="E840" s="26"/>
      <c r="F840" s="26"/>
      <c r="G840" s="27"/>
      <c r="H840" s="27"/>
      <c r="I840" s="27"/>
      <c r="J840" s="27"/>
      <c r="K840" s="23"/>
      <c r="L840" s="23"/>
    </row>
    <row r="841" ht="15.75" customHeight="1">
      <c r="A841" s="23"/>
      <c r="B841" s="24"/>
      <c r="C841" s="25"/>
      <c r="D841" s="26"/>
      <c r="E841" s="26"/>
      <c r="F841" s="26"/>
      <c r="G841" s="27"/>
      <c r="H841" s="27"/>
      <c r="I841" s="27"/>
      <c r="J841" s="27"/>
      <c r="K841" s="23"/>
      <c r="L841" s="23"/>
    </row>
    <row r="842" ht="15.75" customHeight="1">
      <c r="A842" s="23"/>
      <c r="B842" s="24"/>
      <c r="C842" s="25"/>
      <c r="D842" s="26"/>
      <c r="E842" s="26"/>
      <c r="F842" s="26"/>
      <c r="G842" s="27"/>
      <c r="H842" s="27"/>
      <c r="I842" s="27"/>
      <c r="J842" s="27"/>
      <c r="K842" s="23"/>
      <c r="L842" s="23"/>
    </row>
    <row r="843" ht="15.75" customHeight="1">
      <c r="A843" s="23"/>
      <c r="B843" s="24"/>
      <c r="C843" s="25"/>
      <c r="D843" s="26"/>
      <c r="E843" s="26"/>
      <c r="F843" s="26"/>
      <c r="G843" s="27"/>
      <c r="H843" s="27"/>
      <c r="I843" s="27"/>
      <c r="J843" s="27"/>
      <c r="K843" s="23"/>
      <c r="L843" s="23"/>
    </row>
    <row r="844" ht="15.75" customHeight="1">
      <c r="A844" s="23"/>
      <c r="B844" s="24"/>
      <c r="C844" s="25"/>
      <c r="D844" s="26"/>
      <c r="E844" s="26"/>
      <c r="F844" s="26"/>
      <c r="G844" s="27"/>
      <c r="H844" s="27"/>
      <c r="I844" s="27"/>
      <c r="J844" s="27"/>
      <c r="K844" s="23"/>
      <c r="L844" s="23"/>
    </row>
    <row r="845" ht="15.75" customHeight="1">
      <c r="A845" s="23"/>
      <c r="B845" s="24"/>
      <c r="C845" s="25"/>
      <c r="D845" s="26"/>
      <c r="E845" s="26"/>
      <c r="F845" s="26"/>
      <c r="G845" s="27"/>
      <c r="H845" s="27"/>
      <c r="I845" s="27"/>
      <c r="J845" s="27"/>
      <c r="K845" s="23"/>
      <c r="L845" s="23"/>
    </row>
    <row r="846" ht="15.75" customHeight="1">
      <c r="A846" s="23"/>
      <c r="B846" s="24"/>
      <c r="C846" s="25"/>
      <c r="D846" s="26"/>
      <c r="E846" s="26"/>
      <c r="F846" s="26"/>
      <c r="G846" s="27"/>
      <c r="H846" s="27"/>
      <c r="I846" s="27"/>
      <c r="J846" s="27"/>
      <c r="K846" s="23"/>
      <c r="L846" s="23"/>
    </row>
    <row r="847" ht="15.75" customHeight="1">
      <c r="A847" s="23"/>
      <c r="B847" s="24"/>
      <c r="C847" s="25"/>
      <c r="D847" s="26"/>
      <c r="E847" s="26"/>
      <c r="F847" s="26"/>
      <c r="G847" s="27"/>
      <c r="H847" s="27"/>
      <c r="I847" s="27"/>
      <c r="J847" s="27"/>
      <c r="K847" s="23"/>
      <c r="L847" s="23"/>
    </row>
    <row r="848" ht="15.75" customHeight="1">
      <c r="A848" s="23"/>
      <c r="B848" s="24"/>
      <c r="C848" s="25"/>
      <c r="D848" s="26"/>
      <c r="E848" s="26"/>
      <c r="F848" s="26"/>
      <c r="G848" s="27"/>
      <c r="H848" s="27"/>
      <c r="I848" s="27"/>
      <c r="J848" s="27"/>
      <c r="K848" s="23"/>
      <c r="L848" s="23"/>
    </row>
    <row r="849" ht="15.75" customHeight="1">
      <c r="A849" s="23"/>
      <c r="B849" s="24"/>
      <c r="C849" s="25"/>
      <c r="D849" s="26"/>
      <c r="E849" s="26"/>
      <c r="F849" s="26"/>
      <c r="G849" s="27"/>
      <c r="H849" s="27"/>
      <c r="I849" s="27"/>
      <c r="J849" s="27"/>
      <c r="K849" s="23"/>
      <c r="L849" s="23"/>
    </row>
    <row r="850" ht="15.75" customHeight="1">
      <c r="A850" s="23"/>
      <c r="B850" s="24"/>
      <c r="C850" s="25"/>
      <c r="D850" s="26"/>
      <c r="E850" s="26"/>
      <c r="F850" s="26"/>
      <c r="G850" s="27"/>
      <c r="H850" s="27"/>
      <c r="I850" s="27"/>
      <c r="J850" s="27"/>
      <c r="K850" s="23"/>
      <c r="L850" s="23"/>
    </row>
    <row r="851" ht="15.75" customHeight="1">
      <c r="A851" s="23"/>
      <c r="B851" s="24"/>
      <c r="C851" s="25"/>
      <c r="D851" s="26"/>
      <c r="E851" s="26"/>
      <c r="F851" s="26"/>
      <c r="G851" s="27"/>
      <c r="H851" s="27"/>
      <c r="I851" s="27"/>
      <c r="J851" s="27"/>
      <c r="K851" s="23"/>
      <c r="L851" s="23"/>
    </row>
    <row r="852" ht="15.75" customHeight="1">
      <c r="A852" s="23"/>
      <c r="B852" s="24"/>
      <c r="C852" s="25"/>
      <c r="D852" s="26"/>
      <c r="E852" s="26"/>
      <c r="F852" s="26"/>
      <c r="G852" s="27"/>
      <c r="H852" s="27"/>
      <c r="I852" s="27"/>
      <c r="J852" s="27"/>
      <c r="K852" s="23"/>
      <c r="L852" s="23"/>
    </row>
    <row r="853" ht="15.75" customHeight="1">
      <c r="A853" s="23"/>
      <c r="B853" s="24"/>
      <c r="C853" s="25"/>
      <c r="D853" s="26"/>
      <c r="E853" s="26"/>
      <c r="F853" s="26"/>
      <c r="G853" s="27"/>
      <c r="H853" s="27"/>
      <c r="I853" s="27"/>
      <c r="J853" s="27"/>
      <c r="K853" s="23"/>
      <c r="L853" s="23"/>
    </row>
    <row r="854" ht="15.75" customHeight="1">
      <c r="A854" s="23"/>
      <c r="B854" s="24"/>
      <c r="C854" s="25"/>
      <c r="D854" s="26"/>
      <c r="E854" s="26"/>
      <c r="F854" s="26"/>
      <c r="G854" s="27"/>
      <c r="H854" s="27"/>
      <c r="I854" s="27"/>
      <c r="J854" s="27"/>
      <c r="K854" s="23"/>
      <c r="L854" s="23"/>
    </row>
    <row r="855" ht="15.75" customHeight="1">
      <c r="A855" s="23"/>
      <c r="B855" s="24"/>
      <c r="C855" s="25"/>
      <c r="D855" s="26"/>
      <c r="E855" s="26"/>
      <c r="F855" s="26"/>
      <c r="G855" s="27"/>
      <c r="H855" s="27"/>
      <c r="I855" s="27"/>
      <c r="J855" s="27"/>
      <c r="K855" s="23"/>
      <c r="L855" s="23"/>
    </row>
    <row r="856" ht="15.75" customHeight="1">
      <c r="A856" s="23"/>
      <c r="B856" s="24"/>
      <c r="C856" s="25"/>
      <c r="D856" s="26"/>
      <c r="E856" s="26"/>
      <c r="F856" s="26"/>
      <c r="G856" s="27"/>
      <c r="H856" s="27"/>
      <c r="I856" s="27"/>
      <c r="J856" s="27"/>
      <c r="K856" s="23"/>
      <c r="L856" s="23"/>
    </row>
    <row r="857" ht="15.75" customHeight="1">
      <c r="A857" s="23"/>
      <c r="B857" s="24"/>
      <c r="C857" s="25"/>
      <c r="D857" s="26"/>
      <c r="E857" s="26"/>
      <c r="F857" s="26"/>
      <c r="G857" s="27"/>
      <c r="H857" s="27"/>
      <c r="I857" s="27"/>
      <c r="J857" s="27"/>
      <c r="K857" s="23"/>
      <c r="L857" s="23"/>
    </row>
    <row r="858" ht="15.75" customHeight="1">
      <c r="A858" s="23"/>
      <c r="B858" s="24"/>
      <c r="C858" s="25"/>
      <c r="D858" s="26"/>
      <c r="E858" s="26"/>
      <c r="F858" s="26"/>
      <c r="G858" s="27"/>
      <c r="H858" s="27"/>
      <c r="I858" s="27"/>
      <c r="J858" s="27"/>
      <c r="K858" s="23"/>
      <c r="L858" s="23"/>
    </row>
    <row r="859" ht="15.75" customHeight="1">
      <c r="A859" s="23"/>
      <c r="B859" s="24"/>
      <c r="C859" s="25"/>
      <c r="D859" s="26"/>
      <c r="E859" s="26"/>
      <c r="F859" s="26"/>
      <c r="G859" s="27"/>
      <c r="H859" s="27"/>
      <c r="I859" s="27"/>
      <c r="J859" s="27"/>
      <c r="K859" s="23"/>
      <c r="L859" s="23"/>
    </row>
    <row r="860" ht="15.75" customHeight="1">
      <c r="A860" s="23"/>
      <c r="B860" s="24"/>
      <c r="C860" s="25"/>
      <c r="D860" s="26"/>
      <c r="E860" s="26"/>
      <c r="F860" s="26"/>
      <c r="G860" s="27"/>
      <c r="H860" s="27"/>
      <c r="I860" s="27"/>
      <c r="J860" s="27"/>
      <c r="K860" s="23"/>
      <c r="L860" s="23"/>
    </row>
    <row r="861" ht="15.75" customHeight="1">
      <c r="A861" s="23"/>
      <c r="B861" s="24"/>
      <c r="C861" s="25"/>
      <c r="D861" s="26"/>
      <c r="E861" s="26"/>
      <c r="F861" s="26"/>
      <c r="G861" s="27"/>
      <c r="H861" s="27"/>
      <c r="I861" s="27"/>
      <c r="J861" s="27"/>
      <c r="K861" s="23"/>
      <c r="L861" s="23"/>
    </row>
    <row r="862" ht="15.75" customHeight="1">
      <c r="A862" s="23"/>
      <c r="B862" s="24"/>
      <c r="C862" s="25"/>
      <c r="D862" s="26"/>
      <c r="E862" s="26"/>
      <c r="F862" s="26"/>
      <c r="G862" s="27"/>
      <c r="H862" s="27"/>
      <c r="I862" s="27"/>
      <c r="J862" s="27"/>
      <c r="K862" s="23"/>
      <c r="L862" s="23"/>
    </row>
    <row r="863" ht="15.75" customHeight="1">
      <c r="A863" s="23"/>
      <c r="B863" s="24"/>
      <c r="C863" s="25"/>
      <c r="D863" s="26"/>
      <c r="E863" s="26"/>
      <c r="F863" s="26"/>
      <c r="G863" s="27"/>
      <c r="H863" s="27"/>
      <c r="I863" s="27"/>
      <c r="J863" s="27"/>
      <c r="K863" s="23"/>
      <c r="L863" s="23"/>
    </row>
    <row r="864" ht="15.75" customHeight="1">
      <c r="A864" s="23"/>
      <c r="B864" s="24"/>
      <c r="C864" s="25"/>
      <c r="D864" s="26"/>
      <c r="E864" s="26"/>
      <c r="F864" s="26"/>
      <c r="G864" s="27"/>
      <c r="H864" s="27"/>
      <c r="I864" s="27"/>
      <c r="J864" s="27"/>
      <c r="K864" s="23"/>
      <c r="L864" s="23"/>
    </row>
    <row r="865" ht="15.75" customHeight="1">
      <c r="A865" s="23"/>
      <c r="B865" s="24"/>
      <c r="C865" s="25"/>
      <c r="D865" s="26"/>
      <c r="E865" s="26"/>
      <c r="F865" s="26"/>
      <c r="G865" s="27"/>
      <c r="H865" s="27"/>
      <c r="I865" s="27"/>
      <c r="J865" s="27"/>
      <c r="K865" s="23"/>
      <c r="L865" s="23"/>
    </row>
    <row r="866" ht="15.75" customHeight="1">
      <c r="A866" s="23"/>
      <c r="B866" s="24"/>
      <c r="C866" s="25"/>
      <c r="D866" s="26"/>
      <c r="E866" s="26"/>
      <c r="F866" s="26"/>
      <c r="G866" s="27"/>
      <c r="H866" s="27"/>
      <c r="I866" s="27"/>
      <c r="J866" s="27"/>
      <c r="K866" s="23"/>
      <c r="L866" s="23"/>
    </row>
    <row r="867" ht="15.75" customHeight="1">
      <c r="A867" s="23"/>
      <c r="B867" s="24"/>
      <c r="C867" s="25"/>
      <c r="D867" s="26"/>
      <c r="E867" s="26"/>
      <c r="F867" s="26"/>
      <c r="G867" s="27"/>
      <c r="H867" s="27"/>
      <c r="I867" s="27"/>
      <c r="J867" s="27"/>
      <c r="K867" s="23"/>
      <c r="L867" s="23"/>
    </row>
    <row r="868" ht="15.75" customHeight="1">
      <c r="A868" s="23"/>
      <c r="B868" s="24"/>
      <c r="C868" s="25"/>
      <c r="D868" s="26"/>
      <c r="E868" s="26"/>
      <c r="F868" s="26"/>
      <c r="G868" s="27"/>
      <c r="H868" s="27"/>
      <c r="I868" s="27"/>
      <c r="J868" s="27"/>
      <c r="K868" s="23"/>
      <c r="L868" s="23"/>
    </row>
    <row r="869" ht="15.75" customHeight="1">
      <c r="A869" s="23"/>
      <c r="B869" s="24"/>
      <c r="C869" s="25"/>
      <c r="D869" s="26"/>
      <c r="E869" s="26"/>
      <c r="F869" s="26"/>
      <c r="G869" s="27"/>
      <c r="H869" s="27"/>
      <c r="I869" s="27"/>
      <c r="J869" s="27"/>
      <c r="K869" s="23"/>
      <c r="L869" s="23"/>
    </row>
    <row r="870" ht="15.75" customHeight="1">
      <c r="A870" s="23"/>
      <c r="B870" s="24"/>
      <c r="C870" s="25"/>
      <c r="D870" s="26"/>
      <c r="E870" s="26"/>
      <c r="F870" s="26"/>
      <c r="G870" s="27"/>
      <c r="H870" s="27"/>
      <c r="I870" s="27"/>
      <c r="J870" s="27"/>
      <c r="K870" s="23"/>
      <c r="L870" s="23"/>
    </row>
    <row r="871" ht="15.75" customHeight="1">
      <c r="A871" s="23"/>
      <c r="B871" s="24"/>
      <c r="C871" s="25"/>
      <c r="D871" s="26"/>
      <c r="E871" s="26"/>
      <c r="F871" s="26"/>
      <c r="G871" s="27"/>
      <c r="H871" s="27"/>
      <c r="I871" s="27"/>
      <c r="J871" s="27"/>
      <c r="K871" s="23"/>
      <c r="L871" s="23"/>
    </row>
    <row r="872" ht="15.75" customHeight="1">
      <c r="A872" s="23"/>
      <c r="B872" s="24"/>
      <c r="C872" s="25"/>
      <c r="D872" s="26"/>
      <c r="E872" s="26"/>
      <c r="F872" s="26"/>
      <c r="G872" s="27"/>
      <c r="H872" s="27"/>
      <c r="I872" s="27"/>
      <c r="J872" s="27"/>
      <c r="K872" s="23"/>
      <c r="L872" s="23"/>
    </row>
    <row r="873" ht="15.75" customHeight="1">
      <c r="A873" s="23"/>
      <c r="B873" s="24"/>
      <c r="C873" s="25"/>
      <c r="D873" s="26"/>
      <c r="E873" s="26"/>
      <c r="F873" s="26"/>
      <c r="G873" s="27"/>
      <c r="H873" s="27"/>
      <c r="I873" s="27"/>
      <c r="J873" s="27"/>
      <c r="K873" s="23"/>
      <c r="L873" s="23"/>
    </row>
    <row r="874" ht="15.75" customHeight="1">
      <c r="A874" s="23"/>
      <c r="B874" s="24"/>
      <c r="C874" s="25"/>
      <c r="D874" s="26"/>
      <c r="E874" s="26"/>
      <c r="F874" s="26"/>
      <c r="G874" s="27"/>
      <c r="H874" s="27"/>
      <c r="I874" s="27"/>
      <c r="J874" s="27"/>
      <c r="K874" s="23"/>
      <c r="L874" s="23"/>
    </row>
    <row r="875" ht="15.75" customHeight="1">
      <c r="A875" s="23"/>
      <c r="B875" s="24"/>
      <c r="C875" s="25"/>
      <c r="D875" s="26"/>
      <c r="E875" s="26"/>
      <c r="F875" s="26"/>
      <c r="G875" s="27"/>
      <c r="H875" s="27"/>
      <c r="I875" s="27"/>
      <c r="J875" s="27"/>
      <c r="K875" s="23"/>
      <c r="L875" s="23"/>
    </row>
    <row r="876" ht="15.75" customHeight="1">
      <c r="A876" s="23"/>
      <c r="B876" s="24"/>
      <c r="C876" s="25"/>
      <c r="D876" s="26"/>
      <c r="E876" s="26"/>
      <c r="F876" s="26"/>
      <c r="G876" s="27"/>
      <c r="H876" s="27"/>
      <c r="I876" s="27"/>
      <c r="J876" s="27"/>
      <c r="K876" s="23"/>
      <c r="L876" s="23"/>
    </row>
    <row r="877" ht="15.75" customHeight="1">
      <c r="A877" s="23"/>
      <c r="B877" s="24"/>
      <c r="C877" s="25"/>
      <c r="D877" s="26"/>
      <c r="E877" s="26"/>
      <c r="F877" s="26"/>
      <c r="G877" s="27"/>
      <c r="H877" s="27"/>
      <c r="I877" s="27"/>
      <c r="J877" s="27"/>
      <c r="K877" s="23"/>
      <c r="L877" s="23"/>
    </row>
    <row r="878" ht="15.75" customHeight="1">
      <c r="A878" s="23"/>
      <c r="B878" s="24"/>
      <c r="C878" s="25"/>
      <c r="D878" s="26"/>
      <c r="E878" s="26"/>
      <c r="F878" s="26"/>
      <c r="G878" s="27"/>
      <c r="H878" s="27"/>
      <c r="I878" s="27"/>
      <c r="J878" s="27"/>
      <c r="K878" s="23"/>
      <c r="L878" s="23"/>
    </row>
    <row r="879" ht="15.75" customHeight="1">
      <c r="A879" s="23"/>
      <c r="B879" s="24"/>
      <c r="C879" s="25"/>
      <c r="D879" s="26"/>
      <c r="E879" s="26"/>
      <c r="F879" s="26"/>
      <c r="G879" s="27"/>
      <c r="H879" s="27"/>
      <c r="I879" s="27"/>
      <c r="J879" s="27"/>
      <c r="K879" s="23"/>
      <c r="L879" s="23"/>
    </row>
    <row r="880" ht="15.75" customHeight="1">
      <c r="A880" s="23"/>
      <c r="B880" s="24"/>
      <c r="C880" s="25"/>
      <c r="D880" s="26"/>
      <c r="E880" s="26"/>
      <c r="F880" s="26"/>
      <c r="G880" s="27"/>
      <c r="H880" s="27"/>
      <c r="I880" s="27"/>
      <c r="J880" s="27"/>
      <c r="K880" s="23"/>
      <c r="L880" s="23"/>
    </row>
    <row r="881" ht="15.75" customHeight="1">
      <c r="A881" s="23"/>
      <c r="B881" s="24"/>
      <c r="C881" s="25"/>
      <c r="D881" s="26"/>
      <c r="E881" s="26"/>
      <c r="F881" s="26"/>
      <c r="G881" s="27"/>
      <c r="H881" s="27"/>
      <c r="I881" s="27"/>
      <c r="J881" s="27"/>
      <c r="K881" s="23"/>
      <c r="L881" s="23"/>
    </row>
    <row r="882" ht="15.75" customHeight="1">
      <c r="A882" s="23"/>
      <c r="B882" s="24"/>
      <c r="C882" s="25"/>
      <c r="D882" s="26"/>
      <c r="E882" s="26"/>
      <c r="F882" s="26"/>
      <c r="G882" s="27"/>
      <c r="H882" s="27"/>
      <c r="I882" s="27"/>
      <c r="J882" s="27"/>
      <c r="K882" s="23"/>
      <c r="L882" s="23"/>
    </row>
    <row r="883" ht="15.75" customHeight="1">
      <c r="A883" s="23"/>
      <c r="B883" s="24"/>
      <c r="C883" s="25"/>
      <c r="D883" s="26"/>
      <c r="E883" s="26"/>
      <c r="F883" s="26"/>
      <c r="G883" s="27"/>
      <c r="H883" s="27"/>
      <c r="I883" s="27"/>
      <c r="J883" s="27"/>
      <c r="K883" s="23"/>
      <c r="L883" s="23"/>
    </row>
    <row r="884" ht="15.75" customHeight="1">
      <c r="A884" s="23"/>
      <c r="B884" s="24"/>
      <c r="C884" s="25"/>
      <c r="D884" s="26"/>
      <c r="E884" s="26"/>
      <c r="F884" s="26"/>
      <c r="G884" s="27"/>
      <c r="H884" s="27"/>
      <c r="I884" s="27"/>
      <c r="J884" s="27"/>
      <c r="K884" s="23"/>
      <c r="L884" s="23"/>
    </row>
    <row r="885" ht="15.75" customHeight="1">
      <c r="A885" s="23"/>
      <c r="B885" s="24"/>
      <c r="C885" s="25"/>
      <c r="D885" s="26"/>
      <c r="E885" s="26"/>
      <c r="F885" s="26"/>
      <c r="G885" s="27"/>
      <c r="H885" s="27"/>
      <c r="I885" s="27"/>
      <c r="J885" s="27"/>
      <c r="K885" s="23"/>
      <c r="L885" s="23"/>
    </row>
    <row r="886" ht="15.75" customHeight="1">
      <c r="A886" s="23"/>
      <c r="B886" s="24"/>
      <c r="C886" s="25"/>
      <c r="D886" s="26"/>
      <c r="E886" s="26"/>
      <c r="F886" s="26"/>
      <c r="G886" s="27"/>
      <c r="H886" s="27"/>
      <c r="I886" s="27"/>
      <c r="J886" s="27"/>
      <c r="K886" s="23"/>
      <c r="L886" s="23"/>
    </row>
    <row r="887" ht="15.75" customHeight="1">
      <c r="A887" s="23"/>
      <c r="B887" s="24"/>
      <c r="C887" s="25"/>
      <c r="D887" s="26"/>
      <c r="E887" s="26"/>
      <c r="F887" s="26"/>
      <c r="G887" s="27"/>
      <c r="H887" s="27"/>
      <c r="I887" s="27"/>
      <c r="J887" s="27"/>
      <c r="K887" s="23"/>
      <c r="L887" s="23"/>
    </row>
    <row r="888" ht="15.75" customHeight="1">
      <c r="A888" s="23"/>
      <c r="B888" s="24"/>
      <c r="C888" s="25"/>
      <c r="D888" s="26"/>
      <c r="E888" s="26"/>
      <c r="F888" s="26"/>
      <c r="G888" s="27"/>
      <c r="H888" s="27"/>
      <c r="I888" s="27"/>
      <c r="J888" s="27"/>
      <c r="K888" s="23"/>
      <c r="L888" s="23"/>
    </row>
    <row r="889" ht="15.75" customHeight="1">
      <c r="A889" s="23"/>
      <c r="B889" s="24"/>
      <c r="C889" s="25"/>
      <c r="D889" s="26"/>
      <c r="E889" s="26"/>
      <c r="F889" s="26"/>
      <c r="G889" s="27"/>
      <c r="H889" s="27"/>
      <c r="I889" s="27"/>
      <c r="J889" s="27"/>
      <c r="K889" s="23"/>
      <c r="L889" s="23"/>
    </row>
    <row r="890" ht="15.75" customHeight="1">
      <c r="A890" s="23"/>
      <c r="B890" s="24"/>
      <c r="C890" s="25"/>
      <c r="D890" s="26"/>
      <c r="E890" s="26"/>
      <c r="F890" s="26"/>
      <c r="G890" s="27"/>
      <c r="H890" s="27"/>
      <c r="I890" s="27"/>
      <c r="J890" s="27"/>
      <c r="K890" s="23"/>
      <c r="L890" s="23"/>
    </row>
    <row r="891" ht="15.75" customHeight="1">
      <c r="A891" s="23"/>
      <c r="B891" s="24"/>
      <c r="C891" s="25"/>
      <c r="D891" s="26"/>
      <c r="E891" s="26"/>
      <c r="F891" s="26"/>
      <c r="G891" s="27"/>
      <c r="H891" s="27"/>
      <c r="I891" s="27"/>
      <c r="J891" s="27"/>
      <c r="K891" s="23"/>
      <c r="L891" s="23"/>
    </row>
    <row r="892" ht="15.75" customHeight="1">
      <c r="A892" s="23"/>
      <c r="B892" s="24"/>
      <c r="C892" s="25"/>
      <c r="D892" s="26"/>
      <c r="E892" s="26"/>
      <c r="F892" s="26"/>
      <c r="G892" s="27"/>
      <c r="H892" s="27"/>
      <c r="I892" s="27"/>
      <c r="J892" s="27"/>
      <c r="K892" s="23"/>
      <c r="L892" s="23"/>
    </row>
    <row r="893" ht="15.75" customHeight="1">
      <c r="A893" s="23"/>
      <c r="B893" s="24"/>
      <c r="C893" s="25"/>
      <c r="D893" s="26"/>
      <c r="E893" s="26"/>
      <c r="F893" s="26"/>
      <c r="G893" s="27"/>
      <c r="H893" s="27"/>
      <c r="I893" s="27"/>
      <c r="J893" s="27"/>
      <c r="K893" s="23"/>
      <c r="L893" s="23"/>
    </row>
    <row r="894" ht="15.75" customHeight="1">
      <c r="A894" s="23"/>
      <c r="B894" s="24"/>
      <c r="C894" s="25"/>
      <c r="D894" s="26"/>
      <c r="E894" s="26"/>
      <c r="F894" s="26"/>
      <c r="G894" s="27"/>
      <c r="H894" s="27"/>
      <c r="I894" s="27"/>
      <c r="J894" s="27"/>
      <c r="K894" s="23"/>
      <c r="L894" s="23"/>
    </row>
    <row r="895" ht="15.75" customHeight="1">
      <c r="A895" s="23"/>
      <c r="B895" s="24"/>
      <c r="C895" s="25"/>
      <c r="D895" s="26"/>
      <c r="E895" s="26"/>
      <c r="F895" s="26"/>
      <c r="G895" s="27"/>
      <c r="H895" s="27"/>
      <c r="I895" s="27"/>
      <c r="J895" s="27"/>
      <c r="K895" s="23"/>
      <c r="L895" s="23"/>
    </row>
    <row r="896" ht="15.75" customHeight="1">
      <c r="A896" s="23"/>
      <c r="B896" s="24"/>
      <c r="C896" s="25"/>
      <c r="D896" s="26"/>
      <c r="E896" s="26"/>
      <c r="F896" s="26"/>
      <c r="G896" s="27"/>
      <c r="H896" s="27"/>
      <c r="I896" s="27"/>
      <c r="J896" s="27"/>
      <c r="K896" s="23"/>
      <c r="L896" s="23"/>
    </row>
    <row r="897" ht="15.75" customHeight="1">
      <c r="A897" s="23"/>
      <c r="B897" s="24"/>
      <c r="C897" s="25"/>
      <c r="D897" s="26"/>
      <c r="E897" s="26"/>
      <c r="F897" s="26"/>
      <c r="G897" s="27"/>
      <c r="H897" s="27"/>
      <c r="I897" s="27"/>
      <c r="J897" s="27"/>
      <c r="K897" s="23"/>
      <c r="L897" s="23"/>
    </row>
    <row r="898" ht="15.75" customHeight="1">
      <c r="A898" s="23"/>
      <c r="B898" s="24"/>
      <c r="C898" s="25"/>
      <c r="D898" s="26"/>
      <c r="E898" s="26"/>
      <c r="F898" s="26"/>
      <c r="G898" s="27"/>
      <c r="H898" s="27"/>
      <c r="I898" s="27"/>
      <c r="J898" s="27"/>
      <c r="K898" s="23"/>
      <c r="L898" s="23"/>
    </row>
    <row r="899" ht="15.75" customHeight="1">
      <c r="A899" s="23"/>
      <c r="B899" s="24"/>
      <c r="C899" s="25"/>
      <c r="D899" s="26"/>
      <c r="E899" s="26"/>
      <c r="F899" s="26"/>
      <c r="G899" s="27"/>
      <c r="H899" s="27"/>
      <c r="I899" s="27"/>
      <c r="J899" s="27"/>
      <c r="K899" s="23"/>
      <c r="L899" s="23"/>
    </row>
    <row r="900" ht="15.75" customHeight="1">
      <c r="A900" s="23"/>
      <c r="B900" s="24"/>
      <c r="C900" s="25"/>
      <c r="D900" s="26"/>
      <c r="E900" s="26"/>
      <c r="F900" s="26"/>
      <c r="G900" s="27"/>
      <c r="H900" s="27"/>
      <c r="I900" s="27"/>
      <c r="J900" s="27"/>
      <c r="K900" s="23"/>
      <c r="L900" s="23"/>
    </row>
    <row r="901" ht="15.75" customHeight="1">
      <c r="A901" s="23"/>
      <c r="B901" s="24"/>
      <c r="C901" s="25"/>
      <c r="D901" s="26"/>
      <c r="E901" s="26"/>
      <c r="F901" s="26"/>
      <c r="G901" s="27"/>
      <c r="H901" s="27"/>
      <c r="I901" s="27"/>
      <c r="J901" s="27"/>
      <c r="K901" s="23"/>
      <c r="L901" s="23"/>
    </row>
    <row r="902" ht="15.75" customHeight="1">
      <c r="A902" s="23"/>
      <c r="B902" s="24"/>
      <c r="C902" s="25"/>
      <c r="D902" s="26"/>
      <c r="E902" s="26"/>
      <c r="F902" s="26"/>
      <c r="G902" s="27"/>
      <c r="H902" s="27"/>
      <c r="I902" s="27"/>
      <c r="J902" s="27"/>
      <c r="K902" s="23"/>
      <c r="L902" s="23"/>
    </row>
    <row r="903" ht="15.75" customHeight="1">
      <c r="A903" s="23"/>
      <c r="B903" s="24"/>
      <c r="C903" s="25"/>
      <c r="D903" s="26"/>
      <c r="E903" s="26"/>
      <c r="F903" s="26"/>
      <c r="G903" s="27"/>
      <c r="H903" s="27"/>
      <c r="I903" s="27"/>
      <c r="J903" s="27"/>
      <c r="K903" s="23"/>
      <c r="L903" s="23"/>
    </row>
    <row r="904" ht="15.75" customHeight="1">
      <c r="A904" s="23"/>
      <c r="B904" s="24"/>
      <c r="C904" s="25"/>
      <c r="D904" s="26"/>
      <c r="E904" s="26"/>
      <c r="F904" s="26"/>
      <c r="G904" s="27"/>
      <c r="H904" s="27"/>
      <c r="I904" s="27"/>
      <c r="J904" s="27"/>
      <c r="K904" s="23"/>
      <c r="L904" s="23"/>
    </row>
    <row r="905" ht="15.75" customHeight="1">
      <c r="A905" s="23"/>
      <c r="B905" s="24"/>
      <c r="C905" s="25"/>
      <c r="D905" s="26"/>
      <c r="E905" s="26"/>
      <c r="F905" s="26"/>
      <c r="G905" s="27"/>
      <c r="H905" s="27"/>
      <c r="I905" s="27"/>
      <c r="J905" s="27"/>
      <c r="K905" s="23"/>
      <c r="L905" s="23"/>
    </row>
    <row r="906" ht="15.75" customHeight="1">
      <c r="A906" s="23"/>
      <c r="B906" s="24"/>
      <c r="C906" s="25"/>
      <c r="D906" s="26"/>
      <c r="E906" s="26"/>
      <c r="F906" s="26"/>
      <c r="G906" s="27"/>
      <c r="H906" s="27"/>
      <c r="I906" s="27"/>
      <c r="J906" s="27"/>
      <c r="K906" s="23"/>
      <c r="L906" s="23"/>
    </row>
    <row r="907" ht="15.75" customHeight="1">
      <c r="A907" s="23"/>
      <c r="B907" s="24"/>
      <c r="C907" s="25"/>
      <c r="D907" s="26"/>
      <c r="E907" s="26"/>
      <c r="F907" s="26"/>
      <c r="G907" s="27"/>
      <c r="H907" s="27"/>
      <c r="I907" s="27"/>
      <c r="J907" s="27"/>
      <c r="K907" s="23"/>
      <c r="L907" s="23"/>
    </row>
    <row r="908" ht="15.75" customHeight="1">
      <c r="A908" s="23"/>
      <c r="B908" s="24"/>
      <c r="C908" s="25"/>
      <c r="D908" s="26"/>
      <c r="E908" s="26"/>
      <c r="F908" s="26"/>
      <c r="G908" s="27"/>
      <c r="H908" s="27"/>
      <c r="I908" s="27"/>
      <c r="J908" s="27"/>
      <c r="K908" s="23"/>
      <c r="L908" s="23"/>
    </row>
    <row r="909" ht="15.75" customHeight="1">
      <c r="A909" s="23"/>
      <c r="B909" s="24"/>
      <c r="C909" s="25"/>
      <c r="D909" s="26"/>
      <c r="E909" s="26"/>
      <c r="F909" s="26"/>
      <c r="G909" s="27"/>
      <c r="H909" s="27"/>
      <c r="I909" s="27"/>
      <c r="J909" s="27"/>
      <c r="K909" s="23"/>
      <c r="L909" s="23"/>
    </row>
    <row r="910" ht="15.75" customHeight="1">
      <c r="A910" s="23"/>
      <c r="B910" s="24"/>
      <c r="C910" s="25"/>
      <c r="D910" s="26"/>
      <c r="E910" s="26"/>
      <c r="F910" s="26"/>
      <c r="G910" s="27"/>
      <c r="H910" s="27"/>
      <c r="I910" s="27"/>
      <c r="J910" s="27"/>
      <c r="K910" s="23"/>
      <c r="L910" s="23"/>
    </row>
    <row r="911" ht="15.75" customHeight="1">
      <c r="A911" s="23"/>
      <c r="B911" s="24"/>
      <c r="C911" s="25"/>
      <c r="D911" s="26"/>
      <c r="E911" s="26"/>
      <c r="F911" s="26"/>
      <c r="G911" s="27"/>
      <c r="H911" s="27"/>
      <c r="I911" s="27"/>
      <c r="J911" s="27"/>
      <c r="K911" s="23"/>
      <c r="L911" s="23"/>
    </row>
    <row r="912" ht="15.75" customHeight="1">
      <c r="A912" s="23"/>
      <c r="B912" s="24"/>
      <c r="C912" s="25"/>
      <c r="D912" s="26"/>
      <c r="E912" s="26"/>
      <c r="F912" s="26"/>
      <c r="G912" s="27"/>
      <c r="H912" s="27"/>
      <c r="I912" s="27"/>
      <c r="J912" s="27"/>
      <c r="K912" s="23"/>
      <c r="L912" s="23"/>
    </row>
    <row r="913" ht="15.75" customHeight="1">
      <c r="A913" s="23"/>
      <c r="B913" s="24"/>
      <c r="C913" s="25"/>
      <c r="D913" s="26"/>
      <c r="E913" s="26"/>
      <c r="F913" s="26"/>
      <c r="G913" s="27"/>
      <c r="H913" s="27"/>
      <c r="I913" s="27"/>
      <c r="J913" s="27"/>
      <c r="K913" s="23"/>
      <c r="L913" s="23"/>
    </row>
    <row r="914" ht="15.75" customHeight="1">
      <c r="A914" s="23"/>
      <c r="B914" s="24"/>
      <c r="C914" s="25"/>
      <c r="D914" s="26"/>
      <c r="E914" s="26"/>
      <c r="F914" s="26"/>
      <c r="G914" s="27"/>
      <c r="H914" s="27"/>
      <c r="I914" s="27"/>
      <c r="J914" s="27"/>
      <c r="K914" s="23"/>
      <c r="L914" s="23"/>
    </row>
    <row r="915" ht="15.75" customHeight="1">
      <c r="A915" s="23"/>
      <c r="B915" s="24"/>
      <c r="C915" s="25"/>
      <c r="D915" s="26"/>
      <c r="E915" s="26"/>
      <c r="F915" s="26"/>
      <c r="G915" s="27"/>
      <c r="H915" s="27"/>
      <c r="I915" s="27"/>
      <c r="J915" s="27"/>
      <c r="K915" s="23"/>
      <c r="L915" s="23"/>
    </row>
    <row r="916" ht="15.75" customHeight="1">
      <c r="A916" s="23"/>
      <c r="B916" s="24"/>
      <c r="C916" s="25"/>
      <c r="D916" s="26"/>
      <c r="E916" s="26"/>
      <c r="F916" s="26"/>
      <c r="G916" s="27"/>
      <c r="H916" s="27"/>
      <c r="I916" s="27"/>
      <c r="J916" s="27"/>
      <c r="K916" s="23"/>
      <c r="L916" s="23"/>
    </row>
    <row r="917" ht="15.75" customHeight="1">
      <c r="A917" s="23"/>
      <c r="B917" s="24"/>
      <c r="C917" s="25"/>
      <c r="D917" s="26"/>
      <c r="E917" s="26"/>
      <c r="F917" s="26"/>
      <c r="G917" s="27"/>
      <c r="H917" s="27"/>
      <c r="I917" s="27"/>
      <c r="J917" s="27"/>
      <c r="K917" s="23"/>
      <c r="L917" s="23"/>
    </row>
    <row r="918" ht="15.75" customHeight="1">
      <c r="A918" s="23"/>
      <c r="B918" s="24"/>
      <c r="C918" s="25"/>
      <c r="D918" s="26"/>
      <c r="E918" s="26"/>
      <c r="F918" s="26"/>
      <c r="G918" s="27"/>
      <c r="H918" s="27"/>
      <c r="I918" s="27"/>
      <c r="J918" s="27"/>
      <c r="K918" s="23"/>
      <c r="L918" s="23"/>
    </row>
    <row r="919" ht="15.75" customHeight="1">
      <c r="A919" s="23"/>
      <c r="B919" s="24"/>
      <c r="C919" s="25"/>
      <c r="D919" s="26"/>
      <c r="E919" s="26"/>
      <c r="F919" s="26"/>
      <c r="G919" s="27"/>
      <c r="H919" s="27"/>
      <c r="I919" s="27"/>
      <c r="J919" s="27"/>
      <c r="K919" s="23"/>
      <c r="L919" s="23"/>
    </row>
    <row r="920" ht="15.75" customHeight="1">
      <c r="A920" s="23"/>
      <c r="B920" s="24"/>
      <c r="C920" s="25"/>
      <c r="D920" s="26"/>
      <c r="E920" s="26"/>
      <c r="F920" s="26"/>
      <c r="G920" s="27"/>
      <c r="H920" s="27"/>
      <c r="I920" s="27"/>
      <c r="J920" s="27"/>
      <c r="K920" s="23"/>
      <c r="L920" s="23"/>
    </row>
    <row r="921" ht="15.75" customHeight="1">
      <c r="A921" s="23"/>
      <c r="B921" s="24"/>
      <c r="C921" s="25"/>
      <c r="D921" s="26"/>
      <c r="E921" s="26"/>
      <c r="F921" s="26"/>
      <c r="G921" s="27"/>
      <c r="H921" s="27"/>
      <c r="I921" s="27"/>
      <c r="J921" s="27"/>
      <c r="K921" s="23"/>
      <c r="L921" s="23"/>
    </row>
    <row r="922" ht="15.75" customHeight="1">
      <c r="A922" s="23"/>
      <c r="B922" s="24"/>
      <c r="C922" s="25"/>
      <c r="D922" s="26"/>
      <c r="E922" s="26"/>
      <c r="F922" s="26"/>
      <c r="G922" s="27"/>
      <c r="H922" s="27"/>
      <c r="I922" s="27"/>
      <c r="J922" s="27"/>
      <c r="K922" s="23"/>
      <c r="L922" s="23"/>
    </row>
    <row r="923" ht="15.75" customHeight="1">
      <c r="A923" s="23"/>
      <c r="B923" s="24"/>
      <c r="C923" s="25"/>
      <c r="D923" s="26"/>
      <c r="E923" s="26"/>
      <c r="F923" s="26"/>
      <c r="G923" s="27"/>
      <c r="H923" s="27"/>
      <c r="I923" s="27"/>
      <c r="J923" s="27"/>
      <c r="K923" s="23"/>
      <c r="L923" s="23"/>
    </row>
    <row r="924" ht="15.75" customHeight="1">
      <c r="A924" s="23"/>
      <c r="B924" s="24"/>
      <c r="C924" s="25"/>
      <c r="D924" s="26"/>
      <c r="E924" s="26"/>
      <c r="F924" s="26"/>
      <c r="G924" s="27"/>
      <c r="H924" s="27"/>
      <c r="I924" s="27"/>
      <c r="J924" s="27"/>
      <c r="K924" s="23"/>
      <c r="L924" s="23"/>
    </row>
    <row r="925" ht="15.75" customHeight="1">
      <c r="A925" s="23"/>
      <c r="B925" s="24"/>
      <c r="C925" s="25"/>
      <c r="D925" s="26"/>
      <c r="E925" s="26"/>
      <c r="F925" s="26"/>
      <c r="G925" s="27"/>
      <c r="H925" s="27"/>
      <c r="I925" s="27"/>
      <c r="J925" s="27"/>
      <c r="K925" s="23"/>
      <c r="L925" s="23"/>
    </row>
    <row r="926" ht="15.75" customHeight="1">
      <c r="A926" s="23"/>
      <c r="B926" s="24"/>
      <c r="C926" s="25"/>
      <c r="D926" s="26"/>
      <c r="E926" s="26"/>
      <c r="F926" s="26"/>
      <c r="G926" s="27"/>
      <c r="H926" s="27"/>
      <c r="I926" s="27"/>
      <c r="J926" s="27"/>
      <c r="K926" s="23"/>
      <c r="L926" s="23"/>
    </row>
    <row r="927" ht="15.75" customHeight="1">
      <c r="A927" s="23"/>
      <c r="B927" s="24"/>
      <c r="C927" s="25"/>
      <c r="D927" s="26"/>
      <c r="E927" s="26"/>
      <c r="F927" s="26"/>
      <c r="G927" s="27"/>
      <c r="H927" s="27"/>
      <c r="I927" s="27"/>
      <c r="J927" s="27"/>
      <c r="K927" s="23"/>
      <c r="L927" s="23"/>
    </row>
    <row r="928" ht="15.75" customHeight="1">
      <c r="A928" s="23"/>
      <c r="B928" s="24"/>
      <c r="C928" s="25"/>
      <c r="D928" s="26"/>
      <c r="E928" s="26"/>
      <c r="F928" s="26"/>
      <c r="G928" s="27"/>
      <c r="H928" s="27"/>
      <c r="I928" s="27"/>
      <c r="J928" s="27"/>
      <c r="K928" s="23"/>
      <c r="L928" s="23"/>
    </row>
    <row r="929" ht="15.75" customHeight="1">
      <c r="A929" s="23"/>
      <c r="B929" s="24"/>
      <c r="C929" s="25"/>
      <c r="D929" s="26"/>
      <c r="E929" s="26"/>
      <c r="F929" s="26"/>
      <c r="G929" s="27"/>
      <c r="H929" s="27"/>
      <c r="I929" s="27"/>
      <c r="J929" s="27"/>
      <c r="K929" s="23"/>
      <c r="L929" s="23"/>
    </row>
    <row r="930" ht="15.75" customHeight="1">
      <c r="A930" s="23"/>
      <c r="B930" s="24"/>
      <c r="C930" s="25"/>
      <c r="D930" s="26"/>
      <c r="E930" s="26"/>
      <c r="F930" s="26"/>
      <c r="G930" s="27"/>
      <c r="H930" s="27"/>
      <c r="I930" s="27"/>
      <c r="J930" s="27"/>
      <c r="K930" s="23"/>
      <c r="L930" s="23"/>
    </row>
    <row r="931" ht="15.75" customHeight="1">
      <c r="A931" s="23"/>
      <c r="B931" s="24"/>
      <c r="C931" s="25"/>
      <c r="D931" s="26"/>
      <c r="E931" s="26"/>
      <c r="F931" s="26"/>
      <c r="G931" s="27"/>
      <c r="H931" s="27"/>
      <c r="I931" s="27"/>
      <c r="J931" s="27"/>
      <c r="K931" s="23"/>
      <c r="L931" s="23"/>
    </row>
    <row r="932" ht="15.75" customHeight="1">
      <c r="A932" s="23"/>
      <c r="B932" s="24"/>
      <c r="C932" s="25"/>
      <c r="D932" s="26"/>
      <c r="E932" s="26"/>
      <c r="F932" s="26"/>
      <c r="G932" s="27"/>
      <c r="H932" s="27"/>
      <c r="I932" s="27"/>
      <c r="J932" s="27"/>
      <c r="K932" s="23"/>
      <c r="L932" s="23"/>
    </row>
    <row r="933" ht="15.75" customHeight="1">
      <c r="A933" s="23"/>
      <c r="B933" s="24"/>
      <c r="C933" s="25"/>
      <c r="D933" s="26"/>
      <c r="E933" s="26"/>
      <c r="F933" s="26"/>
      <c r="G933" s="27"/>
      <c r="H933" s="27"/>
      <c r="I933" s="27"/>
      <c r="J933" s="27"/>
      <c r="K933" s="23"/>
      <c r="L933" s="23"/>
    </row>
    <row r="934" ht="15.75" customHeight="1">
      <c r="A934" s="23"/>
      <c r="B934" s="24"/>
      <c r="C934" s="25"/>
      <c r="D934" s="26"/>
      <c r="E934" s="26"/>
      <c r="F934" s="26"/>
      <c r="G934" s="27"/>
      <c r="H934" s="27"/>
      <c r="I934" s="27"/>
      <c r="J934" s="27"/>
      <c r="K934" s="23"/>
      <c r="L934" s="23"/>
    </row>
    <row r="935" ht="15.75" customHeight="1">
      <c r="A935" s="23"/>
      <c r="B935" s="24"/>
      <c r="C935" s="25"/>
      <c r="D935" s="26"/>
      <c r="E935" s="26"/>
      <c r="F935" s="26"/>
      <c r="G935" s="27"/>
      <c r="H935" s="27"/>
      <c r="I935" s="27"/>
      <c r="J935" s="27"/>
      <c r="K935" s="23"/>
      <c r="L935" s="23"/>
    </row>
    <row r="936" ht="15.75" customHeight="1">
      <c r="A936" s="23"/>
      <c r="B936" s="24"/>
      <c r="C936" s="25"/>
      <c r="D936" s="26"/>
      <c r="E936" s="26"/>
      <c r="F936" s="26"/>
      <c r="G936" s="27"/>
      <c r="H936" s="27"/>
      <c r="I936" s="27"/>
      <c r="J936" s="27"/>
      <c r="K936" s="23"/>
      <c r="L936" s="23"/>
    </row>
    <row r="937" ht="15.75" customHeight="1">
      <c r="A937" s="23"/>
      <c r="B937" s="24"/>
      <c r="C937" s="25"/>
      <c r="D937" s="26"/>
      <c r="E937" s="26"/>
      <c r="F937" s="26"/>
      <c r="G937" s="27"/>
      <c r="H937" s="27"/>
      <c r="I937" s="27"/>
      <c r="J937" s="27"/>
      <c r="K937" s="23"/>
      <c r="L937" s="23"/>
    </row>
    <row r="938" ht="15.75" customHeight="1">
      <c r="A938" s="23"/>
      <c r="B938" s="24"/>
      <c r="C938" s="25"/>
      <c r="D938" s="26"/>
      <c r="E938" s="26"/>
      <c r="F938" s="26"/>
      <c r="G938" s="27"/>
      <c r="H938" s="27"/>
      <c r="I938" s="27"/>
      <c r="J938" s="27"/>
      <c r="K938" s="23"/>
      <c r="L938" s="23"/>
    </row>
    <row r="939" ht="15.75" customHeight="1">
      <c r="A939" s="23"/>
      <c r="B939" s="24"/>
      <c r="C939" s="25"/>
      <c r="D939" s="26"/>
      <c r="E939" s="26"/>
      <c r="F939" s="26"/>
      <c r="G939" s="27"/>
      <c r="H939" s="27"/>
      <c r="I939" s="27"/>
      <c r="J939" s="27"/>
      <c r="K939" s="23"/>
      <c r="L939" s="23"/>
    </row>
    <row r="940" ht="15.75" customHeight="1">
      <c r="A940" s="23"/>
      <c r="B940" s="24"/>
      <c r="C940" s="25"/>
      <c r="D940" s="26"/>
      <c r="E940" s="26"/>
      <c r="F940" s="26"/>
      <c r="G940" s="27"/>
      <c r="H940" s="27"/>
      <c r="I940" s="27"/>
      <c r="J940" s="27"/>
      <c r="K940" s="23"/>
      <c r="L940" s="23"/>
    </row>
    <row r="941" ht="15.75" customHeight="1">
      <c r="A941" s="23"/>
      <c r="B941" s="24"/>
      <c r="C941" s="25"/>
      <c r="D941" s="26"/>
      <c r="E941" s="26"/>
      <c r="F941" s="26"/>
      <c r="G941" s="27"/>
      <c r="H941" s="27"/>
      <c r="I941" s="27"/>
      <c r="J941" s="27"/>
      <c r="K941" s="23"/>
      <c r="L941" s="23"/>
    </row>
    <row r="942" ht="15.75" customHeight="1">
      <c r="A942" s="23"/>
      <c r="B942" s="24"/>
      <c r="C942" s="25"/>
      <c r="D942" s="26"/>
      <c r="E942" s="26"/>
      <c r="F942" s="26"/>
      <c r="G942" s="27"/>
      <c r="H942" s="27"/>
      <c r="I942" s="27"/>
      <c r="J942" s="27"/>
      <c r="K942" s="23"/>
      <c r="L942" s="23"/>
    </row>
    <row r="943" ht="15.75" customHeight="1">
      <c r="A943" s="23"/>
      <c r="B943" s="24"/>
      <c r="C943" s="25"/>
      <c r="D943" s="26"/>
      <c r="E943" s="26"/>
      <c r="F943" s="26"/>
      <c r="G943" s="27"/>
      <c r="H943" s="27"/>
      <c r="I943" s="27"/>
      <c r="J943" s="27"/>
      <c r="K943" s="23"/>
      <c r="L943" s="23"/>
    </row>
    <row r="944" ht="15.75" customHeight="1">
      <c r="A944" s="23"/>
      <c r="B944" s="24"/>
      <c r="C944" s="25"/>
      <c r="D944" s="26"/>
      <c r="E944" s="26"/>
      <c r="F944" s="26"/>
      <c r="G944" s="27"/>
      <c r="H944" s="27"/>
      <c r="I944" s="27"/>
      <c r="J944" s="27"/>
      <c r="K944" s="23"/>
      <c r="L944" s="23"/>
    </row>
    <row r="945" ht="15.75" customHeight="1">
      <c r="A945" s="23"/>
      <c r="B945" s="24"/>
      <c r="C945" s="25"/>
      <c r="D945" s="26"/>
      <c r="E945" s="26"/>
      <c r="F945" s="26"/>
      <c r="G945" s="27"/>
      <c r="H945" s="27"/>
      <c r="I945" s="27"/>
      <c r="J945" s="27"/>
      <c r="K945" s="23"/>
      <c r="L945" s="23"/>
    </row>
    <row r="946" ht="15.75" customHeight="1">
      <c r="A946" s="23"/>
      <c r="B946" s="24"/>
      <c r="C946" s="25"/>
      <c r="D946" s="26"/>
      <c r="E946" s="26"/>
      <c r="F946" s="26"/>
      <c r="G946" s="27"/>
      <c r="H946" s="27"/>
      <c r="I946" s="27"/>
      <c r="J946" s="27"/>
      <c r="K946" s="23"/>
      <c r="L946" s="23"/>
    </row>
    <row r="947" ht="15.75" customHeight="1">
      <c r="A947" s="23"/>
      <c r="B947" s="24"/>
      <c r="C947" s="25"/>
      <c r="D947" s="26"/>
      <c r="E947" s="26"/>
      <c r="F947" s="26"/>
      <c r="G947" s="27"/>
      <c r="H947" s="27"/>
      <c r="I947" s="27"/>
      <c r="J947" s="27"/>
      <c r="K947" s="23"/>
      <c r="L947" s="23"/>
    </row>
    <row r="948" ht="15.75" customHeight="1">
      <c r="A948" s="23"/>
      <c r="B948" s="24"/>
      <c r="C948" s="25"/>
      <c r="D948" s="26"/>
      <c r="E948" s="26"/>
      <c r="F948" s="26"/>
      <c r="G948" s="27"/>
      <c r="H948" s="27"/>
      <c r="I948" s="27"/>
      <c r="J948" s="27"/>
      <c r="K948" s="23"/>
      <c r="L948" s="23"/>
    </row>
    <row r="949" ht="15.75" customHeight="1">
      <c r="A949" s="23"/>
      <c r="B949" s="24"/>
      <c r="C949" s="25"/>
      <c r="D949" s="26"/>
      <c r="E949" s="26"/>
      <c r="F949" s="26"/>
      <c r="G949" s="27"/>
      <c r="H949" s="27"/>
      <c r="I949" s="27"/>
      <c r="J949" s="27"/>
      <c r="K949" s="23"/>
      <c r="L949" s="23"/>
    </row>
    <row r="950" ht="15.75" customHeight="1">
      <c r="A950" s="23"/>
      <c r="B950" s="24"/>
      <c r="C950" s="25"/>
      <c r="D950" s="26"/>
      <c r="E950" s="26"/>
      <c r="F950" s="26"/>
      <c r="G950" s="27"/>
      <c r="H950" s="27"/>
      <c r="I950" s="27"/>
      <c r="J950" s="27"/>
      <c r="K950" s="23"/>
      <c r="L950" s="23"/>
    </row>
    <row r="951" ht="15.75" customHeight="1">
      <c r="A951" s="23"/>
      <c r="B951" s="24"/>
      <c r="C951" s="25"/>
      <c r="D951" s="26"/>
      <c r="E951" s="26"/>
      <c r="F951" s="26"/>
      <c r="G951" s="27"/>
      <c r="H951" s="27"/>
      <c r="I951" s="27"/>
      <c r="J951" s="27"/>
      <c r="K951" s="23"/>
      <c r="L951" s="23"/>
    </row>
    <row r="952" ht="15.75" customHeight="1">
      <c r="A952" s="23"/>
      <c r="B952" s="24"/>
      <c r="C952" s="25"/>
      <c r="D952" s="26"/>
      <c r="E952" s="26"/>
      <c r="F952" s="26"/>
      <c r="G952" s="27"/>
      <c r="H952" s="27"/>
      <c r="I952" s="27"/>
      <c r="J952" s="27"/>
      <c r="K952" s="23"/>
      <c r="L952" s="23"/>
    </row>
    <row r="953" ht="15.75" customHeight="1">
      <c r="A953" s="23"/>
      <c r="B953" s="24"/>
      <c r="C953" s="25"/>
      <c r="D953" s="26"/>
      <c r="E953" s="26"/>
      <c r="F953" s="26"/>
      <c r="G953" s="27"/>
      <c r="H953" s="27"/>
      <c r="I953" s="27"/>
      <c r="J953" s="27"/>
      <c r="K953" s="23"/>
      <c r="L953" s="23"/>
    </row>
    <row r="954" ht="15.75" customHeight="1">
      <c r="A954" s="23"/>
      <c r="B954" s="24"/>
      <c r="C954" s="25"/>
      <c r="D954" s="26"/>
      <c r="E954" s="26"/>
      <c r="F954" s="26"/>
      <c r="G954" s="27"/>
      <c r="H954" s="27"/>
      <c r="I954" s="27"/>
      <c r="J954" s="27"/>
      <c r="K954" s="23"/>
      <c r="L954" s="23"/>
    </row>
    <row r="955" ht="15.75" customHeight="1">
      <c r="A955" s="23"/>
      <c r="B955" s="24"/>
      <c r="C955" s="25"/>
      <c r="D955" s="26"/>
      <c r="E955" s="26"/>
      <c r="F955" s="26"/>
      <c r="G955" s="27"/>
      <c r="H955" s="27"/>
      <c r="I955" s="27"/>
      <c r="J955" s="27"/>
      <c r="K955" s="23"/>
      <c r="L955" s="23"/>
    </row>
    <row r="956" ht="15.75" customHeight="1">
      <c r="A956" s="23"/>
      <c r="B956" s="24"/>
      <c r="C956" s="25"/>
      <c r="D956" s="26"/>
      <c r="E956" s="26"/>
      <c r="F956" s="26"/>
      <c r="G956" s="27"/>
      <c r="H956" s="27"/>
      <c r="I956" s="27"/>
      <c r="J956" s="27"/>
      <c r="K956" s="23"/>
      <c r="L956" s="23"/>
    </row>
    <row r="957" ht="15.75" customHeight="1">
      <c r="A957" s="23"/>
      <c r="B957" s="24"/>
      <c r="C957" s="25"/>
      <c r="D957" s="26"/>
      <c r="E957" s="26"/>
      <c r="F957" s="26"/>
      <c r="G957" s="27"/>
      <c r="H957" s="27"/>
      <c r="I957" s="27"/>
      <c r="J957" s="27"/>
      <c r="K957" s="23"/>
      <c r="L957" s="23"/>
    </row>
    <row r="958" ht="15.75" customHeight="1">
      <c r="A958" s="23"/>
      <c r="B958" s="24"/>
      <c r="C958" s="25"/>
      <c r="D958" s="26"/>
      <c r="E958" s="26"/>
      <c r="F958" s="26"/>
      <c r="G958" s="27"/>
      <c r="H958" s="27"/>
      <c r="I958" s="27"/>
      <c r="J958" s="27"/>
      <c r="K958" s="23"/>
      <c r="L958" s="23"/>
    </row>
    <row r="959" ht="15.75" customHeight="1">
      <c r="A959" s="23"/>
      <c r="B959" s="24"/>
      <c r="C959" s="25"/>
      <c r="D959" s="26"/>
      <c r="E959" s="26"/>
      <c r="F959" s="26"/>
      <c r="G959" s="27"/>
      <c r="H959" s="27"/>
      <c r="I959" s="27"/>
      <c r="J959" s="27"/>
      <c r="K959" s="23"/>
      <c r="L959" s="23"/>
    </row>
    <row r="960" ht="15.75" customHeight="1">
      <c r="A960" s="23"/>
      <c r="B960" s="24"/>
      <c r="C960" s="25"/>
      <c r="D960" s="26"/>
      <c r="E960" s="26"/>
      <c r="F960" s="26"/>
      <c r="G960" s="27"/>
      <c r="H960" s="27"/>
      <c r="I960" s="27"/>
      <c r="J960" s="27"/>
      <c r="K960" s="23"/>
      <c r="L960" s="23"/>
    </row>
    <row r="961" ht="15.75" customHeight="1">
      <c r="A961" s="23"/>
      <c r="B961" s="24"/>
      <c r="C961" s="25"/>
      <c r="D961" s="26"/>
      <c r="E961" s="26"/>
      <c r="F961" s="26"/>
      <c r="G961" s="27"/>
      <c r="H961" s="27"/>
      <c r="I961" s="27"/>
      <c r="J961" s="27"/>
      <c r="K961" s="23"/>
      <c r="L961" s="23"/>
    </row>
    <row r="962" ht="15.75" customHeight="1">
      <c r="A962" s="23"/>
      <c r="B962" s="24"/>
      <c r="C962" s="25"/>
      <c r="D962" s="26"/>
      <c r="E962" s="26"/>
      <c r="F962" s="26"/>
      <c r="G962" s="27"/>
      <c r="H962" s="27"/>
      <c r="I962" s="27"/>
      <c r="J962" s="27"/>
      <c r="K962" s="23"/>
      <c r="L962" s="23"/>
    </row>
    <row r="963" ht="15.75" customHeight="1">
      <c r="A963" s="23"/>
      <c r="B963" s="24"/>
      <c r="C963" s="25"/>
      <c r="D963" s="26"/>
      <c r="E963" s="26"/>
      <c r="F963" s="26"/>
      <c r="G963" s="27"/>
      <c r="H963" s="27"/>
      <c r="I963" s="27"/>
      <c r="J963" s="27"/>
      <c r="K963" s="23"/>
      <c r="L963" s="23"/>
    </row>
    <row r="964" ht="15.75" customHeight="1">
      <c r="A964" s="23"/>
      <c r="B964" s="24"/>
      <c r="C964" s="25"/>
      <c r="D964" s="26"/>
      <c r="E964" s="26"/>
      <c r="F964" s="26"/>
      <c r="G964" s="27"/>
      <c r="H964" s="27"/>
      <c r="I964" s="27"/>
      <c r="J964" s="27"/>
      <c r="K964" s="23"/>
      <c r="L964" s="23"/>
    </row>
    <row r="965" ht="15.75" customHeight="1">
      <c r="A965" s="23"/>
      <c r="B965" s="24"/>
      <c r="C965" s="25"/>
      <c r="D965" s="26"/>
      <c r="E965" s="26"/>
      <c r="F965" s="26"/>
      <c r="G965" s="27"/>
      <c r="H965" s="27"/>
      <c r="I965" s="27"/>
      <c r="J965" s="27"/>
      <c r="K965" s="23"/>
      <c r="L965" s="23"/>
    </row>
    <row r="966" ht="15.75" customHeight="1">
      <c r="A966" s="23"/>
      <c r="B966" s="24"/>
      <c r="C966" s="25"/>
      <c r="D966" s="26"/>
      <c r="E966" s="26"/>
      <c r="F966" s="26"/>
      <c r="G966" s="27"/>
      <c r="H966" s="27"/>
      <c r="I966" s="27"/>
      <c r="J966" s="27"/>
      <c r="K966" s="23"/>
      <c r="L966" s="23"/>
    </row>
    <row r="967" ht="15.75" customHeight="1">
      <c r="A967" s="23"/>
      <c r="B967" s="24"/>
      <c r="C967" s="25"/>
      <c r="D967" s="26"/>
      <c r="E967" s="26"/>
      <c r="F967" s="26"/>
      <c r="G967" s="27"/>
      <c r="H967" s="27"/>
      <c r="I967" s="27"/>
      <c r="J967" s="27"/>
      <c r="K967" s="23"/>
      <c r="L967" s="23"/>
    </row>
    <row r="968" ht="15.75" customHeight="1">
      <c r="A968" s="23"/>
      <c r="B968" s="24"/>
      <c r="C968" s="25"/>
      <c r="D968" s="26"/>
      <c r="E968" s="26"/>
      <c r="F968" s="26"/>
      <c r="G968" s="27"/>
      <c r="H968" s="27"/>
      <c r="I968" s="27"/>
      <c r="J968" s="27"/>
      <c r="K968" s="23"/>
      <c r="L968" s="23"/>
    </row>
    <row r="969" ht="15.75" customHeight="1">
      <c r="A969" s="23"/>
      <c r="B969" s="24"/>
      <c r="C969" s="25"/>
      <c r="D969" s="26"/>
      <c r="E969" s="26"/>
      <c r="F969" s="26"/>
      <c r="G969" s="27"/>
      <c r="H969" s="27"/>
      <c r="I969" s="27"/>
      <c r="J969" s="27"/>
      <c r="K969" s="23"/>
      <c r="L969" s="23"/>
    </row>
    <row r="970" ht="15.75" customHeight="1">
      <c r="A970" s="23"/>
      <c r="B970" s="24"/>
      <c r="C970" s="25"/>
      <c r="D970" s="26"/>
      <c r="E970" s="26"/>
      <c r="F970" s="26"/>
      <c r="G970" s="27"/>
      <c r="H970" s="27"/>
      <c r="I970" s="27"/>
      <c r="J970" s="27"/>
      <c r="K970" s="23"/>
      <c r="L970" s="23"/>
    </row>
    <row r="971" ht="15.75" customHeight="1">
      <c r="A971" s="23"/>
      <c r="B971" s="24"/>
      <c r="C971" s="25"/>
      <c r="D971" s="26"/>
      <c r="E971" s="26"/>
      <c r="F971" s="26"/>
      <c r="G971" s="27"/>
      <c r="H971" s="27"/>
      <c r="I971" s="27"/>
      <c r="J971" s="27"/>
      <c r="K971" s="23"/>
      <c r="L971" s="23"/>
    </row>
    <row r="972" ht="15.75" customHeight="1">
      <c r="A972" s="23"/>
      <c r="B972" s="24"/>
      <c r="C972" s="25"/>
      <c r="D972" s="26"/>
      <c r="E972" s="26"/>
      <c r="F972" s="26"/>
      <c r="G972" s="27"/>
      <c r="H972" s="27"/>
      <c r="I972" s="27"/>
      <c r="J972" s="27"/>
      <c r="K972" s="23"/>
      <c r="L972" s="23"/>
    </row>
    <row r="973" ht="15.75" customHeight="1">
      <c r="A973" s="23"/>
      <c r="B973" s="24"/>
      <c r="C973" s="25"/>
      <c r="D973" s="26"/>
      <c r="E973" s="26"/>
      <c r="F973" s="26"/>
      <c r="G973" s="27"/>
      <c r="H973" s="27"/>
      <c r="I973" s="27"/>
      <c r="J973" s="27"/>
      <c r="K973" s="23"/>
      <c r="L973" s="23"/>
    </row>
    <row r="974" ht="15.75" customHeight="1">
      <c r="A974" s="23"/>
      <c r="B974" s="24"/>
      <c r="C974" s="25"/>
      <c r="D974" s="26"/>
      <c r="E974" s="26"/>
      <c r="F974" s="26"/>
      <c r="G974" s="27"/>
      <c r="H974" s="27"/>
      <c r="I974" s="27"/>
      <c r="J974" s="27"/>
      <c r="K974" s="23"/>
      <c r="L974" s="23"/>
    </row>
    <row r="975" ht="15.75" customHeight="1">
      <c r="A975" s="23"/>
      <c r="B975" s="24"/>
      <c r="C975" s="25"/>
      <c r="D975" s="26"/>
      <c r="E975" s="26"/>
      <c r="F975" s="26"/>
      <c r="G975" s="27"/>
      <c r="H975" s="27"/>
      <c r="I975" s="27"/>
      <c r="J975" s="27"/>
      <c r="K975" s="23"/>
      <c r="L975" s="23"/>
    </row>
    <row r="976" ht="15.75" customHeight="1">
      <c r="A976" s="23"/>
      <c r="B976" s="24"/>
      <c r="C976" s="25"/>
      <c r="D976" s="26"/>
      <c r="E976" s="26"/>
      <c r="F976" s="26"/>
      <c r="G976" s="27"/>
      <c r="H976" s="27"/>
      <c r="I976" s="27"/>
      <c r="J976" s="27"/>
      <c r="K976" s="23"/>
      <c r="L976" s="23"/>
    </row>
    <row r="977" ht="15.75" customHeight="1">
      <c r="A977" s="23"/>
      <c r="B977" s="24"/>
      <c r="C977" s="25"/>
      <c r="D977" s="26"/>
      <c r="E977" s="26"/>
      <c r="F977" s="26"/>
      <c r="G977" s="27"/>
      <c r="H977" s="27"/>
      <c r="I977" s="27"/>
      <c r="J977" s="27"/>
      <c r="K977" s="23"/>
      <c r="L977" s="23"/>
    </row>
    <row r="978" ht="15.75" customHeight="1">
      <c r="A978" s="23"/>
      <c r="B978" s="24"/>
      <c r="C978" s="25"/>
      <c r="D978" s="26"/>
      <c r="E978" s="26"/>
      <c r="F978" s="26"/>
      <c r="G978" s="27"/>
      <c r="H978" s="27"/>
      <c r="I978" s="27"/>
      <c r="J978" s="27"/>
      <c r="K978" s="23"/>
      <c r="L978" s="23"/>
    </row>
    <row r="979" ht="15.75" customHeight="1">
      <c r="A979" s="23"/>
      <c r="B979" s="24"/>
      <c r="C979" s="25"/>
      <c r="D979" s="26"/>
      <c r="E979" s="26"/>
      <c r="F979" s="26"/>
      <c r="G979" s="27"/>
      <c r="H979" s="27"/>
      <c r="I979" s="27"/>
      <c r="J979" s="27"/>
      <c r="K979" s="23"/>
      <c r="L979" s="23"/>
    </row>
    <row r="980" ht="15.75" customHeight="1">
      <c r="A980" s="23"/>
      <c r="B980" s="24"/>
      <c r="C980" s="25"/>
      <c r="D980" s="26"/>
      <c r="E980" s="26"/>
      <c r="F980" s="26"/>
      <c r="G980" s="27"/>
      <c r="H980" s="27"/>
      <c r="I980" s="27"/>
      <c r="J980" s="27"/>
      <c r="K980" s="23"/>
      <c r="L980" s="23"/>
    </row>
    <row r="981" ht="15.75" customHeight="1">
      <c r="A981" s="23"/>
      <c r="B981" s="24"/>
      <c r="C981" s="25"/>
      <c r="D981" s="26"/>
      <c r="E981" s="26"/>
      <c r="F981" s="26"/>
      <c r="G981" s="27"/>
      <c r="H981" s="27"/>
      <c r="I981" s="27"/>
      <c r="J981" s="27"/>
      <c r="K981" s="23"/>
      <c r="L981" s="23"/>
    </row>
    <row r="982" ht="15.75" customHeight="1">
      <c r="A982" s="23"/>
      <c r="B982" s="24"/>
      <c r="C982" s="25"/>
      <c r="D982" s="26"/>
      <c r="E982" s="26"/>
      <c r="F982" s="26"/>
      <c r="G982" s="27"/>
      <c r="H982" s="27"/>
      <c r="I982" s="27"/>
      <c r="J982" s="27"/>
      <c r="K982" s="23"/>
      <c r="L982" s="23"/>
    </row>
    <row r="983" ht="15.75" customHeight="1">
      <c r="A983" s="23"/>
      <c r="B983" s="24"/>
      <c r="C983" s="25"/>
      <c r="D983" s="26"/>
      <c r="E983" s="26"/>
      <c r="F983" s="26"/>
      <c r="G983" s="27"/>
      <c r="H983" s="27"/>
      <c r="I983" s="27"/>
      <c r="J983" s="27"/>
      <c r="K983" s="23"/>
      <c r="L983" s="23"/>
    </row>
    <row r="984" ht="15.75" customHeight="1">
      <c r="A984" s="23"/>
      <c r="B984" s="24"/>
      <c r="C984" s="25"/>
      <c r="D984" s="26"/>
      <c r="E984" s="26"/>
      <c r="F984" s="26"/>
      <c r="G984" s="27"/>
      <c r="H984" s="27"/>
      <c r="I984" s="27"/>
      <c r="J984" s="27"/>
      <c r="K984" s="23"/>
      <c r="L984" s="23"/>
    </row>
    <row r="985" ht="15.75" customHeight="1">
      <c r="A985" s="23"/>
      <c r="B985" s="24"/>
      <c r="C985" s="25"/>
      <c r="D985" s="26"/>
      <c r="E985" s="26"/>
      <c r="F985" s="26"/>
      <c r="G985" s="27"/>
      <c r="H985" s="27"/>
      <c r="I985" s="27"/>
      <c r="J985" s="27"/>
      <c r="K985" s="23"/>
      <c r="L985" s="23"/>
    </row>
    <row r="986" ht="15.75" customHeight="1">
      <c r="A986" s="23"/>
      <c r="B986" s="24"/>
      <c r="C986" s="25"/>
      <c r="D986" s="26"/>
      <c r="E986" s="26"/>
      <c r="F986" s="26"/>
      <c r="G986" s="27"/>
      <c r="H986" s="27"/>
      <c r="I986" s="27"/>
      <c r="J986" s="27"/>
      <c r="K986" s="23"/>
      <c r="L986" s="23"/>
    </row>
    <row r="987" ht="15.75" customHeight="1">
      <c r="A987" s="23"/>
      <c r="B987" s="24"/>
      <c r="C987" s="25"/>
      <c r="D987" s="26"/>
      <c r="E987" s="26"/>
      <c r="F987" s="26"/>
      <c r="G987" s="27"/>
      <c r="H987" s="27"/>
      <c r="I987" s="27"/>
      <c r="J987" s="27"/>
      <c r="K987" s="23"/>
      <c r="L987" s="23"/>
    </row>
    <row r="988" ht="15.75" customHeight="1">
      <c r="A988" s="23"/>
      <c r="B988" s="24"/>
      <c r="C988" s="25"/>
      <c r="D988" s="26"/>
      <c r="E988" s="26"/>
      <c r="F988" s="26"/>
      <c r="G988" s="27"/>
      <c r="H988" s="27"/>
      <c r="I988" s="27"/>
      <c r="J988" s="27"/>
      <c r="K988" s="23"/>
      <c r="L988" s="23"/>
    </row>
    <row r="989" ht="15.75" customHeight="1">
      <c r="A989" s="23"/>
      <c r="B989" s="24"/>
      <c r="C989" s="25"/>
      <c r="D989" s="26"/>
      <c r="E989" s="26"/>
      <c r="F989" s="26"/>
      <c r="G989" s="27"/>
      <c r="H989" s="27"/>
      <c r="I989" s="27"/>
      <c r="J989" s="27"/>
      <c r="K989" s="23"/>
      <c r="L989" s="23"/>
    </row>
    <row r="990" ht="15.75" customHeight="1">
      <c r="A990" s="23"/>
      <c r="B990" s="24"/>
      <c r="C990" s="25"/>
      <c r="D990" s="26"/>
      <c r="E990" s="26"/>
      <c r="F990" s="26"/>
      <c r="G990" s="27"/>
      <c r="H990" s="27"/>
      <c r="I990" s="27"/>
      <c r="J990" s="27"/>
      <c r="K990" s="23"/>
      <c r="L990" s="23"/>
    </row>
    <row r="991" ht="15.75" customHeight="1">
      <c r="A991" s="23"/>
      <c r="B991" s="24"/>
      <c r="C991" s="25"/>
      <c r="D991" s="26"/>
      <c r="E991" s="26"/>
      <c r="F991" s="26"/>
      <c r="G991" s="27"/>
      <c r="H991" s="27"/>
      <c r="I991" s="27"/>
      <c r="J991" s="27"/>
      <c r="K991" s="23"/>
      <c r="L991" s="23"/>
    </row>
    <row r="992" ht="15.75" customHeight="1">
      <c r="A992" s="23"/>
      <c r="B992" s="24"/>
      <c r="C992" s="25"/>
      <c r="D992" s="26"/>
      <c r="E992" s="26"/>
      <c r="F992" s="26"/>
      <c r="G992" s="27"/>
      <c r="H992" s="27"/>
      <c r="I992" s="27"/>
      <c r="J992" s="27"/>
      <c r="K992" s="23"/>
      <c r="L992" s="23"/>
    </row>
    <row r="993" ht="15.75" customHeight="1">
      <c r="A993" s="23"/>
      <c r="B993" s="24"/>
      <c r="C993" s="25"/>
      <c r="D993" s="26"/>
      <c r="E993" s="26"/>
      <c r="F993" s="26"/>
      <c r="G993" s="27"/>
      <c r="H993" s="27"/>
      <c r="I993" s="27"/>
      <c r="J993" s="27"/>
      <c r="K993" s="23"/>
      <c r="L993" s="23"/>
    </row>
    <row r="994" ht="15.75" customHeight="1">
      <c r="A994" s="23"/>
      <c r="B994" s="24"/>
      <c r="C994" s="25"/>
      <c r="D994" s="26"/>
      <c r="E994" s="26"/>
      <c r="F994" s="26"/>
      <c r="G994" s="27"/>
      <c r="H994" s="27"/>
      <c r="I994" s="27"/>
      <c r="J994" s="27"/>
      <c r="K994" s="23"/>
      <c r="L994" s="23"/>
    </row>
    <row r="995" ht="15.75" customHeight="1">
      <c r="A995" s="23"/>
      <c r="B995" s="24"/>
      <c r="C995" s="25"/>
      <c r="D995" s="26"/>
      <c r="E995" s="26"/>
      <c r="F995" s="26"/>
      <c r="G995" s="27"/>
      <c r="H995" s="27"/>
      <c r="I995" s="27"/>
      <c r="J995" s="27"/>
      <c r="K995" s="23"/>
      <c r="L995" s="23"/>
    </row>
    <row r="996" ht="15.75" customHeight="1">
      <c r="A996" s="23"/>
      <c r="B996" s="24"/>
      <c r="C996" s="25"/>
      <c r="D996" s="26"/>
      <c r="E996" s="26"/>
      <c r="F996" s="26"/>
      <c r="G996" s="27"/>
      <c r="H996" s="27"/>
      <c r="I996" s="27"/>
      <c r="J996" s="27"/>
      <c r="K996" s="23"/>
      <c r="L996" s="23"/>
    </row>
    <row r="997" ht="15.75" customHeight="1">
      <c r="A997" s="23"/>
      <c r="B997" s="24"/>
      <c r="C997" s="25"/>
      <c r="D997" s="26"/>
      <c r="E997" s="26"/>
      <c r="F997" s="26"/>
      <c r="G997" s="27"/>
      <c r="H997" s="27"/>
      <c r="I997" s="27"/>
      <c r="J997" s="27"/>
      <c r="K997" s="23"/>
      <c r="L997" s="23"/>
    </row>
    <row r="998" ht="15.75" customHeight="1">
      <c r="A998" s="23"/>
      <c r="B998" s="24"/>
      <c r="C998" s="25"/>
      <c r="D998" s="26"/>
      <c r="E998" s="26"/>
      <c r="F998" s="26"/>
      <c r="G998" s="27"/>
      <c r="H998" s="27"/>
      <c r="I998" s="27"/>
      <c r="J998" s="27"/>
      <c r="K998" s="23"/>
      <c r="L998" s="23"/>
    </row>
    <row r="999" ht="15.75" customHeight="1">
      <c r="A999" s="23"/>
      <c r="B999" s="24"/>
      <c r="C999" s="25"/>
      <c r="D999" s="26"/>
      <c r="E999" s="26"/>
      <c r="F999" s="26"/>
      <c r="G999" s="27"/>
      <c r="H999" s="27"/>
      <c r="I999" s="27"/>
      <c r="J999" s="27"/>
      <c r="K999" s="23"/>
      <c r="L999" s="23"/>
    </row>
    <row r="1000" ht="15.75" customHeight="1">
      <c r="A1000" s="23"/>
      <c r="B1000" s="24"/>
      <c r="C1000" s="25"/>
      <c r="D1000" s="26"/>
      <c r="E1000" s="26"/>
      <c r="F1000" s="26"/>
      <c r="G1000" s="27"/>
      <c r="H1000" s="27"/>
      <c r="I1000" s="27"/>
      <c r="J1000" s="27"/>
      <c r="K1000" s="23"/>
      <c r="L1000" s="23"/>
    </row>
  </sheetData>
  <mergeCells count="1">
    <mergeCell ref="P1:T1"/>
  </mergeCells>
  <hyperlinks>
    <hyperlink display="RETORNAR AO MENU DE SELEÇÃO " location="null!A1" ref="P1"/>
  </hyperlinks>
  <printOptions/>
  <pageMargins bottom="0.787401575" footer="0.0" header="0.0" left="0.511811024" right="0.511811024" top="0.787401575"/>
  <pageSetup orientation="landscape"/>
  <drawing r:id="rId2"/>
  <legacyDrawing r:id="rId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showGridLines="0" workbookViewId="0"/>
  </sheetViews>
  <sheetFormatPr customHeight="1" defaultColWidth="12.63" defaultRowHeight="15.0"/>
  <cols>
    <col customWidth="1" hidden="1" min="1" max="1" width="7.13"/>
    <col customWidth="1" min="2" max="2" width="10.75"/>
    <col customWidth="1" hidden="1" min="3" max="3" width="9.38"/>
    <col customWidth="1" hidden="1" min="4" max="4" width="8.75"/>
    <col customWidth="1" hidden="1" min="5" max="5" width="16.38"/>
    <col customWidth="1" min="6" max="6" width="16.88"/>
    <col customWidth="1" min="7" max="7" width="11.75"/>
    <col customWidth="1" hidden="1" min="8" max="9" width="15.88"/>
    <col customWidth="1" hidden="1" min="10" max="10" width="18.63"/>
    <col customWidth="1" hidden="1" min="11" max="11" width="22.13"/>
    <col customWidth="1" min="12" max="12" width="18.13"/>
    <col customWidth="1" min="13" max="13" width="18.38"/>
    <col customWidth="1" min="14" max="14" width="18.75"/>
    <col customWidth="1" hidden="1" min="15" max="15" width="11.0"/>
    <col customWidth="1" min="16" max="16" width="9.88"/>
    <col customWidth="1" min="17" max="26" width="8.63"/>
  </cols>
  <sheetData>
    <row r="1">
      <c r="A1" s="3" t="s">
        <v>1</v>
      </c>
      <c r="B1" s="4" t="s">
        <v>2</v>
      </c>
      <c r="C1" s="5" t="s">
        <v>3</v>
      </c>
      <c r="D1" s="6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7" t="s">
        <v>14</v>
      </c>
      <c r="O1" s="3" t="s">
        <v>15</v>
      </c>
      <c r="P1" s="28" t="s">
        <v>16</v>
      </c>
      <c r="U1" s="9"/>
      <c r="V1" s="9"/>
      <c r="W1" s="9"/>
      <c r="X1" s="9"/>
      <c r="Y1" s="9"/>
      <c r="Z1" s="9"/>
    </row>
    <row r="2">
      <c r="A2" s="10">
        <v>1.0</v>
      </c>
      <c r="B2" s="11" t="s">
        <v>233</v>
      </c>
      <c r="C2" s="12">
        <v>26.0</v>
      </c>
      <c r="D2" s="10" t="s">
        <v>234</v>
      </c>
      <c r="E2" s="10">
        <v>2025.0</v>
      </c>
      <c r="F2" s="10" t="s">
        <v>19</v>
      </c>
      <c r="G2" s="14">
        <v>6176.0</v>
      </c>
      <c r="H2" s="14"/>
      <c r="I2" s="29"/>
      <c r="J2" s="14" t="str">
        <f>IF('BD_LeiturasHidrômetro_PRJ02'!$G2&amp;'BD_LeiturasHidrômetro_PRJ02'!$H2="",'BD_LeiturasHidrômetro_PRJ02'!$I2,'BD_LeiturasHidrômetro_PRJ02'!$G2&amp;'BD_LeiturasHidrômetro_PRJ02'!$H2)</f>
        <v>6176</v>
      </c>
      <c r="K2" s="14">
        <v>0.0</v>
      </c>
      <c r="L2" s="30" t="s">
        <v>235</v>
      </c>
      <c r="M2" s="31">
        <v>0.5833333333333334</v>
      </c>
      <c r="N2" s="17">
        <v>0.0</v>
      </c>
      <c r="O2" s="32" t="s">
        <v>236</v>
      </c>
    </row>
    <row r="3">
      <c r="A3" s="10">
        <v>2.0</v>
      </c>
      <c r="B3" s="11" t="s">
        <v>237</v>
      </c>
      <c r="C3" s="12">
        <v>27.0</v>
      </c>
      <c r="D3" s="10" t="s">
        <v>234</v>
      </c>
      <c r="E3" s="10">
        <v>2025.0</v>
      </c>
      <c r="F3" s="10" t="s">
        <v>23</v>
      </c>
      <c r="G3" s="14">
        <v>6179.0</v>
      </c>
      <c r="H3" s="14"/>
      <c r="I3" s="14"/>
      <c r="J3" s="14" t="str">
        <f>IF('BD_LeiturasHidrômetro_PRJ02'!$G3&amp;'BD_LeiturasHidrômetro_PRJ02'!$H3="",'BD_LeiturasHidrômetro_PRJ02'!$I3,'BD_LeiturasHidrômetro_PRJ02'!$G3&amp;'BD_LeiturasHidrômetro_PRJ02'!$H3)</f>
        <v>6179</v>
      </c>
      <c r="K3" s="14" t="str">
        <f t="shared" ref="K3:K221" si="1">J2</f>
        <v>6176</v>
      </c>
      <c r="L3" s="30" t="s">
        <v>238</v>
      </c>
      <c r="M3" s="31">
        <v>0.2916666666666667</v>
      </c>
      <c r="N3" s="17">
        <v>0.0</v>
      </c>
      <c r="O3" s="32" t="s">
        <v>236</v>
      </c>
      <c r="P3" s="26"/>
      <c r="Q3" s="26"/>
      <c r="R3" s="18"/>
      <c r="S3" s="19"/>
    </row>
    <row r="4">
      <c r="A4" s="10">
        <v>3.0</v>
      </c>
      <c r="B4" s="11" t="s">
        <v>239</v>
      </c>
      <c r="C4" s="12">
        <v>28.0</v>
      </c>
      <c r="D4" s="10" t="s">
        <v>234</v>
      </c>
      <c r="E4" s="10">
        <v>2025.0</v>
      </c>
      <c r="F4" s="10" t="s">
        <v>26</v>
      </c>
      <c r="G4" s="14">
        <v>6207.0</v>
      </c>
      <c r="H4" s="14"/>
      <c r="I4" s="14">
        <f>_xlfn.FORECAST.LINEAR('BD_LeiturasHidrômetro_PRJ02'!$A4,G:G,A:A)</f>
        <v>6221.847534</v>
      </c>
      <c r="J4" s="14" t="str">
        <f>IF('BD_LeiturasHidrômetro_PRJ02'!$G4&amp;'BD_LeiturasHidrômetro_PRJ02'!$H4="",'BD_LeiturasHidrômetro_PRJ02'!$I4,'BD_LeiturasHidrômetro_PRJ02'!$G4&amp;'BD_LeiturasHidrômetro_PRJ02'!$H4)</f>
        <v>6207</v>
      </c>
      <c r="K4" s="14" t="str">
        <f t="shared" si="1"/>
        <v>6179</v>
      </c>
      <c r="L4" s="30" t="s">
        <v>238</v>
      </c>
      <c r="M4" s="31">
        <v>0.2916666666666667</v>
      </c>
      <c r="N4" s="17">
        <f t="shared" ref="N4:N221" si="2">J3-K3</f>
        <v>3</v>
      </c>
      <c r="O4" s="32" t="s">
        <v>236</v>
      </c>
      <c r="P4" s="26"/>
      <c r="Q4" s="26"/>
      <c r="R4" s="18"/>
      <c r="S4" s="19"/>
    </row>
    <row r="5">
      <c r="A5" s="10">
        <v>4.0</v>
      </c>
      <c r="B5" s="11" t="s">
        <v>240</v>
      </c>
      <c r="C5" s="12">
        <v>29.0</v>
      </c>
      <c r="D5" s="10" t="s">
        <v>234</v>
      </c>
      <c r="E5" s="10">
        <v>2025.0</v>
      </c>
      <c r="F5" s="10" t="s">
        <v>28</v>
      </c>
      <c r="G5" s="14">
        <v>6224.0</v>
      </c>
      <c r="H5" s="14"/>
      <c r="I5" s="14">
        <f>_xlfn.FORECAST.LINEAR('BD_LeiturasHidrômetro_PRJ02'!$A5,G:G,A:A)</f>
        <v>6234.194619</v>
      </c>
      <c r="J5" s="14" t="str">
        <f>IF('BD_LeiturasHidrômetro_PRJ02'!$G5&amp;'BD_LeiturasHidrômetro_PRJ02'!$H5="",'BD_LeiturasHidrômetro_PRJ02'!$I5,'BD_LeiturasHidrômetro_PRJ02'!$G5&amp;'BD_LeiturasHidrômetro_PRJ02'!$H5)</f>
        <v>6224</v>
      </c>
      <c r="K5" s="14" t="str">
        <f t="shared" si="1"/>
        <v>6207</v>
      </c>
      <c r="L5" s="30" t="s">
        <v>238</v>
      </c>
      <c r="M5" s="31">
        <v>0.5833333333333334</v>
      </c>
      <c r="N5" s="17">
        <f t="shared" si="2"/>
        <v>28</v>
      </c>
      <c r="O5" s="32" t="s">
        <v>236</v>
      </c>
      <c r="P5" s="26"/>
      <c r="Q5" s="26"/>
      <c r="R5" s="18"/>
      <c r="S5" s="19"/>
    </row>
    <row r="6">
      <c r="A6" s="10">
        <v>5.0</v>
      </c>
      <c r="B6" s="11" t="s">
        <v>241</v>
      </c>
      <c r="C6" s="12">
        <v>30.0</v>
      </c>
      <c r="D6" s="10" t="s">
        <v>234</v>
      </c>
      <c r="E6" s="10">
        <v>2025.0</v>
      </c>
      <c r="F6" s="10" t="s">
        <v>30</v>
      </c>
      <c r="G6" s="14">
        <v>6242.0</v>
      </c>
      <c r="H6" s="14"/>
      <c r="I6" s="14">
        <f>_xlfn.FORECAST.LINEAR('BD_LeiturasHidrômetro_PRJ02'!$A6,G:G,A:A)</f>
        <v>6246.541704</v>
      </c>
      <c r="J6" s="14" t="str">
        <f>IF('BD_LeiturasHidrômetro_PRJ02'!$G6&amp;'BD_LeiturasHidrômetro_PRJ02'!$H6="",'BD_LeiturasHidrômetro_PRJ02'!$I6,'BD_LeiturasHidrômetro_PRJ02'!$G6&amp;'BD_LeiturasHidrômetro_PRJ02'!$H6)</f>
        <v>6242</v>
      </c>
      <c r="K6" s="14" t="str">
        <f t="shared" si="1"/>
        <v>6224</v>
      </c>
      <c r="L6" s="30" t="s">
        <v>238</v>
      </c>
      <c r="M6" s="31">
        <v>0.5833333333333334</v>
      </c>
      <c r="N6" s="17">
        <f t="shared" si="2"/>
        <v>17</v>
      </c>
      <c r="O6" s="32" t="s">
        <v>236</v>
      </c>
      <c r="P6" s="26"/>
      <c r="Q6" s="26"/>
      <c r="R6" s="18"/>
      <c r="S6" s="19"/>
    </row>
    <row r="7">
      <c r="A7" s="10">
        <v>6.0</v>
      </c>
      <c r="B7" s="11" t="s">
        <v>242</v>
      </c>
      <c r="C7" s="12">
        <v>31.0</v>
      </c>
      <c r="D7" s="10" t="s">
        <v>234</v>
      </c>
      <c r="E7" s="10">
        <v>2025.0</v>
      </c>
      <c r="F7" s="10" t="s">
        <v>32</v>
      </c>
      <c r="G7" s="13"/>
      <c r="H7" s="13">
        <v>6257.0</v>
      </c>
      <c r="I7" s="14">
        <f>_xlfn.FORECAST.LINEAR('BD_LeiturasHidrômetro_PRJ02'!$A7,G:G,A:A)</f>
        <v>6258.888789</v>
      </c>
      <c r="J7" s="14" t="str">
        <f>IF('BD_LeiturasHidrômetro_PRJ02'!$G7&amp;'BD_LeiturasHidrômetro_PRJ02'!$H7="",'BD_LeiturasHidrômetro_PRJ02'!$I7,'BD_LeiturasHidrômetro_PRJ02'!$G7&amp;'BD_LeiturasHidrômetro_PRJ02'!$H7)</f>
        <v>6257</v>
      </c>
      <c r="K7" s="14" t="str">
        <f t="shared" si="1"/>
        <v>6242</v>
      </c>
      <c r="L7" s="15"/>
      <c r="M7" s="15"/>
      <c r="N7" s="17">
        <f t="shared" si="2"/>
        <v>18</v>
      </c>
      <c r="O7" s="32" t="s">
        <v>236</v>
      </c>
      <c r="P7" s="26"/>
      <c r="R7" s="18"/>
      <c r="S7" s="19"/>
    </row>
    <row r="8">
      <c r="A8" s="10">
        <v>7.0</v>
      </c>
      <c r="B8" s="11" t="s">
        <v>243</v>
      </c>
      <c r="C8" s="12">
        <v>1.0</v>
      </c>
      <c r="D8" s="10" t="s">
        <v>18</v>
      </c>
      <c r="E8" s="10">
        <v>2025.0</v>
      </c>
      <c r="F8" s="10" t="s">
        <v>34</v>
      </c>
      <c r="G8" s="13"/>
      <c r="H8" s="13">
        <v>6272.0</v>
      </c>
      <c r="I8" s="14">
        <f>_xlfn.FORECAST.LINEAR('BD_LeiturasHidrômetro_PRJ02'!$A8,G:G,A:A)</f>
        <v>6271.235874</v>
      </c>
      <c r="J8" s="14" t="str">
        <f>IF('BD_LeiturasHidrômetro_PRJ02'!$G8&amp;'BD_LeiturasHidrômetro_PRJ02'!$H8="",'BD_LeiturasHidrômetro_PRJ02'!$I8,'BD_LeiturasHidrômetro_PRJ02'!$G8&amp;'BD_LeiturasHidrômetro_PRJ02'!$H8)</f>
        <v>6272</v>
      </c>
      <c r="K8" s="14" t="str">
        <f t="shared" si="1"/>
        <v>6257</v>
      </c>
      <c r="L8" s="15"/>
      <c r="M8" s="15"/>
      <c r="N8" s="17">
        <f t="shared" si="2"/>
        <v>15</v>
      </c>
      <c r="O8" s="32" t="s">
        <v>236</v>
      </c>
      <c r="P8" s="26"/>
      <c r="R8" s="18"/>
      <c r="S8" s="19"/>
    </row>
    <row r="9">
      <c r="A9" s="10">
        <v>8.0</v>
      </c>
      <c r="B9" s="11" t="s">
        <v>244</v>
      </c>
      <c r="C9" s="12">
        <v>2.0</v>
      </c>
      <c r="D9" s="10" t="s">
        <v>18</v>
      </c>
      <c r="E9" s="10">
        <v>2025.0</v>
      </c>
      <c r="F9" s="10" t="s">
        <v>19</v>
      </c>
      <c r="G9" s="13">
        <v>6287.0</v>
      </c>
      <c r="H9" s="13"/>
      <c r="I9" s="13">
        <f>_xlfn.FORECAST.LINEAR('BD_LeiturasHidrômetro_PRJ02'!$A9,G:G,A:A)</f>
        <v>6283.58296</v>
      </c>
      <c r="J9" s="14" t="str">
        <f>IF('BD_LeiturasHidrômetro_PRJ02'!$G9&amp;'BD_LeiturasHidrômetro_PRJ02'!$H9="",'BD_LeiturasHidrômetro_PRJ02'!$I9,'BD_LeiturasHidrômetro_PRJ02'!$G9&amp;'BD_LeiturasHidrômetro_PRJ02'!$H9)</f>
        <v>6287</v>
      </c>
      <c r="K9" s="14" t="str">
        <f t="shared" si="1"/>
        <v>6272</v>
      </c>
      <c r="L9" s="15" t="s">
        <v>238</v>
      </c>
      <c r="M9" s="33">
        <v>0.5833333333333334</v>
      </c>
      <c r="N9" s="17">
        <f t="shared" si="2"/>
        <v>15</v>
      </c>
      <c r="O9" s="32" t="s">
        <v>236</v>
      </c>
      <c r="P9" s="26"/>
      <c r="R9" s="18"/>
      <c r="S9" s="19"/>
    </row>
    <row r="10">
      <c r="A10" s="10">
        <v>9.0</v>
      </c>
      <c r="B10" s="11" t="s">
        <v>245</v>
      </c>
      <c r="C10" s="12">
        <v>3.0</v>
      </c>
      <c r="D10" s="10" t="s">
        <v>18</v>
      </c>
      <c r="E10" s="10">
        <v>2025.0</v>
      </c>
      <c r="F10" s="10" t="s">
        <v>23</v>
      </c>
      <c r="G10" s="13">
        <v>6304.0</v>
      </c>
      <c r="H10" s="13"/>
      <c r="I10" s="14">
        <f>_xlfn.FORECAST.LINEAR('BD_LeiturasHidrômetro_PRJ02'!$A10,G:G,A:A)</f>
        <v>6295.930045</v>
      </c>
      <c r="J10" s="14" t="str">
        <f>IF('BD_LeiturasHidrômetro_PRJ02'!$G10&amp;'BD_LeiturasHidrômetro_PRJ02'!$H10="",'BD_LeiturasHidrômetro_PRJ02'!$I10,'BD_LeiturasHidrômetro_PRJ02'!$G10&amp;'BD_LeiturasHidrômetro_PRJ02'!$H10)</f>
        <v>6304</v>
      </c>
      <c r="K10" s="14" t="str">
        <f t="shared" si="1"/>
        <v>6287</v>
      </c>
      <c r="L10" s="15" t="s">
        <v>238</v>
      </c>
      <c r="M10" s="33">
        <v>0.5833333333333334</v>
      </c>
      <c r="N10" s="17">
        <f t="shared" si="2"/>
        <v>15</v>
      </c>
      <c r="O10" s="32" t="s">
        <v>236</v>
      </c>
      <c r="P10" s="26"/>
      <c r="R10" s="18"/>
      <c r="S10" s="19"/>
    </row>
    <row r="11">
      <c r="A11" s="10">
        <v>10.0</v>
      </c>
      <c r="B11" s="11" t="s">
        <v>246</v>
      </c>
      <c r="C11" s="12">
        <v>4.0</v>
      </c>
      <c r="D11" s="10" t="s">
        <v>18</v>
      </c>
      <c r="E11" s="10">
        <v>2025.0</v>
      </c>
      <c r="F11" s="10" t="s">
        <v>26</v>
      </c>
      <c r="G11" s="13">
        <v>6336.0</v>
      </c>
      <c r="H11" s="13"/>
      <c r="I11" s="14">
        <f>_xlfn.FORECAST.LINEAR('BD_LeiturasHidrômetro_PRJ02'!$A11,G:G,A:A)</f>
        <v>6308.27713</v>
      </c>
      <c r="J11" s="14" t="str">
        <f>IF('BD_LeiturasHidrômetro_PRJ02'!$G11&amp;'BD_LeiturasHidrômetro_PRJ02'!$H11="",'BD_LeiturasHidrômetro_PRJ02'!$I11,'BD_LeiturasHidrômetro_PRJ02'!$G11&amp;'BD_LeiturasHidrômetro_PRJ02'!$H11)</f>
        <v>6336</v>
      </c>
      <c r="K11" s="14" t="str">
        <f t="shared" si="1"/>
        <v>6304</v>
      </c>
      <c r="L11" s="15" t="s">
        <v>238</v>
      </c>
      <c r="M11" s="33">
        <v>0.5833333333333334</v>
      </c>
      <c r="N11" s="17">
        <f t="shared" si="2"/>
        <v>17</v>
      </c>
      <c r="O11" s="32" t="s">
        <v>236</v>
      </c>
      <c r="P11" s="26"/>
      <c r="R11" s="18"/>
      <c r="S11" s="19"/>
    </row>
    <row r="12">
      <c r="A12" s="10">
        <v>11.0</v>
      </c>
      <c r="B12" s="11" t="s">
        <v>247</v>
      </c>
      <c r="C12" s="12">
        <v>5.0</v>
      </c>
      <c r="D12" s="10" t="s">
        <v>18</v>
      </c>
      <c r="E12" s="10">
        <v>2025.0</v>
      </c>
      <c r="F12" s="10" t="s">
        <v>28</v>
      </c>
      <c r="G12" s="13">
        <v>6351.0</v>
      </c>
      <c r="H12" s="13"/>
      <c r="I12" s="14">
        <f>_xlfn.FORECAST.LINEAR('BD_LeiturasHidrômetro_PRJ02'!$A12,G:G,A:A)</f>
        <v>6320.624215</v>
      </c>
      <c r="J12" s="14" t="str">
        <f>IF('BD_LeiturasHidrômetro_PRJ02'!$G12&amp;'BD_LeiturasHidrômetro_PRJ02'!$H12="",'BD_LeiturasHidrômetro_PRJ02'!$I12,'BD_LeiturasHidrômetro_PRJ02'!$G12&amp;'BD_LeiturasHidrômetro_PRJ02'!$H12)</f>
        <v>6351</v>
      </c>
      <c r="K12" s="14" t="str">
        <f t="shared" si="1"/>
        <v>6336</v>
      </c>
      <c r="L12" s="15" t="s">
        <v>238</v>
      </c>
      <c r="M12" s="33">
        <v>0.5833333333333334</v>
      </c>
      <c r="N12" s="17">
        <f t="shared" si="2"/>
        <v>32</v>
      </c>
      <c r="O12" s="32" t="s">
        <v>236</v>
      </c>
      <c r="P12" s="26"/>
      <c r="R12" s="18"/>
      <c r="S12" s="19"/>
    </row>
    <row r="13">
      <c r="A13" s="10">
        <v>12.0</v>
      </c>
      <c r="B13" s="11" t="s">
        <v>248</v>
      </c>
      <c r="C13" s="12">
        <v>6.0</v>
      </c>
      <c r="D13" s="10" t="s">
        <v>18</v>
      </c>
      <c r="E13" s="10">
        <v>2025.0</v>
      </c>
      <c r="F13" s="10" t="s">
        <v>30</v>
      </c>
      <c r="G13" s="13">
        <v>6352.0</v>
      </c>
      <c r="H13" s="13"/>
      <c r="I13" s="14">
        <f>_xlfn.FORECAST.LINEAR('BD_LeiturasHidrômetro_PRJ02'!$A13,G:G,A:A)</f>
        <v>6332.9713</v>
      </c>
      <c r="J13" s="14" t="str">
        <f>IF('BD_LeiturasHidrômetro_PRJ02'!$G13&amp;'BD_LeiturasHidrômetro_PRJ02'!$H13="",'BD_LeiturasHidrômetro_PRJ02'!$I13,'BD_LeiturasHidrômetro_PRJ02'!$G13&amp;'BD_LeiturasHidrômetro_PRJ02'!$H13)</f>
        <v>6352</v>
      </c>
      <c r="K13" s="14" t="str">
        <f t="shared" si="1"/>
        <v>6351</v>
      </c>
      <c r="L13" s="15" t="s">
        <v>238</v>
      </c>
      <c r="M13" s="33">
        <v>0.5833333333333334</v>
      </c>
      <c r="N13" s="17">
        <f t="shared" si="2"/>
        <v>15</v>
      </c>
      <c r="O13" s="32" t="s">
        <v>236</v>
      </c>
      <c r="P13" s="26"/>
      <c r="R13" s="18"/>
      <c r="S13" s="19"/>
    </row>
    <row r="14">
      <c r="A14" s="10">
        <v>13.0</v>
      </c>
      <c r="B14" s="11" t="s">
        <v>249</v>
      </c>
      <c r="C14" s="12">
        <v>7.0</v>
      </c>
      <c r="D14" s="10" t="s">
        <v>18</v>
      </c>
      <c r="E14" s="10">
        <v>2025.0</v>
      </c>
      <c r="F14" s="10" t="s">
        <v>32</v>
      </c>
      <c r="G14" s="13">
        <v>6363.0</v>
      </c>
      <c r="H14" s="13"/>
      <c r="I14" s="13">
        <f>_xlfn.FORECAST.LINEAR('BD_LeiturasHidrômetro_PRJ02'!$A14,G:G,A:A)</f>
        <v>6345.318386</v>
      </c>
      <c r="J14" s="14" t="str">
        <f>IF('BD_LeiturasHidrômetro_PRJ02'!$G14&amp;'BD_LeiturasHidrômetro_PRJ02'!$H14="",'BD_LeiturasHidrômetro_PRJ02'!$I14,'BD_LeiturasHidrômetro_PRJ02'!$G14&amp;'BD_LeiturasHidrômetro_PRJ02'!$H14)</f>
        <v>6363</v>
      </c>
      <c r="K14" s="14" t="str">
        <f t="shared" si="1"/>
        <v>6352</v>
      </c>
      <c r="L14" s="15" t="s">
        <v>250</v>
      </c>
      <c r="M14" s="33">
        <v>0.5833333333333334</v>
      </c>
      <c r="N14" s="17">
        <f t="shared" si="2"/>
        <v>1</v>
      </c>
      <c r="O14" s="32" t="s">
        <v>236</v>
      </c>
      <c r="P14" s="26"/>
      <c r="R14" s="18"/>
      <c r="S14" s="19"/>
    </row>
    <row r="15">
      <c r="A15" s="10">
        <v>14.0</v>
      </c>
      <c r="B15" s="11" t="s">
        <v>251</v>
      </c>
      <c r="C15" s="12">
        <v>8.0</v>
      </c>
      <c r="D15" s="10" t="s">
        <v>18</v>
      </c>
      <c r="E15" s="10">
        <v>2025.0</v>
      </c>
      <c r="F15" s="10" t="s">
        <v>34</v>
      </c>
      <c r="G15" s="13"/>
      <c r="H15" s="13">
        <v>6375.0</v>
      </c>
      <c r="I15" s="13">
        <f>_xlfn.FORECAST.LINEAR('BD_LeiturasHidrômetro_PRJ02'!$A15,G:G,A:A)</f>
        <v>6357.665471</v>
      </c>
      <c r="J15" s="14" t="str">
        <f>IF('BD_LeiturasHidrômetro_PRJ02'!$G15&amp;'BD_LeiturasHidrômetro_PRJ02'!$H15="",'BD_LeiturasHidrômetro_PRJ02'!$I15,'BD_LeiturasHidrômetro_PRJ02'!$G15&amp;'BD_LeiturasHidrômetro_PRJ02'!$H15)</f>
        <v>6375</v>
      </c>
      <c r="K15" s="14" t="str">
        <f t="shared" si="1"/>
        <v>6363</v>
      </c>
      <c r="L15" s="15"/>
      <c r="M15" s="15"/>
      <c r="N15" s="17">
        <f t="shared" si="2"/>
        <v>11</v>
      </c>
      <c r="O15" s="32" t="s">
        <v>236</v>
      </c>
      <c r="P15" s="26"/>
      <c r="R15" s="18"/>
      <c r="S15" s="19"/>
    </row>
    <row r="16">
      <c r="A16" s="10">
        <v>15.0</v>
      </c>
      <c r="B16" s="11" t="s">
        <v>252</v>
      </c>
      <c r="C16" s="12">
        <v>9.0</v>
      </c>
      <c r="D16" s="10" t="s">
        <v>18</v>
      </c>
      <c r="E16" s="10">
        <v>2025.0</v>
      </c>
      <c r="F16" s="10" t="s">
        <v>19</v>
      </c>
      <c r="G16" s="13">
        <v>6387.0</v>
      </c>
      <c r="H16" s="13"/>
      <c r="I16" s="13">
        <f>_xlfn.FORECAST.LINEAR('BD_LeiturasHidrômetro_PRJ02'!$A16,G:G,A:A)</f>
        <v>6370.012556</v>
      </c>
      <c r="J16" s="14" t="str">
        <f>IF('BD_LeiturasHidrômetro_PRJ02'!$G16&amp;'BD_LeiturasHidrômetro_PRJ02'!$H16="",'BD_LeiturasHidrômetro_PRJ02'!$I16,'BD_LeiturasHidrômetro_PRJ02'!$G16&amp;'BD_LeiturasHidrômetro_PRJ02'!$H16)</f>
        <v>6387</v>
      </c>
      <c r="K16" s="14" t="str">
        <f t="shared" si="1"/>
        <v>6375</v>
      </c>
      <c r="L16" s="15" t="s">
        <v>238</v>
      </c>
      <c r="M16" s="33">
        <v>0.5833333333333334</v>
      </c>
      <c r="N16" s="17">
        <f t="shared" si="2"/>
        <v>12</v>
      </c>
      <c r="O16" s="32" t="s">
        <v>236</v>
      </c>
      <c r="P16" s="26"/>
      <c r="R16" s="18"/>
      <c r="S16" s="19"/>
    </row>
    <row r="17">
      <c r="A17" s="10">
        <v>16.0</v>
      </c>
      <c r="B17" s="11" t="s">
        <v>253</v>
      </c>
      <c r="C17" s="12">
        <v>10.0</v>
      </c>
      <c r="D17" s="10" t="s">
        <v>18</v>
      </c>
      <c r="E17" s="10">
        <v>2025.0</v>
      </c>
      <c r="F17" s="10" t="s">
        <v>23</v>
      </c>
      <c r="G17" s="13">
        <v>6395.0</v>
      </c>
      <c r="H17" s="13"/>
      <c r="I17" s="14">
        <f>_xlfn.FORECAST.LINEAR('BD_LeiturasHidrômetro_PRJ02'!$A17,G:G,A:A)</f>
        <v>6382.359641</v>
      </c>
      <c r="J17" s="14" t="str">
        <f>IF('BD_LeiturasHidrômetro_PRJ02'!$G17&amp;'BD_LeiturasHidrômetro_PRJ02'!$H17="",'BD_LeiturasHidrômetro_PRJ02'!$I17,'BD_LeiturasHidrômetro_PRJ02'!$G17&amp;'BD_LeiturasHidrômetro_PRJ02'!$H17)</f>
        <v>6395</v>
      </c>
      <c r="K17" s="14" t="str">
        <f t="shared" si="1"/>
        <v>6387</v>
      </c>
      <c r="L17" s="15" t="s">
        <v>238</v>
      </c>
      <c r="M17" s="33">
        <v>0.5833333333333334</v>
      </c>
      <c r="N17" s="17">
        <f t="shared" si="2"/>
        <v>12</v>
      </c>
      <c r="O17" s="32" t="s">
        <v>236</v>
      </c>
      <c r="P17" s="26"/>
      <c r="R17" s="18"/>
      <c r="S17" s="19"/>
    </row>
    <row r="18">
      <c r="A18" s="10">
        <v>17.0</v>
      </c>
      <c r="B18" s="11" t="s">
        <v>254</v>
      </c>
      <c r="C18" s="12">
        <v>11.0</v>
      </c>
      <c r="D18" s="10" t="s">
        <v>18</v>
      </c>
      <c r="E18" s="10">
        <v>2025.0</v>
      </c>
      <c r="F18" s="10" t="s">
        <v>26</v>
      </c>
      <c r="G18" s="13">
        <v>6405.0</v>
      </c>
      <c r="H18" s="13"/>
      <c r="I18" s="14">
        <f>_xlfn.FORECAST.LINEAR('BD_LeiturasHidrômetro_PRJ02'!$A18,G:G,A:A)</f>
        <v>6394.706726</v>
      </c>
      <c r="J18" s="14" t="str">
        <f>IF('BD_LeiturasHidrômetro_PRJ02'!$G18&amp;'BD_LeiturasHidrômetro_PRJ02'!$H18="",'BD_LeiturasHidrômetro_PRJ02'!$I18,'BD_LeiturasHidrômetro_PRJ02'!$G18&amp;'BD_LeiturasHidrômetro_PRJ02'!$H18)</f>
        <v>6405</v>
      </c>
      <c r="K18" s="14" t="str">
        <f t="shared" si="1"/>
        <v>6395</v>
      </c>
      <c r="L18" s="15" t="s">
        <v>238</v>
      </c>
      <c r="M18" s="33">
        <v>0.5833333333333334</v>
      </c>
      <c r="N18" s="17">
        <f t="shared" si="2"/>
        <v>8</v>
      </c>
      <c r="O18" s="32" t="s">
        <v>236</v>
      </c>
      <c r="P18" s="26"/>
      <c r="R18" s="18"/>
      <c r="S18" s="19"/>
    </row>
    <row r="19">
      <c r="A19" s="10">
        <v>18.0</v>
      </c>
      <c r="B19" s="11" t="s">
        <v>255</v>
      </c>
      <c r="C19" s="12">
        <v>12.0</v>
      </c>
      <c r="D19" s="10" t="s">
        <v>18</v>
      </c>
      <c r="E19" s="10">
        <v>2025.0</v>
      </c>
      <c r="F19" s="10" t="s">
        <v>28</v>
      </c>
      <c r="G19" s="13">
        <v>6422.0</v>
      </c>
      <c r="H19" s="13"/>
      <c r="I19" s="14">
        <f>_xlfn.FORECAST.LINEAR('BD_LeiturasHidrômetro_PRJ02'!$A19,G:G,A:A)</f>
        <v>6407.053812</v>
      </c>
      <c r="J19" s="14" t="str">
        <f>IF('BD_LeiturasHidrômetro_PRJ02'!$G19&amp;'BD_LeiturasHidrômetro_PRJ02'!$H19="",'BD_LeiturasHidrômetro_PRJ02'!$I19,'BD_LeiturasHidrômetro_PRJ02'!$G19&amp;'BD_LeiturasHidrômetro_PRJ02'!$H19)</f>
        <v>6422</v>
      </c>
      <c r="K19" s="14" t="str">
        <f t="shared" si="1"/>
        <v>6405</v>
      </c>
      <c r="L19" s="15" t="s">
        <v>238</v>
      </c>
      <c r="M19" s="33">
        <v>0.5833333333333334</v>
      </c>
      <c r="N19" s="17">
        <f t="shared" si="2"/>
        <v>10</v>
      </c>
      <c r="O19" s="32" t="s">
        <v>236</v>
      </c>
      <c r="P19" s="26"/>
      <c r="R19" s="18"/>
      <c r="S19" s="19"/>
    </row>
    <row r="20">
      <c r="A20" s="10">
        <v>19.0</v>
      </c>
      <c r="B20" s="11" t="s">
        <v>256</v>
      </c>
      <c r="C20" s="12">
        <v>13.0</v>
      </c>
      <c r="D20" s="10" t="s">
        <v>18</v>
      </c>
      <c r="E20" s="10">
        <v>2025.0</v>
      </c>
      <c r="F20" s="10" t="s">
        <v>30</v>
      </c>
      <c r="G20" s="13"/>
      <c r="H20" s="13">
        <v>6423.8</v>
      </c>
      <c r="I20" s="14">
        <f>_xlfn.FORECAST.LINEAR('BD_LeiturasHidrômetro_PRJ02'!$A20,G:G,A:A)</f>
        <v>6419.400897</v>
      </c>
      <c r="J20" s="14" t="str">
        <f>IF('BD_LeiturasHidrômetro_PRJ02'!$G20&amp;'BD_LeiturasHidrômetro_PRJ02'!$H20="",'BD_LeiturasHidrômetro_PRJ02'!$I20,'BD_LeiturasHidrômetro_PRJ02'!$G20&amp;'BD_LeiturasHidrômetro_PRJ02'!$H20)</f>
        <v>6423,8</v>
      </c>
      <c r="K20" s="14" t="str">
        <f t="shared" si="1"/>
        <v>6422</v>
      </c>
      <c r="L20" s="15"/>
      <c r="M20" s="33">
        <v>0.5833333333333334</v>
      </c>
      <c r="N20" s="17">
        <f t="shared" si="2"/>
        <v>17</v>
      </c>
      <c r="O20" s="32" t="s">
        <v>236</v>
      </c>
      <c r="R20" s="18"/>
      <c r="S20" s="19"/>
    </row>
    <row r="21" ht="15.75" customHeight="1">
      <c r="A21" s="10">
        <v>20.0</v>
      </c>
      <c r="B21" s="11" t="s">
        <v>257</v>
      </c>
      <c r="C21" s="12">
        <v>14.0</v>
      </c>
      <c r="D21" s="10" t="s">
        <v>18</v>
      </c>
      <c r="E21" s="10">
        <v>2025.0</v>
      </c>
      <c r="F21" s="10" t="s">
        <v>32</v>
      </c>
      <c r="G21" s="13"/>
      <c r="H21" s="13">
        <v>6425.6</v>
      </c>
      <c r="I21" s="13">
        <f>_xlfn.FORECAST.LINEAR('BD_LeiturasHidrômetro_PRJ02'!$A21,G:G,A:A)</f>
        <v>6431.747982</v>
      </c>
      <c r="J21" s="14" t="str">
        <f>IF('BD_LeiturasHidrômetro_PRJ02'!$G21&amp;'BD_LeiturasHidrômetro_PRJ02'!$H21="",'BD_LeiturasHidrômetro_PRJ02'!$I21,'BD_LeiturasHidrômetro_PRJ02'!$G21&amp;'BD_LeiturasHidrômetro_PRJ02'!$H21)</f>
        <v>6425,6</v>
      </c>
      <c r="K21" s="14" t="str">
        <f t="shared" si="1"/>
        <v>6423,8</v>
      </c>
      <c r="L21" s="15"/>
      <c r="M21" s="15"/>
      <c r="N21" s="17">
        <f t="shared" si="2"/>
        <v>1.8</v>
      </c>
      <c r="O21" s="32" t="s">
        <v>236</v>
      </c>
      <c r="R21" s="18"/>
      <c r="S21" s="19"/>
    </row>
    <row r="22" ht="15.75" customHeight="1">
      <c r="A22" s="10">
        <v>21.0</v>
      </c>
      <c r="B22" s="11" t="s">
        <v>258</v>
      </c>
      <c r="C22" s="12">
        <v>15.0</v>
      </c>
      <c r="D22" s="10" t="s">
        <v>18</v>
      </c>
      <c r="E22" s="10">
        <v>2025.0</v>
      </c>
      <c r="F22" s="10" t="s">
        <v>34</v>
      </c>
      <c r="G22" s="13"/>
      <c r="H22" s="13">
        <v>6427.4</v>
      </c>
      <c r="I22" s="13">
        <f>_xlfn.FORECAST.LINEAR('BD_LeiturasHidrômetro_PRJ02'!$A22,G:G,A:A)</f>
        <v>6444.095067</v>
      </c>
      <c r="J22" s="14" t="str">
        <f>IF('BD_LeiturasHidrômetro_PRJ02'!$G22&amp;'BD_LeiturasHidrômetro_PRJ02'!$H22="",'BD_LeiturasHidrômetro_PRJ02'!$I22,'BD_LeiturasHidrômetro_PRJ02'!$G22&amp;'BD_LeiturasHidrômetro_PRJ02'!$H22)</f>
        <v>6427,4</v>
      </c>
      <c r="K22" s="14" t="str">
        <f t="shared" si="1"/>
        <v>6425,6</v>
      </c>
      <c r="L22" s="15"/>
      <c r="M22" s="15"/>
      <c r="N22" s="17">
        <f t="shared" si="2"/>
        <v>1.8</v>
      </c>
      <c r="O22" s="32" t="s">
        <v>236</v>
      </c>
      <c r="R22" s="18"/>
      <c r="S22" s="19"/>
    </row>
    <row r="23" ht="15.75" customHeight="1">
      <c r="A23" s="10">
        <v>22.0</v>
      </c>
      <c r="B23" s="11" t="s">
        <v>17</v>
      </c>
      <c r="C23" s="12">
        <v>16.0</v>
      </c>
      <c r="D23" s="10" t="s">
        <v>18</v>
      </c>
      <c r="E23" s="10">
        <v>2025.0</v>
      </c>
      <c r="F23" s="10" t="s">
        <v>19</v>
      </c>
      <c r="G23" s="13"/>
      <c r="H23" s="13">
        <v>6429.2</v>
      </c>
      <c r="I23" s="13">
        <f>_xlfn.FORECAST.LINEAR('BD_LeiturasHidrômetro_PRJ02'!$A23,G:G,A:A)</f>
        <v>6456.442152</v>
      </c>
      <c r="J23" s="14" t="str">
        <f>IF('BD_LeiturasHidrômetro_PRJ02'!$G23&amp;'BD_LeiturasHidrômetro_PRJ02'!$H23="",'BD_LeiturasHidrômetro_PRJ02'!$I23,'BD_LeiturasHidrômetro_PRJ02'!$G23&amp;'BD_LeiturasHidrômetro_PRJ02'!$H23)</f>
        <v>6429,2</v>
      </c>
      <c r="K23" s="14" t="str">
        <f t="shared" si="1"/>
        <v>6427,4</v>
      </c>
      <c r="L23" s="15"/>
      <c r="M23" s="33">
        <v>0.5833333333333334</v>
      </c>
      <c r="N23" s="17">
        <f t="shared" si="2"/>
        <v>1.8</v>
      </c>
      <c r="O23" s="32" t="s">
        <v>236</v>
      </c>
      <c r="R23" s="18"/>
      <c r="S23" s="19"/>
    </row>
    <row r="24" ht="15.75" customHeight="1">
      <c r="A24" s="10">
        <v>23.0</v>
      </c>
      <c r="B24" s="11" t="s">
        <v>22</v>
      </c>
      <c r="C24" s="12">
        <v>17.0</v>
      </c>
      <c r="D24" s="10" t="s">
        <v>18</v>
      </c>
      <c r="E24" s="10">
        <v>2025.0</v>
      </c>
      <c r="F24" s="10" t="s">
        <v>23</v>
      </c>
      <c r="G24" s="13">
        <v>6431.0</v>
      </c>
      <c r="H24" s="13"/>
      <c r="I24" s="14">
        <f>_xlfn.FORECAST.LINEAR('BD_LeiturasHidrômetro_PRJ02'!$A24,G:G,A:A)</f>
        <v>6468.789238</v>
      </c>
      <c r="J24" s="14" t="str">
        <f>IF('BD_LeiturasHidrômetro_PRJ02'!$G24&amp;'BD_LeiturasHidrômetro_PRJ02'!$H24="",'BD_LeiturasHidrômetro_PRJ02'!$I24,'BD_LeiturasHidrômetro_PRJ02'!$G24&amp;'BD_LeiturasHidrômetro_PRJ02'!$H24)</f>
        <v>6431</v>
      </c>
      <c r="K24" s="14" t="str">
        <f t="shared" si="1"/>
        <v>6429,2</v>
      </c>
      <c r="L24" s="15" t="s">
        <v>238</v>
      </c>
      <c r="M24" s="33">
        <v>0.5833333333333334</v>
      </c>
      <c r="N24" s="17">
        <f t="shared" si="2"/>
        <v>1.8</v>
      </c>
      <c r="O24" s="32" t="s">
        <v>236</v>
      </c>
      <c r="R24" s="18"/>
      <c r="S24" s="19"/>
    </row>
    <row r="25" ht="15.75" customHeight="1">
      <c r="A25" s="10">
        <v>24.0</v>
      </c>
      <c r="B25" s="11" t="s">
        <v>25</v>
      </c>
      <c r="C25" s="12">
        <v>18.0</v>
      </c>
      <c r="D25" s="10" t="s">
        <v>18</v>
      </c>
      <c r="E25" s="10">
        <v>2025.0</v>
      </c>
      <c r="F25" s="10" t="s">
        <v>26</v>
      </c>
      <c r="G25" s="13">
        <v>6439.0</v>
      </c>
      <c r="H25" s="13"/>
      <c r="I25" s="14">
        <f>_xlfn.FORECAST.LINEAR('BD_LeiturasHidrômetro_PRJ02'!$A25,G:G,A:A)</f>
        <v>6481.136323</v>
      </c>
      <c r="J25" s="14" t="str">
        <f>IF('BD_LeiturasHidrômetro_PRJ02'!$G25&amp;'BD_LeiturasHidrômetro_PRJ02'!$H25="",'BD_LeiturasHidrômetro_PRJ02'!$I25,'BD_LeiturasHidrômetro_PRJ02'!$G25&amp;'BD_LeiturasHidrômetro_PRJ02'!$H25)</f>
        <v>6439</v>
      </c>
      <c r="K25" s="14" t="str">
        <f t="shared" si="1"/>
        <v>6431</v>
      </c>
      <c r="L25" s="15" t="s">
        <v>259</v>
      </c>
      <c r="M25" s="33">
        <v>0.5833333333333334</v>
      </c>
      <c r="N25" s="17">
        <f t="shared" si="2"/>
        <v>1.8</v>
      </c>
      <c r="O25" s="32" t="s">
        <v>236</v>
      </c>
      <c r="R25" s="18"/>
      <c r="S25" s="19"/>
    </row>
    <row r="26" ht="15.75" customHeight="1">
      <c r="A26" s="10">
        <v>25.0</v>
      </c>
      <c r="B26" s="11" t="s">
        <v>27</v>
      </c>
      <c r="C26" s="12">
        <v>19.0</v>
      </c>
      <c r="D26" s="10" t="s">
        <v>18</v>
      </c>
      <c r="E26" s="10">
        <v>2025.0</v>
      </c>
      <c r="F26" s="10" t="s">
        <v>28</v>
      </c>
      <c r="G26" s="13"/>
      <c r="H26" s="13"/>
      <c r="I26" s="14">
        <f>_xlfn.FORECAST.LINEAR('BD_LeiturasHidrômetro_PRJ02'!$A26,G:G,A:A)</f>
        <v>6493.483408</v>
      </c>
      <c r="J26" s="14">
        <f>IF('BD_LeiturasHidrômetro_PRJ02'!$G26&amp;'BD_LeiturasHidrômetro_PRJ02'!$H26="",'BD_LeiturasHidrômetro_PRJ02'!$I26,'BD_LeiturasHidrômetro_PRJ02'!$G26&amp;'BD_LeiturasHidrômetro_PRJ02'!$H26)</f>
        <v>6493.483408</v>
      </c>
      <c r="K26" s="14" t="str">
        <f t="shared" si="1"/>
        <v>6439</v>
      </c>
      <c r="L26" s="15"/>
      <c r="M26" s="33">
        <v>0.5833333333333334</v>
      </c>
      <c r="N26" s="17">
        <f t="shared" si="2"/>
        <v>8</v>
      </c>
      <c r="O26" s="32" t="s">
        <v>236</v>
      </c>
      <c r="R26" s="18"/>
      <c r="S26" s="19"/>
    </row>
    <row r="27" ht="15.75" customHeight="1">
      <c r="A27" s="10">
        <v>26.0</v>
      </c>
      <c r="B27" s="11" t="s">
        <v>29</v>
      </c>
      <c r="C27" s="12">
        <v>20.0</v>
      </c>
      <c r="D27" s="10" t="s">
        <v>18</v>
      </c>
      <c r="E27" s="10">
        <v>2025.0</v>
      </c>
      <c r="F27" s="10" t="s">
        <v>30</v>
      </c>
      <c r="G27" s="13"/>
      <c r="H27" s="13"/>
      <c r="I27" s="14">
        <f>_xlfn.FORECAST.LINEAR('BD_LeiturasHidrômetro_PRJ02'!$A27,G:G,A:A)</f>
        <v>6505.830493</v>
      </c>
      <c r="J27" s="14">
        <f>IF('BD_LeiturasHidrômetro_PRJ02'!$G27&amp;'BD_LeiturasHidrômetro_PRJ02'!$H27="",'BD_LeiturasHidrômetro_PRJ02'!$I27,'BD_LeiturasHidrômetro_PRJ02'!$G27&amp;'BD_LeiturasHidrômetro_PRJ02'!$H27)</f>
        <v>6505.830493</v>
      </c>
      <c r="K27" s="14">
        <f t="shared" si="1"/>
        <v>6493.483408</v>
      </c>
      <c r="L27" s="15" t="s">
        <v>259</v>
      </c>
      <c r="M27" s="33">
        <v>0.5833333333333334</v>
      </c>
      <c r="N27" s="17">
        <f t="shared" si="2"/>
        <v>54.48340807</v>
      </c>
      <c r="O27" s="32" t="s">
        <v>236</v>
      </c>
      <c r="R27" s="18"/>
      <c r="S27" s="19"/>
    </row>
    <row r="28" ht="15.75" customHeight="1">
      <c r="A28" s="10">
        <v>27.0</v>
      </c>
      <c r="B28" s="11" t="s">
        <v>31</v>
      </c>
      <c r="C28" s="12">
        <v>21.0</v>
      </c>
      <c r="D28" s="10" t="s">
        <v>18</v>
      </c>
      <c r="E28" s="10">
        <v>2025.0</v>
      </c>
      <c r="F28" s="10" t="s">
        <v>32</v>
      </c>
      <c r="G28" s="13"/>
      <c r="H28" s="13"/>
      <c r="I28" s="13">
        <f>_xlfn.FORECAST.LINEAR('BD_LeiturasHidrômetro_PRJ02'!$A28,G:G,A:A)</f>
        <v>6518.177578</v>
      </c>
      <c r="J28" s="14">
        <f>IF('BD_LeiturasHidrômetro_PRJ02'!$G28&amp;'BD_LeiturasHidrômetro_PRJ02'!$H28="",'BD_LeiturasHidrômetro_PRJ02'!$I28,'BD_LeiturasHidrômetro_PRJ02'!$G28&amp;'BD_LeiturasHidrômetro_PRJ02'!$H28)</f>
        <v>6518.177578</v>
      </c>
      <c r="K28" s="14">
        <f t="shared" si="1"/>
        <v>6505.830493</v>
      </c>
      <c r="L28" s="15"/>
      <c r="M28" s="15"/>
      <c r="N28" s="17">
        <f t="shared" si="2"/>
        <v>12.3470852</v>
      </c>
      <c r="O28" s="32" t="s">
        <v>236</v>
      </c>
      <c r="R28" s="18"/>
      <c r="S28" s="19"/>
    </row>
    <row r="29" ht="15.75" customHeight="1">
      <c r="A29" s="10">
        <v>28.0</v>
      </c>
      <c r="B29" s="11" t="s">
        <v>33</v>
      </c>
      <c r="C29" s="12">
        <v>22.0</v>
      </c>
      <c r="D29" s="10" t="s">
        <v>18</v>
      </c>
      <c r="E29" s="10">
        <v>2025.0</v>
      </c>
      <c r="F29" s="10" t="s">
        <v>34</v>
      </c>
      <c r="G29" s="13"/>
      <c r="H29" s="13"/>
      <c r="I29" s="13">
        <f>_xlfn.FORECAST.LINEAR('BD_LeiturasHidrômetro_PRJ02'!$A29,G:G,A:A)</f>
        <v>6530.524664</v>
      </c>
      <c r="J29" s="14">
        <f>IF('BD_LeiturasHidrômetro_PRJ02'!$G29&amp;'BD_LeiturasHidrômetro_PRJ02'!$H29="",'BD_LeiturasHidrômetro_PRJ02'!$I29,'BD_LeiturasHidrômetro_PRJ02'!$G29&amp;'BD_LeiturasHidrômetro_PRJ02'!$H29)</f>
        <v>6530.524664</v>
      </c>
      <c r="K29" s="14">
        <f t="shared" si="1"/>
        <v>6518.177578</v>
      </c>
      <c r="L29" s="15"/>
      <c r="M29" s="15"/>
      <c r="N29" s="17">
        <f t="shared" si="2"/>
        <v>12.3470852</v>
      </c>
      <c r="O29" s="32" t="s">
        <v>236</v>
      </c>
      <c r="R29" s="18"/>
      <c r="S29" s="19"/>
    </row>
    <row r="30" ht="15.75" customHeight="1">
      <c r="A30" s="10">
        <v>29.0</v>
      </c>
      <c r="B30" s="11" t="s">
        <v>35</v>
      </c>
      <c r="C30" s="12">
        <v>23.0</v>
      </c>
      <c r="D30" s="10" t="s">
        <v>18</v>
      </c>
      <c r="E30" s="10">
        <v>2025.0</v>
      </c>
      <c r="F30" s="10" t="s">
        <v>19</v>
      </c>
      <c r="G30" s="13"/>
      <c r="H30" s="13"/>
      <c r="I30" s="13">
        <f>_xlfn.FORECAST.LINEAR('BD_LeiturasHidrômetro_PRJ02'!$A30,G:G,A:A)</f>
        <v>6542.871749</v>
      </c>
      <c r="J30" s="14">
        <f>IF('BD_LeiturasHidrômetro_PRJ02'!$G30&amp;'BD_LeiturasHidrômetro_PRJ02'!$H30="",'BD_LeiturasHidrômetro_PRJ02'!$I30,'BD_LeiturasHidrômetro_PRJ02'!$G30&amp;'BD_LeiturasHidrômetro_PRJ02'!$H30)</f>
        <v>6542.871749</v>
      </c>
      <c r="K30" s="14">
        <f t="shared" si="1"/>
        <v>6530.524664</v>
      </c>
      <c r="L30" s="15" t="s">
        <v>238</v>
      </c>
      <c r="M30" s="15"/>
      <c r="N30" s="17">
        <f t="shared" si="2"/>
        <v>12.3470852</v>
      </c>
      <c r="O30" s="32" t="s">
        <v>236</v>
      </c>
      <c r="R30" s="18"/>
      <c r="S30" s="19"/>
    </row>
    <row r="31" ht="15.75" customHeight="1">
      <c r="A31" s="10">
        <v>30.0</v>
      </c>
      <c r="B31" s="11" t="s">
        <v>36</v>
      </c>
      <c r="C31" s="12">
        <v>24.0</v>
      </c>
      <c r="D31" s="10" t="s">
        <v>18</v>
      </c>
      <c r="E31" s="10">
        <v>2025.0</v>
      </c>
      <c r="F31" s="10" t="s">
        <v>23</v>
      </c>
      <c r="G31" s="13"/>
      <c r="H31" s="13"/>
      <c r="I31" s="14">
        <f>_xlfn.FORECAST.LINEAR('BD_LeiturasHidrômetro_PRJ02'!$A31,G:G,A:A)</f>
        <v>6555.218834</v>
      </c>
      <c r="J31" s="14">
        <f>IF('BD_LeiturasHidrômetro_PRJ02'!$G31&amp;'BD_LeiturasHidrômetro_PRJ02'!$H31="",'BD_LeiturasHidrômetro_PRJ02'!$I31,'BD_LeiturasHidrômetro_PRJ02'!$G31&amp;'BD_LeiturasHidrômetro_PRJ02'!$H31)</f>
        <v>6555.218834</v>
      </c>
      <c r="K31" s="14">
        <f t="shared" si="1"/>
        <v>6542.871749</v>
      </c>
      <c r="L31" s="15" t="s">
        <v>238</v>
      </c>
      <c r="M31" s="15"/>
      <c r="N31" s="17">
        <f t="shared" si="2"/>
        <v>12.3470852</v>
      </c>
      <c r="O31" s="32" t="s">
        <v>236</v>
      </c>
      <c r="R31" s="18"/>
      <c r="S31" s="19"/>
    </row>
    <row r="32" ht="15.75" customHeight="1">
      <c r="A32" s="10">
        <v>31.0</v>
      </c>
      <c r="B32" s="11" t="s">
        <v>37</v>
      </c>
      <c r="C32" s="12">
        <v>25.0</v>
      </c>
      <c r="D32" s="10" t="s">
        <v>18</v>
      </c>
      <c r="E32" s="10">
        <v>2025.0</v>
      </c>
      <c r="F32" s="10" t="s">
        <v>26</v>
      </c>
      <c r="G32" s="13"/>
      <c r="H32" s="13"/>
      <c r="I32" s="14">
        <f>_xlfn.FORECAST.LINEAR('BD_LeiturasHidrômetro_PRJ02'!$A32,G:G,A:A)</f>
        <v>6567.565919</v>
      </c>
      <c r="J32" s="14">
        <f>IF('BD_LeiturasHidrômetro_PRJ02'!$G32&amp;'BD_LeiturasHidrômetro_PRJ02'!$H32="",'BD_LeiturasHidrômetro_PRJ02'!$I32,'BD_LeiturasHidrômetro_PRJ02'!$G32&amp;'BD_LeiturasHidrômetro_PRJ02'!$H32)</f>
        <v>6567.565919</v>
      </c>
      <c r="K32" s="14">
        <f t="shared" si="1"/>
        <v>6555.218834</v>
      </c>
      <c r="L32" s="15" t="s">
        <v>238</v>
      </c>
      <c r="M32" s="15"/>
      <c r="N32" s="17">
        <f t="shared" si="2"/>
        <v>12.3470852</v>
      </c>
      <c r="O32" s="32" t="s">
        <v>236</v>
      </c>
      <c r="R32" s="18"/>
      <c r="S32" s="19"/>
    </row>
    <row r="33" ht="15.75" customHeight="1">
      <c r="A33" s="10">
        <v>32.0</v>
      </c>
      <c r="B33" s="11" t="s">
        <v>38</v>
      </c>
      <c r="C33" s="12">
        <v>26.0</v>
      </c>
      <c r="D33" s="10" t="s">
        <v>18</v>
      </c>
      <c r="E33" s="10">
        <v>2025.0</v>
      </c>
      <c r="F33" s="10" t="s">
        <v>28</v>
      </c>
      <c r="G33" s="13"/>
      <c r="H33" s="13"/>
      <c r="I33" s="14">
        <f>_xlfn.FORECAST.LINEAR('BD_LeiturasHidrômetro_PRJ02'!$A33,G:G,A:A)</f>
        <v>6579.913004</v>
      </c>
      <c r="J33" s="14">
        <f>IF('BD_LeiturasHidrômetro_PRJ02'!$G33&amp;'BD_LeiturasHidrômetro_PRJ02'!$H33="",'BD_LeiturasHidrômetro_PRJ02'!$I33,'BD_LeiturasHidrômetro_PRJ02'!$G33&amp;'BD_LeiturasHidrômetro_PRJ02'!$H33)</f>
        <v>6579.913004</v>
      </c>
      <c r="K33" s="14">
        <f t="shared" si="1"/>
        <v>6567.565919</v>
      </c>
      <c r="L33" s="15" t="s">
        <v>238</v>
      </c>
      <c r="M33" s="15"/>
      <c r="N33" s="17">
        <f t="shared" si="2"/>
        <v>12.3470852</v>
      </c>
      <c r="O33" s="32" t="s">
        <v>236</v>
      </c>
      <c r="R33" s="18"/>
      <c r="S33" s="19"/>
    </row>
    <row r="34" ht="15.75" customHeight="1">
      <c r="A34" s="10">
        <v>33.0</v>
      </c>
      <c r="B34" s="11" t="s">
        <v>39</v>
      </c>
      <c r="C34" s="12">
        <v>27.0</v>
      </c>
      <c r="D34" s="10" t="s">
        <v>18</v>
      </c>
      <c r="E34" s="10">
        <v>2025.0</v>
      </c>
      <c r="F34" s="10" t="s">
        <v>30</v>
      </c>
      <c r="G34" s="13"/>
      <c r="H34" s="13"/>
      <c r="I34" s="14">
        <f>_xlfn.FORECAST.LINEAR('BD_LeiturasHidrômetro_PRJ02'!$A34,G:G,A:A)</f>
        <v>6592.26009</v>
      </c>
      <c r="J34" s="14">
        <f>IF('BD_LeiturasHidrômetro_PRJ02'!$G34&amp;'BD_LeiturasHidrômetro_PRJ02'!$H34="",'BD_LeiturasHidrômetro_PRJ02'!$I34,'BD_LeiturasHidrômetro_PRJ02'!$G34&amp;'BD_LeiturasHidrômetro_PRJ02'!$H34)</f>
        <v>6592.26009</v>
      </c>
      <c r="K34" s="14">
        <f t="shared" si="1"/>
        <v>6579.913004</v>
      </c>
      <c r="L34" s="15" t="s">
        <v>238</v>
      </c>
      <c r="M34" s="15"/>
      <c r="N34" s="17">
        <f t="shared" si="2"/>
        <v>12.3470852</v>
      </c>
      <c r="O34" s="32" t="s">
        <v>236</v>
      </c>
      <c r="R34" s="18"/>
      <c r="S34" s="19"/>
    </row>
    <row r="35" ht="15.75" customHeight="1">
      <c r="A35" s="10">
        <v>34.0</v>
      </c>
      <c r="B35" s="11" t="s">
        <v>40</v>
      </c>
      <c r="C35" s="12">
        <v>28.0</v>
      </c>
      <c r="D35" s="10" t="s">
        <v>18</v>
      </c>
      <c r="E35" s="10">
        <v>2025.0</v>
      </c>
      <c r="F35" s="10" t="s">
        <v>32</v>
      </c>
      <c r="G35" s="13"/>
      <c r="H35" s="13"/>
      <c r="I35" s="13">
        <f>_xlfn.FORECAST.LINEAR('BD_LeiturasHidrômetro_PRJ02'!$A35,G:G,A:A)</f>
        <v>6604.607175</v>
      </c>
      <c r="J35" s="14">
        <f>IF('BD_LeiturasHidrômetro_PRJ02'!$G35&amp;'BD_LeiturasHidrômetro_PRJ02'!$H35="",'BD_LeiturasHidrômetro_PRJ02'!$I35,'BD_LeiturasHidrômetro_PRJ02'!$G35&amp;'BD_LeiturasHidrômetro_PRJ02'!$H35)</f>
        <v>6604.607175</v>
      </c>
      <c r="K35" s="14">
        <f t="shared" si="1"/>
        <v>6592.26009</v>
      </c>
      <c r="L35" s="15"/>
      <c r="M35" s="15"/>
      <c r="N35" s="17">
        <f t="shared" si="2"/>
        <v>12.3470852</v>
      </c>
      <c r="O35" s="32" t="s">
        <v>236</v>
      </c>
      <c r="R35" s="18"/>
      <c r="S35" s="19"/>
    </row>
    <row r="36" ht="15.75" customHeight="1">
      <c r="A36" s="10">
        <v>35.0</v>
      </c>
      <c r="B36" s="11" t="s">
        <v>41</v>
      </c>
      <c r="C36" s="12">
        <v>29.0</v>
      </c>
      <c r="D36" s="10" t="s">
        <v>18</v>
      </c>
      <c r="E36" s="10">
        <v>2025.0</v>
      </c>
      <c r="F36" s="10" t="s">
        <v>34</v>
      </c>
      <c r="G36" s="13"/>
      <c r="H36" s="13"/>
      <c r="I36" s="13">
        <f>_xlfn.FORECAST.LINEAR('BD_LeiturasHidrômetro_PRJ02'!$A36,G:G,A:A)</f>
        <v>6616.95426</v>
      </c>
      <c r="J36" s="14">
        <f>IF('BD_LeiturasHidrômetro_PRJ02'!$G36&amp;'BD_LeiturasHidrômetro_PRJ02'!$H36="",'BD_LeiturasHidrômetro_PRJ02'!$I36,'BD_LeiturasHidrômetro_PRJ02'!$G36&amp;'BD_LeiturasHidrômetro_PRJ02'!$H36)</f>
        <v>6616.95426</v>
      </c>
      <c r="K36" s="14">
        <f t="shared" si="1"/>
        <v>6604.607175</v>
      </c>
      <c r="L36" s="15"/>
      <c r="M36" s="15"/>
      <c r="N36" s="17">
        <f t="shared" si="2"/>
        <v>12.3470852</v>
      </c>
      <c r="O36" s="32" t="s">
        <v>236</v>
      </c>
      <c r="R36" s="18"/>
      <c r="S36" s="19"/>
    </row>
    <row r="37" ht="15.75" customHeight="1">
      <c r="A37" s="10">
        <v>36.0</v>
      </c>
      <c r="B37" s="11" t="s">
        <v>42</v>
      </c>
      <c r="C37" s="12">
        <v>30.0</v>
      </c>
      <c r="D37" s="10" t="s">
        <v>18</v>
      </c>
      <c r="E37" s="10">
        <v>2025.0</v>
      </c>
      <c r="F37" s="10" t="s">
        <v>19</v>
      </c>
      <c r="G37" s="13"/>
      <c r="H37" s="13"/>
      <c r="I37" s="13">
        <f>_xlfn.FORECAST.LINEAR('BD_LeiturasHidrômetro_PRJ02'!$A37,G:G,A:A)</f>
        <v>6629.301345</v>
      </c>
      <c r="J37" s="14">
        <f>IF('BD_LeiturasHidrômetro_PRJ02'!$G37&amp;'BD_LeiturasHidrômetro_PRJ02'!$H37="",'BD_LeiturasHidrômetro_PRJ02'!$I37,'BD_LeiturasHidrômetro_PRJ02'!$G37&amp;'BD_LeiturasHidrômetro_PRJ02'!$H37)</f>
        <v>6629.301345</v>
      </c>
      <c r="K37" s="14">
        <f t="shared" si="1"/>
        <v>6616.95426</v>
      </c>
      <c r="L37" s="15"/>
      <c r="M37" s="15"/>
      <c r="N37" s="17">
        <f t="shared" si="2"/>
        <v>12.3470852</v>
      </c>
      <c r="O37" s="32" t="s">
        <v>236</v>
      </c>
      <c r="R37" s="18"/>
      <c r="S37" s="19"/>
    </row>
    <row r="38" ht="15.75" customHeight="1">
      <c r="A38" s="10">
        <v>37.0</v>
      </c>
      <c r="B38" s="11" t="s">
        <v>43</v>
      </c>
      <c r="C38" s="12">
        <v>1.0</v>
      </c>
      <c r="D38" s="10" t="s">
        <v>44</v>
      </c>
      <c r="E38" s="10">
        <v>2025.0</v>
      </c>
      <c r="F38" s="10" t="s">
        <v>23</v>
      </c>
      <c r="G38" s="13"/>
      <c r="H38" s="13"/>
      <c r="I38" s="14">
        <f>_xlfn.FORECAST.LINEAR('BD_LeiturasHidrômetro_PRJ02'!$A38,G:G,A:A)</f>
        <v>6641.64843</v>
      </c>
      <c r="J38" s="14">
        <f>IF('BD_LeiturasHidrômetro_PRJ02'!$G38&amp;'BD_LeiturasHidrômetro_PRJ02'!$H38="",'BD_LeiturasHidrômetro_PRJ02'!$I38,'BD_LeiturasHidrômetro_PRJ02'!$G38&amp;'BD_LeiturasHidrômetro_PRJ02'!$H38)</f>
        <v>6641.64843</v>
      </c>
      <c r="K38" s="14">
        <f t="shared" si="1"/>
        <v>6629.301345</v>
      </c>
      <c r="L38" s="15"/>
      <c r="M38" s="15"/>
      <c r="N38" s="17">
        <f t="shared" si="2"/>
        <v>12.3470852</v>
      </c>
      <c r="O38" s="32" t="s">
        <v>236</v>
      </c>
      <c r="R38" s="18"/>
      <c r="S38" s="19"/>
    </row>
    <row r="39" ht="15.75" customHeight="1">
      <c r="A39" s="10">
        <v>38.0</v>
      </c>
      <c r="B39" s="11" t="s">
        <v>45</v>
      </c>
      <c r="C39" s="12">
        <v>2.0</v>
      </c>
      <c r="D39" s="10" t="s">
        <v>44</v>
      </c>
      <c r="E39" s="10">
        <v>2025.0</v>
      </c>
      <c r="F39" s="10" t="s">
        <v>26</v>
      </c>
      <c r="G39" s="13"/>
      <c r="H39" s="13"/>
      <c r="I39" s="14">
        <f>_xlfn.FORECAST.LINEAR('BD_LeiturasHidrômetro_PRJ02'!$A39,G:G,A:A)</f>
        <v>6653.995516</v>
      </c>
      <c r="J39" s="14">
        <f>IF('BD_LeiturasHidrômetro_PRJ02'!$G39&amp;'BD_LeiturasHidrômetro_PRJ02'!$H39="",'BD_LeiturasHidrômetro_PRJ02'!$I39,'BD_LeiturasHidrômetro_PRJ02'!$G39&amp;'BD_LeiturasHidrômetro_PRJ02'!$H39)</f>
        <v>6653.995516</v>
      </c>
      <c r="K39" s="14">
        <f t="shared" si="1"/>
        <v>6641.64843</v>
      </c>
      <c r="L39" s="15"/>
      <c r="M39" s="15"/>
      <c r="N39" s="17">
        <f t="shared" si="2"/>
        <v>12.3470852</v>
      </c>
      <c r="O39" s="32" t="s">
        <v>236</v>
      </c>
      <c r="R39" s="18"/>
      <c r="S39" s="19"/>
    </row>
    <row r="40" ht="15.75" customHeight="1">
      <c r="A40" s="10">
        <v>39.0</v>
      </c>
      <c r="B40" s="11" t="s">
        <v>46</v>
      </c>
      <c r="C40" s="12">
        <v>3.0</v>
      </c>
      <c r="D40" s="10" t="s">
        <v>44</v>
      </c>
      <c r="E40" s="10">
        <v>2025.0</v>
      </c>
      <c r="F40" s="10" t="s">
        <v>28</v>
      </c>
      <c r="G40" s="13"/>
      <c r="H40" s="13"/>
      <c r="I40" s="14">
        <f>_xlfn.FORECAST.LINEAR('BD_LeiturasHidrômetro_PRJ02'!$A40,G:G,A:A)</f>
        <v>6666.342601</v>
      </c>
      <c r="J40" s="14">
        <f>IF('BD_LeiturasHidrômetro_PRJ02'!$G40&amp;'BD_LeiturasHidrômetro_PRJ02'!$H40="",'BD_LeiturasHidrômetro_PRJ02'!$I40,'BD_LeiturasHidrômetro_PRJ02'!$G40&amp;'BD_LeiturasHidrômetro_PRJ02'!$H40)</f>
        <v>6666.342601</v>
      </c>
      <c r="K40" s="14">
        <f t="shared" si="1"/>
        <v>6653.995516</v>
      </c>
      <c r="L40" s="15"/>
      <c r="M40" s="15"/>
      <c r="N40" s="17">
        <f t="shared" si="2"/>
        <v>12.3470852</v>
      </c>
      <c r="O40" s="32" t="s">
        <v>236</v>
      </c>
      <c r="R40" s="18"/>
      <c r="S40" s="19"/>
    </row>
    <row r="41" ht="15.75" customHeight="1">
      <c r="A41" s="10">
        <v>40.0</v>
      </c>
      <c r="B41" s="11" t="s">
        <v>47</v>
      </c>
      <c r="C41" s="12">
        <v>4.0</v>
      </c>
      <c r="D41" s="10" t="s">
        <v>44</v>
      </c>
      <c r="E41" s="10">
        <v>2025.0</v>
      </c>
      <c r="F41" s="10" t="s">
        <v>30</v>
      </c>
      <c r="G41" s="13"/>
      <c r="H41" s="13"/>
      <c r="I41" s="14">
        <f>_xlfn.FORECAST.LINEAR('BD_LeiturasHidrômetro_PRJ02'!$A41,G:G,A:A)</f>
        <v>6678.689686</v>
      </c>
      <c r="J41" s="14">
        <f>IF('BD_LeiturasHidrômetro_PRJ02'!$G41&amp;'BD_LeiturasHidrômetro_PRJ02'!$H41="",'BD_LeiturasHidrômetro_PRJ02'!$I41,'BD_LeiturasHidrômetro_PRJ02'!$G41&amp;'BD_LeiturasHidrômetro_PRJ02'!$H41)</f>
        <v>6678.689686</v>
      </c>
      <c r="K41" s="14">
        <f t="shared" si="1"/>
        <v>6666.342601</v>
      </c>
      <c r="L41" s="15"/>
      <c r="M41" s="15"/>
      <c r="N41" s="17">
        <f t="shared" si="2"/>
        <v>12.3470852</v>
      </c>
      <c r="O41" s="32" t="s">
        <v>236</v>
      </c>
      <c r="R41" s="18"/>
      <c r="S41" s="19"/>
    </row>
    <row r="42" ht="15.75" customHeight="1">
      <c r="A42" s="10">
        <v>41.0</v>
      </c>
      <c r="B42" s="11" t="s">
        <v>48</v>
      </c>
      <c r="C42" s="12">
        <v>5.0</v>
      </c>
      <c r="D42" s="10" t="s">
        <v>44</v>
      </c>
      <c r="E42" s="10">
        <v>2025.0</v>
      </c>
      <c r="F42" s="10" t="s">
        <v>32</v>
      </c>
      <c r="G42" s="13"/>
      <c r="H42" s="13"/>
      <c r="I42" s="13">
        <f>_xlfn.FORECAST.LINEAR('BD_LeiturasHidrômetro_PRJ02'!$A42,G:G,A:A)</f>
        <v>6691.036771</v>
      </c>
      <c r="J42" s="14">
        <f>IF('BD_LeiturasHidrômetro_PRJ02'!$G42&amp;'BD_LeiturasHidrômetro_PRJ02'!$H42="",'BD_LeiturasHidrômetro_PRJ02'!$I42,'BD_LeiturasHidrômetro_PRJ02'!$G42&amp;'BD_LeiturasHidrômetro_PRJ02'!$H42)</f>
        <v>6691.036771</v>
      </c>
      <c r="K42" s="14">
        <f t="shared" si="1"/>
        <v>6678.689686</v>
      </c>
      <c r="L42" s="15"/>
      <c r="M42" s="15"/>
      <c r="N42" s="17">
        <f t="shared" si="2"/>
        <v>12.3470852</v>
      </c>
      <c r="O42" s="32" t="s">
        <v>236</v>
      </c>
      <c r="R42" s="18"/>
      <c r="S42" s="19"/>
    </row>
    <row r="43" ht="15.75" customHeight="1">
      <c r="A43" s="10">
        <v>42.0</v>
      </c>
      <c r="B43" s="11" t="s">
        <v>49</v>
      </c>
      <c r="C43" s="12">
        <v>6.0</v>
      </c>
      <c r="D43" s="10" t="s">
        <v>44</v>
      </c>
      <c r="E43" s="10">
        <v>2025.0</v>
      </c>
      <c r="F43" s="10" t="s">
        <v>34</v>
      </c>
      <c r="G43" s="13"/>
      <c r="H43" s="13"/>
      <c r="I43" s="13">
        <f>_xlfn.FORECAST.LINEAR('BD_LeiturasHidrômetro_PRJ02'!$A43,G:G,A:A)</f>
        <v>6703.383857</v>
      </c>
      <c r="J43" s="14">
        <f>IF('BD_LeiturasHidrômetro_PRJ02'!$G43&amp;'BD_LeiturasHidrômetro_PRJ02'!$H43="",'BD_LeiturasHidrômetro_PRJ02'!$I43,'BD_LeiturasHidrômetro_PRJ02'!$G43&amp;'BD_LeiturasHidrômetro_PRJ02'!$H43)</f>
        <v>6703.383857</v>
      </c>
      <c r="K43" s="14">
        <f t="shared" si="1"/>
        <v>6691.036771</v>
      </c>
      <c r="L43" s="15"/>
      <c r="M43" s="15"/>
      <c r="N43" s="17">
        <f t="shared" si="2"/>
        <v>12.3470852</v>
      </c>
      <c r="O43" s="32" t="s">
        <v>236</v>
      </c>
      <c r="R43" s="18"/>
      <c r="S43" s="19"/>
    </row>
    <row r="44" ht="15.75" customHeight="1">
      <c r="A44" s="10">
        <v>43.0</v>
      </c>
      <c r="B44" s="11" t="s">
        <v>50</v>
      </c>
      <c r="C44" s="12">
        <v>7.0</v>
      </c>
      <c r="D44" s="10" t="s">
        <v>44</v>
      </c>
      <c r="E44" s="10">
        <v>2025.0</v>
      </c>
      <c r="F44" s="10" t="s">
        <v>19</v>
      </c>
      <c r="G44" s="13"/>
      <c r="H44" s="13"/>
      <c r="I44" s="13">
        <f>_xlfn.FORECAST.LINEAR('BD_LeiturasHidrômetro_PRJ02'!$A44,G:G,A:A)</f>
        <v>6715.730942</v>
      </c>
      <c r="J44" s="14">
        <f>IF('BD_LeiturasHidrômetro_PRJ02'!$G44&amp;'BD_LeiturasHidrômetro_PRJ02'!$H44="",'BD_LeiturasHidrômetro_PRJ02'!$I44,'BD_LeiturasHidrômetro_PRJ02'!$G44&amp;'BD_LeiturasHidrômetro_PRJ02'!$H44)</f>
        <v>6715.730942</v>
      </c>
      <c r="K44" s="14">
        <f t="shared" si="1"/>
        <v>6703.383857</v>
      </c>
      <c r="L44" s="15"/>
      <c r="M44" s="15"/>
      <c r="N44" s="17">
        <f t="shared" si="2"/>
        <v>12.3470852</v>
      </c>
      <c r="O44" s="32" t="s">
        <v>236</v>
      </c>
      <c r="R44" s="18"/>
      <c r="S44" s="19"/>
    </row>
    <row r="45" ht="15.75" customHeight="1">
      <c r="A45" s="10">
        <v>44.0</v>
      </c>
      <c r="B45" s="11" t="s">
        <v>51</v>
      </c>
      <c r="C45" s="12">
        <v>8.0</v>
      </c>
      <c r="D45" s="10" t="s">
        <v>44</v>
      </c>
      <c r="E45" s="10">
        <v>2025.0</v>
      </c>
      <c r="F45" s="10" t="s">
        <v>23</v>
      </c>
      <c r="G45" s="13"/>
      <c r="H45" s="13"/>
      <c r="I45" s="14">
        <f>_xlfn.FORECAST.LINEAR('BD_LeiturasHidrômetro_PRJ02'!$A45,G:G,A:A)</f>
        <v>6728.078027</v>
      </c>
      <c r="J45" s="14">
        <f>IF('BD_LeiturasHidrômetro_PRJ02'!$G45&amp;'BD_LeiturasHidrômetro_PRJ02'!$H45="",'BD_LeiturasHidrômetro_PRJ02'!$I45,'BD_LeiturasHidrômetro_PRJ02'!$G45&amp;'BD_LeiturasHidrômetro_PRJ02'!$H45)</f>
        <v>6728.078027</v>
      </c>
      <c r="K45" s="14">
        <f t="shared" si="1"/>
        <v>6715.730942</v>
      </c>
      <c r="L45" s="15"/>
      <c r="M45" s="15"/>
      <c r="N45" s="17">
        <f t="shared" si="2"/>
        <v>12.3470852</v>
      </c>
      <c r="O45" s="32" t="s">
        <v>236</v>
      </c>
      <c r="R45" s="18"/>
      <c r="S45" s="19"/>
    </row>
    <row r="46" ht="15.75" customHeight="1">
      <c r="A46" s="10">
        <v>45.0</v>
      </c>
      <c r="B46" s="11" t="s">
        <v>52</v>
      </c>
      <c r="C46" s="12">
        <v>9.0</v>
      </c>
      <c r="D46" s="10" t="s">
        <v>44</v>
      </c>
      <c r="E46" s="10">
        <v>2025.0</v>
      </c>
      <c r="F46" s="10" t="s">
        <v>26</v>
      </c>
      <c r="G46" s="13"/>
      <c r="H46" s="13"/>
      <c r="I46" s="14">
        <f>_xlfn.FORECAST.LINEAR('BD_LeiturasHidrômetro_PRJ02'!$A46,G:G,A:A)</f>
        <v>6740.425112</v>
      </c>
      <c r="J46" s="14">
        <f>IF('BD_LeiturasHidrômetro_PRJ02'!$G46&amp;'BD_LeiturasHidrômetro_PRJ02'!$H46="",'BD_LeiturasHidrômetro_PRJ02'!$I46,'BD_LeiturasHidrômetro_PRJ02'!$G46&amp;'BD_LeiturasHidrômetro_PRJ02'!$H46)</f>
        <v>6740.425112</v>
      </c>
      <c r="K46" s="14">
        <f t="shared" si="1"/>
        <v>6728.078027</v>
      </c>
      <c r="L46" s="15"/>
      <c r="M46" s="15"/>
      <c r="N46" s="17">
        <f t="shared" si="2"/>
        <v>12.3470852</v>
      </c>
      <c r="O46" s="32" t="s">
        <v>236</v>
      </c>
      <c r="R46" s="18"/>
      <c r="S46" s="19"/>
    </row>
    <row r="47" ht="15.75" customHeight="1">
      <c r="A47" s="10">
        <v>46.0</v>
      </c>
      <c r="B47" s="11" t="s">
        <v>53</v>
      </c>
      <c r="C47" s="12">
        <v>10.0</v>
      </c>
      <c r="D47" s="10" t="s">
        <v>44</v>
      </c>
      <c r="E47" s="10">
        <v>2025.0</v>
      </c>
      <c r="F47" s="10" t="s">
        <v>28</v>
      </c>
      <c r="G47" s="13"/>
      <c r="H47" s="13"/>
      <c r="I47" s="14">
        <f>_xlfn.FORECAST.LINEAR('BD_LeiturasHidrômetro_PRJ02'!$A47,G:G,A:A)</f>
        <v>6752.772197</v>
      </c>
      <c r="J47" s="14">
        <f>IF('BD_LeiturasHidrômetro_PRJ02'!$G47&amp;'BD_LeiturasHidrômetro_PRJ02'!$H47="",'BD_LeiturasHidrômetro_PRJ02'!$I47,'BD_LeiturasHidrômetro_PRJ02'!$G47&amp;'BD_LeiturasHidrômetro_PRJ02'!$H47)</f>
        <v>6752.772197</v>
      </c>
      <c r="K47" s="14">
        <f t="shared" si="1"/>
        <v>6740.425112</v>
      </c>
      <c r="L47" s="15"/>
      <c r="M47" s="15"/>
      <c r="N47" s="17">
        <f t="shared" si="2"/>
        <v>12.3470852</v>
      </c>
      <c r="O47" s="32" t="s">
        <v>236</v>
      </c>
      <c r="R47" s="18"/>
      <c r="S47" s="19"/>
    </row>
    <row r="48" ht="15.75" customHeight="1">
      <c r="A48" s="10">
        <v>47.0</v>
      </c>
      <c r="B48" s="11" t="s">
        <v>54</v>
      </c>
      <c r="C48" s="12">
        <v>11.0</v>
      </c>
      <c r="D48" s="10" t="s">
        <v>44</v>
      </c>
      <c r="E48" s="10">
        <v>2025.0</v>
      </c>
      <c r="F48" s="10" t="s">
        <v>30</v>
      </c>
      <c r="G48" s="13"/>
      <c r="H48" s="13"/>
      <c r="I48" s="14">
        <f>_xlfn.FORECAST.LINEAR('BD_LeiturasHidrômetro_PRJ02'!$A48,G:G,A:A)</f>
        <v>6765.119283</v>
      </c>
      <c r="J48" s="14">
        <f>IF('BD_LeiturasHidrômetro_PRJ02'!$G48&amp;'BD_LeiturasHidrômetro_PRJ02'!$H48="",'BD_LeiturasHidrômetro_PRJ02'!$I48,'BD_LeiturasHidrômetro_PRJ02'!$G48&amp;'BD_LeiturasHidrômetro_PRJ02'!$H48)</f>
        <v>6765.119283</v>
      </c>
      <c r="K48" s="14">
        <f t="shared" si="1"/>
        <v>6752.772197</v>
      </c>
      <c r="L48" s="15"/>
      <c r="M48" s="15"/>
      <c r="N48" s="17">
        <f t="shared" si="2"/>
        <v>12.3470852</v>
      </c>
      <c r="O48" s="32" t="s">
        <v>236</v>
      </c>
      <c r="R48" s="18"/>
      <c r="S48" s="19"/>
    </row>
    <row r="49" ht="15.75" customHeight="1">
      <c r="A49" s="10">
        <v>48.0</v>
      </c>
      <c r="B49" s="11" t="s">
        <v>55</v>
      </c>
      <c r="C49" s="12">
        <v>12.0</v>
      </c>
      <c r="D49" s="10" t="s">
        <v>44</v>
      </c>
      <c r="E49" s="10">
        <v>2025.0</v>
      </c>
      <c r="F49" s="10" t="s">
        <v>32</v>
      </c>
      <c r="G49" s="13"/>
      <c r="H49" s="13"/>
      <c r="I49" s="13">
        <f>_xlfn.FORECAST.LINEAR('BD_LeiturasHidrômetro_PRJ02'!$A49,G:G,A:A)</f>
        <v>6777.466368</v>
      </c>
      <c r="J49" s="14">
        <f>IF('BD_LeiturasHidrômetro_PRJ02'!$G49&amp;'BD_LeiturasHidrômetro_PRJ02'!$H49="",'BD_LeiturasHidrômetro_PRJ02'!$I49,'BD_LeiturasHidrômetro_PRJ02'!$G49&amp;'BD_LeiturasHidrômetro_PRJ02'!$H49)</f>
        <v>6777.466368</v>
      </c>
      <c r="K49" s="14">
        <f t="shared" si="1"/>
        <v>6765.119283</v>
      </c>
      <c r="L49" s="15"/>
      <c r="M49" s="15"/>
      <c r="N49" s="17">
        <f t="shared" si="2"/>
        <v>12.3470852</v>
      </c>
      <c r="O49" s="32" t="s">
        <v>236</v>
      </c>
      <c r="R49" s="18"/>
      <c r="S49" s="19"/>
    </row>
    <row r="50" ht="15.75" customHeight="1">
      <c r="A50" s="10">
        <v>49.0</v>
      </c>
      <c r="B50" s="11" t="s">
        <v>56</v>
      </c>
      <c r="C50" s="12">
        <v>13.0</v>
      </c>
      <c r="D50" s="10" t="s">
        <v>44</v>
      </c>
      <c r="E50" s="10">
        <v>2025.0</v>
      </c>
      <c r="F50" s="10" t="s">
        <v>34</v>
      </c>
      <c r="G50" s="13"/>
      <c r="H50" s="13"/>
      <c r="I50" s="13">
        <f>_xlfn.FORECAST.LINEAR('BD_LeiturasHidrômetro_PRJ02'!$A50,G:G,A:A)</f>
        <v>6789.813453</v>
      </c>
      <c r="J50" s="14">
        <f>IF('BD_LeiturasHidrômetro_PRJ02'!$G50&amp;'BD_LeiturasHidrômetro_PRJ02'!$H50="",'BD_LeiturasHidrômetro_PRJ02'!$I50,'BD_LeiturasHidrômetro_PRJ02'!$G50&amp;'BD_LeiturasHidrômetro_PRJ02'!$H50)</f>
        <v>6789.813453</v>
      </c>
      <c r="K50" s="14">
        <f t="shared" si="1"/>
        <v>6777.466368</v>
      </c>
      <c r="L50" s="15"/>
      <c r="M50" s="15"/>
      <c r="N50" s="17">
        <f t="shared" si="2"/>
        <v>12.3470852</v>
      </c>
      <c r="O50" s="32" t="s">
        <v>236</v>
      </c>
      <c r="R50" s="18"/>
      <c r="S50" s="19"/>
    </row>
    <row r="51" ht="15.75" customHeight="1">
      <c r="A51" s="10">
        <v>50.0</v>
      </c>
      <c r="B51" s="11" t="s">
        <v>57</v>
      </c>
      <c r="C51" s="12">
        <v>14.0</v>
      </c>
      <c r="D51" s="10" t="s">
        <v>44</v>
      </c>
      <c r="E51" s="10">
        <v>2025.0</v>
      </c>
      <c r="F51" s="10" t="s">
        <v>19</v>
      </c>
      <c r="G51" s="13"/>
      <c r="H51" s="13"/>
      <c r="I51" s="13">
        <f>_xlfn.FORECAST.LINEAR('BD_LeiturasHidrômetro_PRJ02'!$A51,G:G,A:A)</f>
        <v>6802.160538</v>
      </c>
      <c r="J51" s="14">
        <f>IF('BD_LeiturasHidrômetro_PRJ02'!$G51&amp;'BD_LeiturasHidrômetro_PRJ02'!$H51="",'BD_LeiturasHidrômetro_PRJ02'!$I51,'BD_LeiturasHidrômetro_PRJ02'!$G51&amp;'BD_LeiturasHidrômetro_PRJ02'!$H51)</f>
        <v>6802.160538</v>
      </c>
      <c r="K51" s="14">
        <f t="shared" si="1"/>
        <v>6789.813453</v>
      </c>
      <c r="L51" s="15"/>
      <c r="M51" s="15"/>
      <c r="N51" s="17">
        <f t="shared" si="2"/>
        <v>12.3470852</v>
      </c>
      <c r="O51" s="32" t="s">
        <v>236</v>
      </c>
      <c r="R51" s="18"/>
      <c r="S51" s="19"/>
    </row>
    <row r="52" ht="15.75" customHeight="1">
      <c r="A52" s="10">
        <v>51.0</v>
      </c>
      <c r="B52" s="11" t="s">
        <v>58</v>
      </c>
      <c r="C52" s="12">
        <v>15.0</v>
      </c>
      <c r="D52" s="10" t="s">
        <v>44</v>
      </c>
      <c r="E52" s="10">
        <v>2025.0</v>
      </c>
      <c r="F52" s="10" t="s">
        <v>23</v>
      </c>
      <c r="G52" s="13"/>
      <c r="H52" s="13"/>
      <c r="I52" s="14">
        <f>_xlfn.FORECAST.LINEAR('BD_LeiturasHidrômetro_PRJ02'!$A52,G:G,A:A)</f>
        <v>6814.507623</v>
      </c>
      <c r="J52" s="14">
        <f>IF('BD_LeiturasHidrômetro_PRJ02'!$G52&amp;'BD_LeiturasHidrômetro_PRJ02'!$H52="",'BD_LeiturasHidrômetro_PRJ02'!$I52,'BD_LeiturasHidrômetro_PRJ02'!$G52&amp;'BD_LeiturasHidrômetro_PRJ02'!$H52)</f>
        <v>6814.507623</v>
      </c>
      <c r="K52" s="14">
        <f t="shared" si="1"/>
        <v>6802.160538</v>
      </c>
      <c r="L52" s="15"/>
      <c r="M52" s="15"/>
      <c r="N52" s="17">
        <f t="shared" si="2"/>
        <v>12.3470852</v>
      </c>
      <c r="O52" s="32" t="s">
        <v>236</v>
      </c>
      <c r="R52" s="18"/>
      <c r="S52" s="19"/>
    </row>
    <row r="53" ht="15.75" customHeight="1">
      <c r="A53" s="10">
        <v>52.0</v>
      </c>
      <c r="B53" s="11" t="s">
        <v>59</v>
      </c>
      <c r="C53" s="12">
        <v>16.0</v>
      </c>
      <c r="D53" s="10" t="s">
        <v>44</v>
      </c>
      <c r="E53" s="10">
        <v>2025.0</v>
      </c>
      <c r="F53" s="10" t="s">
        <v>26</v>
      </c>
      <c r="G53" s="13"/>
      <c r="H53" s="13"/>
      <c r="I53" s="14">
        <f>_xlfn.FORECAST.LINEAR('BD_LeiturasHidrômetro_PRJ02'!$A53,G:G,A:A)</f>
        <v>6826.854709</v>
      </c>
      <c r="J53" s="14">
        <f>IF('BD_LeiturasHidrômetro_PRJ02'!$G53&amp;'BD_LeiturasHidrômetro_PRJ02'!$H53="",'BD_LeiturasHidrômetro_PRJ02'!$I53,'BD_LeiturasHidrômetro_PRJ02'!$G53&amp;'BD_LeiturasHidrômetro_PRJ02'!$H53)</f>
        <v>6826.854709</v>
      </c>
      <c r="K53" s="14">
        <f t="shared" si="1"/>
        <v>6814.507623</v>
      </c>
      <c r="L53" s="15"/>
      <c r="M53" s="15"/>
      <c r="N53" s="17">
        <f t="shared" si="2"/>
        <v>12.3470852</v>
      </c>
      <c r="O53" s="32" t="s">
        <v>236</v>
      </c>
      <c r="R53" s="18"/>
      <c r="S53" s="19"/>
    </row>
    <row r="54" ht="15.75" customHeight="1">
      <c r="A54" s="10">
        <v>53.0</v>
      </c>
      <c r="B54" s="11" t="s">
        <v>60</v>
      </c>
      <c r="C54" s="12">
        <v>17.0</v>
      </c>
      <c r="D54" s="10" t="s">
        <v>44</v>
      </c>
      <c r="E54" s="10">
        <v>2025.0</v>
      </c>
      <c r="F54" s="10" t="s">
        <v>28</v>
      </c>
      <c r="G54" s="13"/>
      <c r="H54" s="13"/>
      <c r="I54" s="14">
        <f>_xlfn.FORECAST.LINEAR('BD_LeiturasHidrômetro_PRJ02'!$A54,G:G,A:A)</f>
        <v>6839.201794</v>
      </c>
      <c r="J54" s="14">
        <f>IF('BD_LeiturasHidrômetro_PRJ02'!$G54&amp;'BD_LeiturasHidrômetro_PRJ02'!$H54="",'BD_LeiturasHidrômetro_PRJ02'!$I54,'BD_LeiturasHidrômetro_PRJ02'!$G54&amp;'BD_LeiturasHidrômetro_PRJ02'!$H54)</f>
        <v>6839.201794</v>
      </c>
      <c r="K54" s="14">
        <f t="shared" si="1"/>
        <v>6826.854709</v>
      </c>
      <c r="L54" s="15"/>
      <c r="M54" s="15"/>
      <c r="N54" s="17">
        <f t="shared" si="2"/>
        <v>12.3470852</v>
      </c>
      <c r="O54" s="32" t="s">
        <v>236</v>
      </c>
      <c r="R54" s="18"/>
      <c r="S54" s="19"/>
    </row>
    <row r="55" ht="15.75" customHeight="1">
      <c r="A55" s="10">
        <v>54.0</v>
      </c>
      <c r="B55" s="11" t="s">
        <v>61</v>
      </c>
      <c r="C55" s="12">
        <v>18.0</v>
      </c>
      <c r="D55" s="10" t="s">
        <v>44</v>
      </c>
      <c r="E55" s="10">
        <v>2025.0</v>
      </c>
      <c r="F55" s="10" t="s">
        <v>30</v>
      </c>
      <c r="G55" s="13"/>
      <c r="H55" s="13"/>
      <c r="I55" s="14">
        <f>_xlfn.FORECAST.LINEAR('BD_LeiturasHidrômetro_PRJ02'!$A55,G:G,A:A)</f>
        <v>6851.548879</v>
      </c>
      <c r="J55" s="14">
        <f>IF('BD_LeiturasHidrômetro_PRJ02'!$G55&amp;'BD_LeiturasHidrômetro_PRJ02'!$H55="",'BD_LeiturasHidrômetro_PRJ02'!$I55,'BD_LeiturasHidrômetro_PRJ02'!$G55&amp;'BD_LeiturasHidrômetro_PRJ02'!$H55)</f>
        <v>6851.548879</v>
      </c>
      <c r="K55" s="14">
        <f t="shared" si="1"/>
        <v>6839.201794</v>
      </c>
      <c r="L55" s="15"/>
      <c r="M55" s="15"/>
      <c r="N55" s="17">
        <f t="shared" si="2"/>
        <v>12.3470852</v>
      </c>
      <c r="O55" s="32" t="s">
        <v>236</v>
      </c>
      <c r="R55" s="18"/>
      <c r="S55" s="19"/>
    </row>
    <row r="56" ht="15.75" customHeight="1">
      <c r="A56" s="10">
        <v>55.0</v>
      </c>
      <c r="B56" s="11" t="s">
        <v>62</v>
      </c>
      <c r="C56" s="12">
        <v>19.0</v>
      </c>
      <c r="D56" s="10" t="s">
        <v>44</v>
      </c>
      <c r="E56" s="10">
        <v>2025.0</v>
      </c>
      <c r="F56" s="10" t="s">
        <v>32</v>
      </c>
      <c r="G56" s="13"/>
      <c r="H56" s="13"/>
      <c r="I56" s="13">
        <f>_xlfn.FORECAST.LINEAR('BD_LeiturasHidrômetro_PRJ02'!$A56,G:G,A:A)</f>
        <v>6863.895964</v>
      </c>
      <c r="J56" s="14">
        <f>IF('BD_LeiturasHidrômetro_PRJ02'!$G56&amp;'BD_LeiturasHidrômetro_PRJ02'!$H56="",'BD_LeiturasHidrômetro_PRJ02'!$I56,'BD_LeiturasHidrômetro_PRJ02'!$G56&amp;'BD_LeiturasHidrômetro_PRJ02'!$H56)</f>
        <v>6863.895964</v>
      </c>
      <c r="K56" s="14">
        <f t="shared" si="1"/>
        <v>6851.548879</v>
      </c>
      <c r="L56" s="15"/>
      <c r="M56" s="15"/>
      <c r="N56" s="17">
        <f t="shared" si="2"/>
        <v>12.3470852</v>
      </c>
      <c r="O56" s="32" t="s">
        <v>236</v>
      </c>
      <c r="R56" s="18"/>
      <c r="S56" s="19"/>
    </row>
    <row r="57" ht="15.75" customHeight="1">
      <c r="A57" s="10">
        <v>56.0</v>
      </c>
      <c r="B57" s="11" t="s">
        <v>63</v>
      </c>
      <c r="C57" s="12">
        <v>20.0</v>
      </c>
      <c r="D57" s="10" t="s">
        <v>44</v>
      </c>
      <c r="E57" s="10">
        <v>2025.0</v>
      </c>
      <c r="F57" s="10" t="s">
        <v>34</v>
      </c>
      <c r="G57" s="13"/>
      <c r="H57" s="13"/>
      <c r="I57" s="13">
        <f>_xlfn.FORECAST.LINEAR('BD_LeiturasHidrômetro_PRJ02'!$A57,G:G,A:A)</f>
        <v>6876.243049</v>
      </c>
      <c r="J57" s="14">
        <f>IF('BD_LeiturasHidrômetro_PRJ02'!$G57&amp;'BD_LeiturasHidrômetro_PRJ02'!$H57="",'BD_LeiturasHidrômetro_PRJ02'!$I57,'BD_LeiturasHidrômetro_PRJ02'!$G57&amp;'BD_LeiturasHidrômetro_PRJ02'!$H57)</f>
        <v>6876.243049</v>
      </c>
      <c r="K57" s="14">
        <f t="shared" si="1"/>
        <v>6863.895964</v>
      </c>
      <c r="L57" s="15"/>
      <c r="M57" s="15"/>
      <c r="N57" s="17">
        <f t="shared" si="2"/>
        <v>12.3470852</v>
      </c>
      <c r="O57" s="32" t="s">
        <v>236</v>
      </c>
      <c r="R57" s="18"/>
      <c r="S57" s="19"/>
    </row>
    <row r="58" ht="15.75" customHeight="1">
      <c r="A58" s="10">
        <v>57.0</v>
      </c>
      <c r="B58" s="11" t="s">
        <v>64</v>
      </c>
      <c r="C58" s="12">
        <v>21.0</v>
      </c>
      <c r="D58" s="10" t="s">
        <v>44</v>
      </c>
      <c r="E58" s="10">
        <v>2025.0</v>
      </c>
      <c r="F58" s="10" t="s">
        <v>19</v>
      </c>
      <c r="G58" s="13"/>
      <c r="H58" s="13"/>
      <c r="I58" s="13">
        <f>_xlfn.FORECAST.LINEAR('BD_LeiturasHidrômetro_PRJ02'!$A58,G:G,A:A)</f>
        <v>6888.590135</v>
      </c>
      <c r="J58" s="14">
        <f>IF('BD_LeiturasHidrômetro_PRJ02'!$G58&amp;'BD_LeiturasHidrômetro_PRJ02'!$H58="",'BD_LeiturasHidrômetro_PRJ02'!$I58,'BD_LeiturasHidrômetro_PRJ02'!$G58&amp;'BD_LeiturasHidrômetro_PRJ02'!$H58)</f>
        <v>6888.590135</v>
      </c>
      <c r="K58" s="14">
        <f t="shared" si="1"/>
        <v>6876.243049</v>
      </c>
      <c r="L58" s="15"/>
      <c r="M58" s="15"/>
      <c r="N58" s="17">
        <f t="shared" si="2"/>
        <v>12.3470852</v>
      </c>
      <c r="O58" s="32" t="s">
        <v>236</v>
      </c>
      <c r="R58" s="18"/>
      <c r="S58" s="19"/>
    </row>
    <row r="59" ht="15.75" customHeight="1">
      <c r="A59" s="10">
        <v>58.0</v>
      </c>
      <c r="B59" s="11" t="s">
        <v>65</v>
      </c>
      <c r="C59" s="12">
        <v>22.0</v>
      </c>
      <c r="D59" s="10" t="s">
        <v>44</v>
      </c>
      <c r="E59" s="10">
        <v>2025.0</v>
      </c>
      <c r="F59" s="10" t="s">
        <v>23</v>
      </c>
      <c r="G59" s="13"/>
      <c r="H59" s="13"/>
      <c r="I59" s="14">
        <f>_xlfn.FORECAST.LINEAR('BD_LeiturasHidrômetro_PRJ02'!$A59,G:G,A:A)</f>
        <v>6900.93722</v>
      </c>
      <c r="J59" s="14">
        <f>IF('BD_LeiturasHidrômetro_PRJ02'!$G59&amp;'BD_LeiturasHidrômetro_PRJ02'!$H59="",'BD_LeiturasHidrômetro_PRJ02'!$I59,'BD_LeiturasHidrômetro_PRJ02'!$G59&amp;'BD_LeiturasHidrômetro_PRJ02'!$H59)</f>
        <v>6900.93722</v>
      </c>
      <c r="K59" s="14">
        <f t="shared" si="1"/>
        <v>6888.590135</v>
      </c>
      <c r="L59" s="15"/>
      <c r="M59" s="15"/>
      <c r="N59" s="17">
        <f t="shared" si="2"/>
        <v>12.3470852</v>
      </c>
      <c r="O59" s="32" t="s">
        <v>236</v>
      </c>
      <c r="R59" s="18"/>
      <c r="S59" s="19"/>
    </row>
    <row r="60" ht="15.75" customHeight="1">
      <c r="A60" s="10">
        <v>59.0</v>
      </c>
      <c r="B60" s="11" t="s">
        <v>66</v>
      </c>
      <c r="C60" s="12">
        <v>23.0</v>
      </c>
      <c r="D60" s="10" t="s">
        <v>44</v>
      </c>
      <c r="E60" s="10">
        <v>2025.0</v>
      </c>
      <c r="F60" s="10" t="s">
        <v>26</v>
      </c>
      <c r="G60" s="13"/>
      <c r="H60" s="13"/>
      <c r="I60" s="14">
        <f>_xlfn.FORECAST.LINEAR('BD_LeiturasHidrômetro_PRJ02'!$A60,G:G,A:A)</f>
        <v>6913.284305</v>
      </c>
      <c r="J60" s="14">
        <f>IF('BD_LeiturasHidrômetro_PRJ02'!$G60&amp;'BD_LeiturasHidrômetro_PRJ02'!$H60="",'BD_LeiturasHidrômetro_PRJ02'!$I60,'BD_LeiturasHidrômetro_PRJ02'!$G60&amp;'BD_LeiturasHidrômetro_PRJ02'!$H60)</f>
        <v>6913.284305</v>
      </c>
      <c r="K60" s="14">
        <f t="shared" si="1"/>
        <v>6900.93722</v>
      </c>
      <c r="L60" s="15"/>
      <c r="M60" s="15"/>
      <c r="N60" s="17">
        <f t="shared" si="2"/>
        <v>12.3470852</v>
      </c>
      <c r="O60" s="32" t="s">
        <v>236</v>
      </c>
      <c r="R60" s="18"/>
      <c r="S60" s="19"/>
    </row>
    <row r="61" ht="15.75" customHeight="1">
      <c r="A61" s="10">
        <v>60.0</v>
      </c>
      <c r="B61" s="11" t="s">
        <v>67</v>
      </c>
      <c r="C61" s="12">
        <v>24.0</v>
      </c>
      <c r="D61" s="10" t="s">
        <v>44</v>
      </c>
      <c r="E61" s="10">
        <v>2025.0</v>
      </c>
      <c r="F61" s="10" t="s">
        <v>28</v>
      </c>
      <c r="G61" s="13"/>
      <c r="H61" s="13"/>
      <c r="I61" s="14">
        <f>_xlfn.FORECAST.LINEAR('BD_LeiturasHidrômetro_PRJ02'!$A61,G:G,A:A)</f>
        <v>6925.63139</v>
      </c>
      <c r="J61" s="14">
        <f>IF('BD_LeiturasHidrômetro_PRJ02'!$G61&amp;'BD_LeiturasHidrômetro_PRJ02'!$H61="",'BD_LeiturasHidrômetro_PRJ02'!$I61,'BD_LeiturasHidrômetro_PRJ02'!$G61&amp;'BD_LeiturasHidrômetro_PRJ02'!$H61)</f>
        <v>6925.63139</v>
      </c>
      <c r="K61" s="14">
        <f t="shared" si="1"/>
        <v>6913.284305</v>
      </c>
      <c r="L61" s="15"/>
      <c r="M61" s="15"/>
      <c r="N61" s="17">
        <f t="shared" si="2"/>
        <v>12.3470852</v>
      </c>
      <c r="O61" s="32" t="s">
        <v>236</v>
      </c>
      <c r="R61" s="18"/>
      <c r="S61" s="19"/>
    </row>
    <row r="62" ht="15.75" customHeight="1">
      <c r="A62" s="10">
        <v>61.0</v>
      </c>
      <c r="B62" s="11" t="s">
        <v>68</v>
      </c>
      <c r="C62" s="12">
        <v>25.0</v>
      </c>
      <c r="D62" s="10" t="s">
        <v>44</v>
      </c>
      <c r="E62" s="10">
        <v>2025.0</v>
      </c>
      <c r="F62" s="10" t="s">
        <v>30</v>
      </c>
      <c r="G62" s="13"/>
      <c r="H62" s="13"/>
      <c r="I62" s="14">
        <f>_xlfn.FORECAST.LINEAR('BD_LeiturasHidrômetro_PRJ02'!$A62,G:G,A:A)</f>
        <v>6937.978475</v>
      </c>
      <c r="J62" s="14">
        <f>IF('BD_LeiturasHidrômetro_PRJ02'!$G62&amp;'BD_LeiturasHidrômetro_PRJ02'!$H62="",'BD_LeiturasHidrômetro_PRJ02'!$I62,'BD_LeiturasHidrômetro_PRJ02'!$G62&amp;'BD_LeiturasHidrômetro_PRJ02'!$H62)</f>
        <v>6937.978475</v>
      </c>
      <c r="K62" s="14">
        <f t="shared" si="1"/>
        <v>6925.63139</v>
      </c>
      <c r="L62" s="15"/>
      <c r="M62" s="15"/>
      <c r="N62" s="17">
        <f t="shared" si="2"/>
        <v>12.3470852</v>
      </c>
      <c r="O62" s="32" t="s">
        <v>236</v>
      </c>
      <c r="R62" s="18"/>
      <c r="S62" s="19"/>
    </row>
    <row r="63" ht="15.75" customHeight="1">
      <c r="A63" s="10">
        <v>62.0</v>
      </c>
      <c r="B63" s="11" t="s">
        <v>69</v>
      </c>
      <c r="C63" s="12">
        <v>26.0</v>
      </c>
      <c r="D63" s="10" t="s">
        <v>44</v>
      </c>
      <c r="E63" s="10">
        <v>2025.0</v>
      </c>
      <c r="F63" s="10" t="s">
        <v>32</v>
      </c>
      <c r="G63" s="13"/>
      <c r="H63" s="13"/>
      <c r="I63" s="13">
        <f>_xlfn.FORECAST.LINEAR('BD_LeiturasHidrômetro_PRJ02'!$A63,G:G,A:A)</f>
        <v>6950.325561</v>
      </c>
      <c r="J63" s="14">
        <f>IF('BD_LeiturasHidrômetro_PRJ02'!$G63&amp;'BD_LeiturasHidrômetro_PRJ02'!$H63="",'BD_LeiturasHidrômetro_PRJ02'!$I63,'BD_LeiturasHidrômetro_PRJ02'!$G63&amp;'BD_LeiturasHidrômetro_PRJ02'!$H63)</f>
        <v>6950.325561</v>
      </c>
      <c r="K63" s="14">
        <f t="shared" si="1"/>
        <v>6937.978475</v>
      </c>
      <c r="L63" s="15"/>
      <c r="M63" s="15"/>
      <c r="N63" s="17">
        <f t="shared" si="2"/>
        <v>12.3470852</v>
      </c>
      <c r="O63" s="32" t="s">
        <v>236</v>
      </c>
      <c r="R63" s="18"/>
      <c r="S63" s="19"/>
    </row>
    <row r="64" ht="15.75" customHeight="1">
      <c r="A64" s="10">
        <v>63.0</v>
      </c>
      <c r="B64" s="11" t="s">
        <v>70</v>
      </c>
      <c r="C64" s="12">
        <v>27.0</v>
      </c>
      <c r="D64" s="10" t="s">
        <v>44</v>
      </c>
      <c r="E64" s="10">
        <v>2025.0</v>
      </c>
      <c r="F64" s="10" t="s">
        <v>34</v>
      </c>
      <c r="G64" s="13"/>
      <c r="H64" s="13"/>
      <c r="I64" s="13">
        <f>_xlfn.FORECAST.LINEAR('BD_LeiturasHidrômetro_PRJ02'!$A64,G:G,A:A)</f>
        <v>6962.672646</v>
      </c>
      <c r="J64" s="14">
        <f>IF('BD_LeiturasHidrômetro_PRJ02'!$G64&amp;'BD_LeiturasHidrômetro_PRJ02'!$H64="",'BD_LeiturasHidrômetro_PRJ02'!$I64,'BD_LeiturasHidrômetro_PRJ02'!$G64&amp;'BD_LeiturasHidrômetro_PRJ02'!$H64)</f>
        <v>6962.672646</v>
      </c>
      <c r="K64" s="14">
        <f t="shared" si="1"/>
        <v>6950.325561</v>
      </c>
      <c r="L64" s="15"/>
      <c r="M64" s="15"/>
      <c r="N64" s="17">
        <f t="shared" si="2"/>
        <v>12.3470852</v>
      </c>
      <c r="O64" s="32" t="s">
        <v>236</v>
      </c>
      <c r="R64" s="18"/>
      <c r="S64" s="19"/>
    </row>
    <row r="65" ht="15.75" customHeight="1">
      <c r="A65" s="10">
        <v>64.0</v>
      </c>
      <c r="B65" s="11" t="s">
        <v>71</v>
      </c>
      <c r="C65" s="12">
        <v>28.0</v>
      </c>
      <c r="D65" s="10" t="s">
        <v>44</v>
      </c>
      <c r="E65" s="10">
        <v>2025.0</v>
      </c>
      <c r="F65" s="10" t="s">
        <v>19</v>
      </c>
      <c r="G65" s="13"/>
      <c r="H65" s="13"/>
      <c r="I65" s="13">
        <f>_xlfn.FORECAST.LINEAR('BD_LeiturasHidrômetro_PRJ02'!$A65,G:G,A:A)</f>
        <v>6975.019731</v>
      </c>
      <c r="J65" s="14">
        <f>IF('BD_LeiturasHidrômetro_PRJ02'!$G65&amp;'BD_LeiturasHidrômetro_PRJ02'!$H65="",'BD_LeiturasHidrômetro_PRJ02'!$I65,'BD_LeiturasHidrômetro_PRJ02'!$G65&amp;'BD_LeiturasHidrômetro_PRJ02'!$H65)</f>
        <v>6975.019731</v>
      </c>
      <c r="K65" s="14">
        <f t="shared" si="1"/>
        <v>6962.672646</v>
      </c>
      <c r="L65" s="15"/>
      <c r="M65" s="15"/>
      <c r="N65" s="17">
        <f t="shared" si="2"/>
        <v>12.3470852</v>
      </c>
      <c r="O65" s="32" t="s">
        <v>236</v>
      </c>
      <c r="R65" s="18"/>
      <c r="S65" s="19"/>
    </row>
    <row r="66" ht="15.75" customHeight="1">
      <c r="A66" s="10">
        <v>65.0</v>
      </c>
      <c r="B66" s="11" t="s">
        <v>72</v>
      </c>
      <c r="C66" s="12">
        <v>29.0</v>
      </c>
      <c r="D66" s="10" t="s">
        <v>44</v>
      </c>
      <c r="E66" s="10">
        <v>2025.0</v>
      </c>
      <c r="F66" s="10" t="s">
        <v>23</v>
      </c>
      <c r="G66" s="13"/>
      <c r="H66" s="13"/>
      <c r="I66" s="14">
        <f>_xlfn.FORECAST.LINEAR('BD_LeiturasHidrômetro_PRJ02'!$A66,G:G,A:A)</f>
        <v>6987.366816</v>
      </c>
      <c r="J66" s="14">
        <f>IF('BD_LeiturasHidrômetro_PRJ02'!$G66&amp;'BD_LeiturasHidrômetro_PRJ02'!$H66="",'BD_LeiturasHidrômetro_PRJ02'!$I66,'BD_LeiturasHidrômetro_PRJ02'!$G66&amp;'BD_LeiturasHidrômetro_PRJ02'!$H66)</f>
        <v>6987.366816</v>
      </c>
      <c r="K66" s="14">
        <f t="shared" si="1"/>
        <v>6975.019731</v>
      </c>
      <c r="L66" s="15"/>
      <c r="M66" s="15"/>
      <c r="N66" s="17">
        <f t="shared" si="2"/>
        <v>12.3470852</v>
      </c>
      <c r="O66" s="32" t="s">
        <v>236</v>
      </c>
      <c r="R66" s="18"/>
      <c r="S66" s="19"/>
    </row>
    <row r="67" ht="15.75" customHeight="1">
      <c r="A67" s="10">
        <v>66.0</v>
      </c>
      <c r="B67" s="11" t="s">
        <v>73</v>
      </c>
      <c r="C67" s="12">
        <v>30.0</v>
      </c>
      <c r="D67" s="10" t="s">
        <v>44</v>
      </c>
      <c r="E67" s="10">
        <v>2025.0</v>
      </c>
      <c r="F67" s="10" t="s">
        <v>26</v>
      </c>
      <c r="G67" s="13"/>
      <c r="H67" s="13"/>
      <c r="I67" s="14">
        <f>_xlfn.FORECAST.LINEAR('BD_LeiturasHidrômetro_PRJ02'!$A67,G:G,A:A)</f>
        <v>6999.713901</v>
      </c>
      <c r="J67" s="14">
        <f>IF('BD_LeiturasHidrômetro_PRJ02'!$G67&amp;'BD_LeiturasHidrômetro_PRJ02'!$H67="",'BD_LeiturasHidrômetro_PRJ02'!$I67,'BD_LeiturasHidrômetro_PRJ02'!$G67&amp;'BD_LeiturasHidrômetro_PRJ02'!$H67)</f>
        <v>6999.713901</v>
      </c>
      <c r="K67" s="14">
        <f t="shared" si="1"/>
        <v>6987.366816</v>
      </c>
      <c r="L67" s="15"/>
      <c r="M67" s="15"/>
      <c r="N67" s="17">
        <f t="shared" si="2"/>
        <v>12.3470852</v>
      </c>
      <c r="O67" s="32" t="s">
        <v>236</v>
      </c>
      <c r="R67" s="18"/>
      <c r="S67" s="19"/>
    </row>
    <row r="68" ht="15.75" customHeight="1">
      <c r="A68" s="10">
        <v>67.0</v>
      </c>
      <c r="B68" s="11" t="s">
        <v>74</v>
      </c>
      <c r="C68" s="12">
        <v>31.0</v>
      </c>
      <c r="D68" s="10" t="s">
        <v>44</v>
      </c>
      <c r="E68" s="10">
        <v>2025.0</v>
      </c>
      <c r="F68" s="10" t="s">
        <v>28</v>
      </c>
      <c r="G68" s="13"/>
      <c r="H68" s="13"/>
      <c r="I68" s="14">
        <f>_xlfn.FORECAST.LINEAR('BD_LeiturasHidrômetro_PRJ02'!$A68,G:G,A:A)</f>
        <v>7012.060987</v>
      </c>
      <c r="J68" s="14">
        <f>IF('BD_LeiturasHidrômetro_PRJ02'!$G68&amp;'BD_LeiturasHidrômetro_PRJ02'!$H68="",'BD_LeiturasHidrômetro_PRJ02'!$I68,'BD_LeiturasHidrômetro_PRJ02'!$G68&amp;'BD_LeiturasHidrômetro_PRJ02'!$H68)</f>
        <v>7012.060987</v>
      </c>
      <c r="K68" s="14">
        <f t="shared" si="1"/>
        <v>6999.713901</v>
      </c>
      <c r="L68" s="15"/>
      <c r="M68" s="15"/>
      <c r="N68" s="17">
        <f t="shared" si="2"/>
        <v>12.3470852</v>
      </c>
      <c r="O68" s="32" t="s">
        <v>236</v>
      </c>
      <c r="R68" s="18"/>
      <c r="S68" s="19"/>
    </row>
    <row r="69" ht="15.75" customHeight="1">
      <c r="A69" s="10">
        <v>68.0</v>
      </c>
      <c r="B69" s="11" t="s">
        <v>75</v>
      </c>
      <c r="C69" s="12">
        <v>1.0</v>
      </c>
      <c r="D69" s="10" t="s">
        <v>76</v>
      </c>
      <c r="E69" s="10">
        <v>2025.0</v>
      </c>
      <c r="F69" s="10" t="s">
        <v>30</v>
      </c>
      <c r="G69" s="13"/>
      <c r="H69" s="13"/>
      <c r="I69" s="14">
        <f>_xlfn.FORECAST.LINEAR('BD_LeiturasHidrômetro_PRJ02'!$A69,G:G,A:A)</f>
        <v>7024.408072</v>
      </c>
      <c r="J69" s="14">
        <f>IF('BD_LeiturasHidrômetro_PRJ02'!$G69&amp;'BD_LeiturasHidrômetro_PRJ02'!$H69="",'BD_LeiturasHidrômetro_PRJ02'!$I69,'BD_LeiturasHidrômetro_PRJ02'!$G69&amp;'BD_LeiturasHidrômetro_PRJ02'!$H69)</f>
        <v>7024.408072</v>
      </c>
      <c r="K69" s="14">
        <f t="shared" si="1"/>
        <v>7012.060987</v>
      </c>
      <c r="L69" s="15"/>
      <c r="M69" s="15"/>
      <c r="N69" s="17">
        <f t="shared" si="2"/>
        <v>12.3470852</v>
      </c>
      <c r="O69" s="32" t="s">
        <v>236</v>
      </c>
      <c r="R69" s="18"/>
      <c r="S69" s="19"/>
    </row>
    <row r="70" ht="15.75" customHeight="1">
      <c r="A70" s="10">
        <v>69.0</v>
      </c>
      <c r="B70" s="11" t="s">
        <v>77</v>
      </c>
      <c r="C70" s="12">
        <v>2.0</v>
      </c>
      <c r="D70" s="10" t="s">
        <v>76</v>
      </c>
      <c r="E70" s="10">
        <v>2025.0</v>
      </c>
      <c r="F70" s="10" t="s">
        <v>32</v>
      </c>
      <c r="G70" s="13"/>
      <c r="H70" s="13"/>
      <c r="I70" s="13">
        <f>_xlfn.FORECAST.LINEAR('BD_LeiturasHidrômetro_PRJ02'!$A70,G:G,A:A)</f>
        <v>7036.755157</v>
      </c>
      <c r="J70" s="14">
        <f>IF('BD_LeiturasHidrômetro_PRJ02'!$G70&amp;'BD_LeiturasHidrômetro_PRJ02'!$H70="",'BD_LeiturasHidrômetro_PRJ02'!$I70,'BD_LeiturasHidrômetro_PRJ02'!$G70&amp;'BD_LeiturasHidrômetro_PRJ02'!$H70)</f>
        <v>7036.755157</v>
      </c>
      <c r="K70" s="14">
        <f t="shared" si="1"/>
        <v>7024.408072</v>
      </c>
      <c r="L70" s="15"/>
      <c r="M70" s="15"/>
      <c r="N70" s="17">
        <f t="shared" si="2"/>
        <v>12.3470852</v>
      </c>
      <c r="O70" s="32" t="s">
        <v>236</v>
      </c>
      <c r="R70" s="18"/>
      <c r="S70" s="19"/>
    </row>
    <row r="71" ht="15.75" customHeight="1">
      <c r="A71" s="10">
        <v>70.0</v>
      </c>
      <c r="B71" s="11" t="s">
        <v>78</v>
      </c>
      <c r="C71" s="12">
        <v>3.0</v>
      </c>
      <c r="D71" s="10" t="s">
        <v>76</v>
      </c>
      <c r="E71" s="10">
        <v>2025.0</v>
      </c>
      <c r="F71" s="10" t="s">
        <v>34</v>
      </c>
      <c r="G71" s="13"/>
      <c r="H71" s="13"/>
      <c r="I71" s="13">
        <f>_xlfn.FORECAST.LINEAR('BD_LeiturasHidrômetro_PRJ02'!$A71,G:G,A:A)</f>
        <v>7049.102242</v>
      </c>
      <c r="J71" s="14">
        <f>IF('BD_LeiturasHidrômetro_PRJ02'!$G71&amp;'BD_LeiturasHidrômetro_PRJ02'!$H71="",'BD_LeiturasHidrômetro_PRJ02'!$I71,'BD_LeiturasHidrômetro_PRJ02'!$G71&amp;'BD_LeiturasHidrômetro_PRJ02'!$H71)</f>
        <v>7049.102242</v>
      </c>
      <c r="K71" s="14">
        <f t="shared" si="1"/>
        <v>7036.755157</v>
      </c>
      <c r="L71" s="15"/>
      <c r="M71" s="15"/>
      <c r="N71" s="17">
        <f t="shared" si="2"/>
        <v>12.3470852</v>
      </c>
      <c r="O71" s="32" t="s">
        <v>236</v>
      </c>
      <c r="R71" s="18"/>
      <c r="S71" s="19"/>
    </row>
    <row r="72" ht="15.75" customHeight="1">
      <c r="A72" s="10">
        <v>71.0</v>
      </c>
      <c r="B72" s="11" t="s">
        <v>79</v>
      </c>
      <c r="C72" s="12">
        <v>4.0</v>
      </c>
      <c r="D72" s="10" t="s">
        <v>76</v>
      </c>
      <c r="E72" s="10">
        <v>2025.0</v>
      </c>
      <c r="F72" s="10" t="s">
        <v>19</v>
      </c>
      <c r="G72" s="13"/>
      <c r="H72" s="13"/>
      <c r="I72" s="13">
        <f>_xlfn.FORECAST.LINEAR('BD_LeiturasHidrômetro_PRJ02'!$A72,G:G,A:A)</f>
        <v>7061.449327</v>
      </c>
      <c r="J72" s="14">
        <f>IF('BD_LeiturasHidrômetro_PRJ02'!$G72&amp;'BD_LeiturasHidrômetro_PRJ02'!$H72="",'BD_LeiturasHidrômetro_PRJ02'!$I72,'BD_LeiturasHidrômetro_PRJ02'!$G72&amp;'BD_LeiturasHidrômetro_PRJ02'!$H72)</f>
        <v>7061.449327</v>
      </c>
      <c r="K72" s="14">
        <f t="shared" si="1"/>
        <v>7049.102242</v>
      </c>
      <c r="L72" s="15"/>
      <c r="M72" s="15"/>
      <c r="N72" s="17">
        <f t="shared" si="2"/>
        <v>12.3470852</v>
      </c>
      <c r="O72" s="32" t="s">
        <v>236</v>
      </c>
      <c r="R72" s="18"/>
      <c r="S72" s="19"/>
    </row>
    <row r="73" ht="15.75" customHeight="1">
      <c r="A73" s="10">
        <v>72.0</v>
      </c>
      <c r="B73" s="11" t="s">
        <v>80</v>
      </c>
      <c r="C73" s="12">
        <v>5.0</v>
      </c>
      <c r="D73" s="10" t="s">
        <v>76</v>
      </c>
      <c r="E73" s="10">
        <v>2025.0</v>
      </c>
      <c r="F73" s="10" t="s">
        <v>23</v>
      </c>
      <c r="G73" s="13"/>
      <c r="H73" s="13"/>
      <c r="I73" s="14">
        <f>_xlfn.FORECAST.LINEAR('BD_LeiturasHidrômetro_PRJ02'!$A73,G:G,A:A)</f>
        <v>7073.796413</v>
      </c>
      <c r="J73" s="14">
        <f>IF('BD_LeiturasHidrômetro_PRJ02'!$G73&amp;'BD_LeiturasHidrômetro_PRJ02'!$H73="",'BD_LeiturasHidrômetro_PRJ02'!$I73,'BD_LeiturasHidrômetro_PRJ02'!$G73&amp;'BD_LeiturasHidrômetro_PRJ02'!$H73)</f>
        <v>7073.796413</v>
      </c>
      <c r="K73" s="14">
        <f t="shared" si="1"/>
        <v>7061.449327</v>
      </c>
      <c r="L73" s="15"/>
      <c r="M73" s="15"/>
      <c r="N73" s="17">
        <f t="shared" si="2"/>
        <v>12.3470852</v>
      </c>
      <c r="O73" s="32" t="s">
        <v>236</v>
      </c>
      <c r="R73" s="18"/>
      <c r="S73" s="19"/>
    </row>
    <row r="74" ht="15.75" customHeight="1">
      <c r="A74" s="10">
        <v>73.0</v>
      </c>
      <c r="B74" s="11" t="s">
        <v>81</v>
      </c>
      <c r="C74" s="12">
        <v>6.0</v>
      </c>
      <c r="D74" s="10" t="s">
        <v>76</v>
      </c>
      <c r="E74" s="10">
        <v>2025.0</v>
      </c>
      <c r="F74" s="10" t="s">
        <v>26</v>
      </c>
      <c r="G74" s="13"/>
      <c r="H74" s="13"/>
      <c r="I74" s="14">
        <f>_xlfn.FORECAST.LINEAR('BD_LeiturasHidrômetro_PRJ02'!$A74,G:G,A:A)</f>
        <v>7086.143498</v>
      </c>
      <c r="J74" s="14">
        <f>IF('BD_LeiturasHidrômetro_PRJ02'!$G74&amp;'BD_LeiturasHidrômetro_PRJ02'!$H74="",'BD_LeiturasHidrômetro_PRJ02'!$I74,'BD_LeiturasHidrômetro_PRJ02'!$G74&amp;'BD_LeiturasHidrômetro_PRJ02'!$H74)</f>
        <v>7086.143498</v>
      </c>
      <c r="K74" s="14">
        <f t="shared" si="1"/>
        <v>7073.796413</v>
      </c>
      <c r="L74" s="15"/>
      <c r="M74" s="15"/>
      <c r="N74" s="17">
        <f t="shared" si="2"/>
        <v>12.3470852</v>
      </c>
      <c r="O74" s="32" t="s">
        <v>236</v>
      </c>
      <c r="R74" s="18"/>
      <c r="S74" s="19"/>
    </row>
    <row r="75" ht="15.75" customHeight="1">
      <c r="A75" s="10">
        <v>74.0</v>
      </c>
      <c r="B75" s="11" t="s">
        <v>82</v>
      </c>
      <c r="C75" s="12">
        <v>7.0</v>
      </c>
      <c r="D75" s="10" t="s">
        <v>76</v>
      </c>
      <c r="E75" s="10">
        <v>2025.0</v>
      </c>
      <c r="F75" s="10" t="s">
        <v>28</v>
      </c>
      <c r="G75" s="13"/>
      <c r="H75" s="13"/>
      <c r="I75" s="14">
        <f>_xlfn.FORECAST.LINEAR('BD_LeiturasHidrômetro_PRJ02'!$A75,G:G,A:A)</f>
        <v>7098.490583</v>
      </c>
      <c r="J75" s="14">
        <f>IF('BD_LeiturasHidrômetro_PRJ02'!$G75&amp;'BD_LeiturasHidrômetro_PRJ02'!$H75="",'BD_LeiturasHidrômetro_PRJ02'!$I75,'BD_LeiturasHidrômetro_PRJ02'!$G75&amp;'BD_LeiturasHidrômetro_PRJ02'!$H75)</f>
        <v>7098.490583</v>
      </c>
      <c r="K75" s="14">
        <f t="shared" si="1"/>
        <v>7086.143498</v>
      </c>
      <c r="L75" s="15"/>
      <c r="M75" s="15"/>
      <c r="N75" s="17">
        <f t="shared" si="2"/>
        <v>12.3470852</v>
      </c>
      <c r="O75" s="32" t="s">
        <v>236</v>
      </c>
      <c r="R75" s="18"/>
      <c r="S75" s="19"/>
    </row>
    <row r="76" ht="15.75" customHeight="1">
      <c r="A76" s="10">
        <v>75.0</v>
      </c>
      <c r="B76" s="11" t="s">
        <v>83</v>
      </c>
      <c r="C76" s="12">
        <v>8.0</v>
      </c>
      <c r="D76" s="10" t="s">
        <v>76</v>
      </c>
      <c r="E76" s="10">
        <v>2025.0</v>
      </c>
      <c r="F76" s="10" t="s">
        <v>30</v>
      </c>
      <c r="G76" s="13"/>
      <c r="H76" s="13"/>
      <c r="I76" s="14">
        <f>_xlfn.FORECAST.LINEAR('BD_LeiturasHidrômetro_PRJ02'!$A76,G:G,A:A)</f>
        <v>7110.837668</v>
      </c>
      <c r="J76" s="14">
        <f>IF('BD_LeiturasHidrômetro_PRJ02'!$G76&amp;'BD_LeiturasHidrômetro_PRJ02'!$H76="",'BD_LeiturasHidrômetro_PRJ02'!$I76,'BD_LeiturasHidrômetro_PRJ02'!$G76&amp;'BD_LeiturasHidrômetro_PRJ02'!$H76)</f>
        <v>7110.837668</v>
      </c>
      <c r="K76" s="14">
        <f t="shared" si="1"/>
        <v>7098.490583</v>
      </c>
      <c r="L76" s="15"/>
      <c r="M76" s="15"/>
      <c r="N76" s="17">
        <f t="shared" si="2"/>
        <v>12.3470852</v>
      </c>
      <c r="O76" s="32" t="s">
        <v>236</v>
      </c>
      <c r="R76" s="18"/>
      <c r="S76" s="19"/>
    </row>
    <row r="77" ht="15.75" customHeight="1">
      <c r="A77" s="10">
        <v>76.0</v>
      </c>
      <c r="B77" s="11" t="s">
        <v>84</v>
      </c>
      <c r="C77" s="12">
        <v>9.0</v>
      </c>
      <c r="D77" s="10" t="s">
        <v>76</v>
      </c>
      <c r="E77" s="10">
        <v>2025.0</v>
      </c>
      <c r="F77" s="10" t="s">
        <v>32</v>
      </c>
      <c r="G77" s="13"/>
      <c r="H77" s="13"/>
      <c r="I77" s="13">
        <f>_xlfn.FORECAST.LINEAR('BD_LeiturasHidrômetro_PRJ02'!$A77,G:G,A:A)</f>
        <v>7123.184753</v>
      </c>
      <c r="J77" s="14">
        <f>IF('BD_LeiturasHidrômetro_PRJ02'!$G77&amp;'BD_LeiturasHidrômetro_PRJ02'!$H77="",'BD_LeiturasHidrômetro_PRJ02'!$I77,'BD_LeiturasHidrômetro_PRJ02'!$G77&amp;'BD_LeiturasHidrômetro_PRJ02'!$H77)</f>
        <v>7123.184753</v>
      </c>
      <c r="K77" s="14">
        <f t="shared" si="1"/>
        <v>7110.837668</v>
      </c>
      <c r="L77" s="15"/>
      <c r="M77" s="15"/>
      <c r="N77" s="17">
        <f t="shared" si="2"/>
        <v>12.3470852</v>
      </c>
      <c r="O77" s="32" t="s">
        <v>236</v>
      </c>
      <c r="R77" s="18"/>
      <c r="S77" s="19"/>
    </row>
    <row r="78" ht="15.75" customHeight="1">
      <c r="A78" s="10">
        <v>77.0</v>
      </c>
      <c r="B78" s="11" t="s">
        <v>85</v>
      </c>
      <c r="C78" s="12">
        <v>10.0</v>
      </c>
      <c r="D78" s="10" t="s">
        <v>76</v>
      </c>
      <c r="E78" s="10">
        <v>2025.0</v>
      </c>
      <c r="F78" s="10" t="s">
        <v>34</v>
      </c>
      <c r="G78" s="13"/>
      <c r="H78" s="13"/>
      <c r="I78" s="13">
        <f>_xlfn.FORECAST.LINEAR('BD_LeiturasHidrômetro_PRJ02'!$A78,G:G,A:A)</f>
        <v>7135.531839</v>
      </c>
      <c r="J78" s="14">
        <f>IF('BD_LeiturasHidrômetro_PRJ02'!$G78&amp;'BD_LeiturasHidrômetro_PRJ02'!$H78="",'BD_LeiturasHidrômetro_PRJ02'!$I78,'BD_LeiturasHidrômetro_PRJ02'!$G78&amp;'BD_LeiturasHidrômetro_PRJ02'!$H78)</f>
        <v>7135.531839</v>
      </c>
      <c r="K78" s="14">
        <f t="shared" si="1"/>
        <v>7123.184753</v>
      </c>
      <c r="L78" s="15"/>
      <c r="M78" s="15"/>
      <c r="N78" s="17">
        <f t="shared" si="2"/>
        <v>12.3470852</v>
      </c>
      <c r="O78" s="32" t="s">
        <v>236</v>
      </c>
      <c r="R78" s="18"/>
      <c r="S78" s="19"/>
    </row>
    <row r="79" ht="15.75" customHeight="1">
      <c r="A79" s="10">
        <v>78.0</v>
      </c>
      <c r="B79" s="11" t="s">
        <v>86</v>
      </c>
      <c r="C79" s="12">
        <v>11.0</v>
      </c>
      <c r="D79" s="10" t="s">
        <v>76</v>
      </c>
      <c r="E79" s="10">
        <v>2025.0</v>
      </c>
      <c r="F79" s="10" t="s">
        <v>19</v>
      </c>
      <c r="G79" s="13"/>
      <c r="H79" s="13"/>
      <c r="I79" s="13">
        <f>_xlfn.FORECAST.LINEAR('BD_LeiturasHidrômetro_PRJ02'!$A79,G:G,A:A)</f>
        <v>7147.878924</v>
      </c>
      <c r="J79" s="14">
        <f>IF('BD_LeiturasHidrômetro_PRJ02'!$G79&amp;'BD_LeiturasHidrômetro_PRJ02'!$H79="",'BD_LeiturasHidrômetro_PRJ02'!$I79,'BD_LeiturasHidrômetro_PRJ02'!$G79&amp;'BD_LeiturasHidrômetro_PRJ02'!$H79)</f>
        <v>7147.878924</v>
      </c>
      <c r="K79" s="14">
        <f t="shared" si="1"/>
        <v>7135.531839</v>
      </c>
      <c r="L79" s="15"/>
      <c r="M79" s="15"/>
      <c r="N79" s="17">
        <f t="shared" si="2"/>
        <v>12.3470852</v>
      </c>
      <c r="O79" s="32" t="s">
        <v>236</v>
      </c>
      <c r="R79" s="18"/>
      <c r="S79" s="19"/>
    </row>
    <row r="80" ht="15.75" customHeight="1">
      <c r="A80" s="10">
        <v>79.0</v>
      </c>
      <c r="B80" s="11" t="s">
        <v>87</v>
      </c>
      <c r="C80" s="12">
        <v>12.0</v>
      </c>
      <c r="D80" s="10" t="s">
        <v>76</v>
      </c>
      <c r="E80" s="10">
        <v>2025.0</v>
      </c>
      <c r="F80" s="10" t="s">
        <v>23</v>
      </c>
      <c r="G80" s="13"/>
      <c r="H80" s="13"/>
      <c r="I80" s="14">
        <f>_xlfn.FORECAST.LINEAR('BD_LeiturasHidrômetro_PRJ02'!$A80,G:G,A:A)</f>
        <v>7160.226009</v>
      </c>
      <c r="J80" s="14">
        <f>IF('BD_LeiturasHidrômetro_PRJ02'!$G80&amp;'BD_LeiturasHidrômetro_PRJ02'!$H80="",'BD_LeiturasHidrômetro_PRJ02'!$I80,'BD_LeiturasHidrômetro_PRJ02'!$G80&amp;'BD_LeiturasHidrômetro_PRJ02'!$H80)</f>
        <v>7160.226009</v>
      </c>
      <c r="K80" s="14">
        <f t="shared" si="1"/>
        <v>7147.878924</v>
      </c>
      <c r="L80" s="15"/>
      <c r="M80" s="15"/>
      <c r="N80" s="17">
        <f t="shared" si="2"/>
        <v>12.3470852</v>
      </c>
      <c r="O80" s="32" t="s">
        <v>236</v>
      </c>
      <c r="R80" s="18"/>
      <c r="S80" s="19"/>
    </row>
    <row r="81" ht="15.75" customHeight="1">
      <c r="A81" s="10">
        <v>80.0</v>
      </c>
      <c r="B81" s="11" t="s">
        <v>88</v>
      </c>
      <c r="C81" s="12">
        <v>13.0</v>
      </c>
      <c r="D81" s="10" t="s">
        <v>76</v>
      </c>
      <c r="E81" s="10">
        <v>2025.0</v>
      </c>
      <c r="F81" s="10" t="s">
        <v>26</v>
      </c>
      <c r="G81" s="13"/>
      <c r="H81" s="13"/>
      <c r="I81" s="14">
        <f>_xlfn.FORECAST.LINEAR('BD_LeiturasHidrômetro_PRJ02'!$A81,G:G,A:A)</f>
        <v>7172.573094</v>
      </c>
      <c r="J81" s="14">
        <f>IF('BD_LeiturasHidrômetro_PRJ02'!$G81&amp;'BD_LeiturasHidrômetro_PRJ02'!$H81="",'BD_LeiturasHidrômetro_PRJ02'!$I81,'BD_LeiturasHidrômetro_PRJ02'!$G81&amp;'BD_LeiturasHidrômetro_PRJ02'!$H81)</f>
        <v>7172.573094</v>
      </c>
      <c r="K81" s="14">
        <f t="shared" si="1"/>
        <v>7160.226009</v>
      </c>
      <c r="L81" s="15"/>
      <c r="M81" s="15"/>
      <c r="N81" s="17">
        <f t="shared" si="2"/>
        <v>12.3470852</v>
      </c>
      <c r="O81" s="32" t="s">
        <v>236</v>
      </c>
      <c r="R81" s="18"/>
      <c r="S81" s="19"/>
    </row>
    <row r="82" ht="15.75" customHeight="1">
      <c r="A82" s="10">
        <v>81.0</v>
      </c>
      <c r="B82" s="11" t="s">
        <v>89</v>
      </c>
      <c r="C82" s="12">
        <v>14.0</v>
      </c>
      <c r="D82" s="10" t="s">
        <v>76</v>
      </c>
      <c r="E82" s="10">
        <v>2025.0</v>
      </c>
      <c r="F82" s="10" t="s">
        <v>28</v>
      </c>
      <c r="G82" s="13"/>
      <c r="H82" s="13"/>
      <c r="I82" s="14">
        <f>_xlfn.FORECAST.LINEAR('BD_LeiturasHidrômetro_PRJ02'!$A82,G:G,A:A)</f>
        <v>7184.920179</v>
      </c>
      <c r="J82" s="14">
        <f>IF('BD_LeiturasHidrômetro_PRJ02'!$G82&amp;'BD_LeiturasHidrômetro_PRJ02'!$H82="",'BD_LeiturasHidrômetro_PRJ02'!$I82,'BD_LeiturasHidrômetro_PRJ02'!$G82&amp;'BD_LeiturasHidrômetro_PRJ02'!$H82)</f>
        <v>7184.920179</v>
      </c>
      <c r="K82" s="14">
        <f t="shared" si="1"/>
        <v>7172.573094</v>
      </c>
      <c r="L82" s="15"/>
      <c r="M82" s="15"/>
      <c r="N82" s="17">
        <f t="shared" si="2"/>
        <v>12.3470852</v>
      </c>
      <c r="O82" s="32" t="s">
        <v>236</v>
      </c>
      <c r="R82" s="18"/>
      <c r="S82" s="19"/>
    </row>
    <row r="83" ht="15.75" customHeight="1">
      <c r="A83" s="10">
        <v>82.0</v>
      </c>
      <c r="B83" s="11" t="s">
        <v>90</v>
      </c>
      <c r="C83" s="12">
        <v>15.0</v>
      </c>
      <c r="D83" s="10" t="s">
        <v>76</v>
      </c>
      <c r="E83" s="10">
        <v>2025.0</v>
      </c>
      <c r="F83" s="10" t="s">
        <v>30</v>
      </c>
      <c r="G83" s="13"/>
      <c r="H83" s="13"/>
      <c r="I83" s="14">
        <f>_xlfn.FORECAST.LINEAR('BD_LeiturasHidrômetro_PRJ02'!$A83,G:G,A:A)</f>
        <v>7197.267265</v>
      </c>
      <c r="J83" s="14">
        <f>IF('BD_LeiturasHidrômetro_PRJ02'!$G83&amp;'BD_LeiturasHidrômetro_PRJ02'!$H83="",'BD_LeiturasHidrômetro_PRJ02'!$I83,'BD_LeiturasHidrômetro_PRJ02'!$G83&amp;'BD_LeiturasHidrômetro_PRJ02'!$H83)</f>
        <v>7197.267265</v>
      </c>
      <c r="K83" s="14">
        <f t="shared" si="1"/>
        <v>7184.920179</v>
      </c>
      <c r="L83" s="15"/>
      <c r="M83" s="15"/>
      <c r="N83" s="17">
        <f t="shared" si="2"/>
        <v>12.3470852</v>
      </c>
      <c r="O83" s="32" t="s">
        <v>236</v>
      </c>
      <c r="R83" s="18"/>
      <c r="S83" s="19"/>
    </row>
    <row r="84" ht="15.75" customHeight="1">
      <c r="A84" s="10">
        <v>83.0</v>
      </c>
      <c r="B84" s="11" t="s">
        <v>91</v>
      </c>
      <c r="C84" s="12">
        <v>16.0</v>
      </c>
      <c r="D84" s="10" t="s">
        <v>76</v>
      </c>
      <c r="E84" s="10">
        <v>2025.0</v>
      </c>
      <c r="F84" s="10" t="s">
        <v>32</v>
      </c>
      <c r="G84" s="13"/>
      <c r="H84" s="13"/>
      <c r="I84" s="13">
        <f>_xlfn.FORECAST.LINEAR('BD_LeiturasHidrômetro_PRJ02'!$A84,G:G,A:A)</f>
        <v>7209.61435</v>
      </c>
      <c r="J84" s="14">
        <f>IF('BD_LeiturasHidrômetro_PRJ02'!$G84&amp;'BD_LeiturasHidrômetro_PRJ02'!$H84="",'BD_LeiturasHidrômetro_PRJ02'!$I84,'BD_LeiturasHidrômetro_PRJ02'!$G84&amp;'BD_LeiturasHidrômetro_PRJ02'!$H84)</f>
        <v>7209.61435</v>
      </c>
      <c r="K84" s="14">
        <f t="shared" si="1"/>
        <v>7197.267265</v>
      </c>
      <c r="L84" s="15"/>
      <c r="M84" s="15"/>
      <c r="N84" s="17">
        <f t="shared" si="2"/>
        <v>12.3470852</v>
      </c>
      <c r="O84" s="32" t="s">
        <v>236</v>
      </c>
      <c r="R84" s="18"/>
      <c r="S84" s="19"/>
    </row>
    <row r="85" ht="15.75" customHeight="1">
      <c r="A85" s="10">
        <v>84.0</v>
      </c>
      <c r="B85" s="11" t="s">
        <v>92</v>
      </c>
      <c r="C85" s="12">
        <v>17.0</v>
      </c>
      <c r="D85" s="10" t="s">
        <v>76</v>
      </c>
      <c r="E85" s="10">
        <v>2025.0</v>
      </c>
      <c r="F85" s="10" t="s">
        <v>34</v>
      </c>
      <c r="G85" s="13"/>
      <c r="H85" s="13"/>
      <c r="I85" s="13">
        <f>_xlfn.FORECAST.LINEAR('BD_LeiturasHidrômetro_PRJ02'!$A85,G:G,A:A)</f>
        <v>7221.961435</v>
      </c>
      <c r="J85" s="14">
        <f>IF('BD_LeiturasHidrômetro_PRJ02'!$G85&amp;'BD_LeiturasHidrômetro_PRJ02'!$H85="",'BD_LeiturasHidrômetro_PRJ02'!$I85,'BD_LeiturasHidrômetro_PRJ02'!$G85&amp;'BD_LeiturasHidrômetro_PRJ02'!$H85)</f>
        <v>7221.961435</v>
      </c>
      <c r="K85" s="14">
        <f t="shared" si="1"/>
        <v>7209.61435</v>
      </c>
      <c r="L85" s="15"/>
      <c r="M85" s="15"/>
      <c r="N85" s="17">
        <f t="shared" si="2"/>
        <v>12.3470852</v>
      </c>
      <c r="O85" s="32" t="s">
        <v>236</v>
      </c>
      <c r="R85" s="18"/>
      <c r="S85" s="19"/>
    </row>
    <row r="86" ht="15.75" customHeight="1">
      <c r="A86" s="10">
        <v>85.0</v>
      </c>
      <c r="B86" s="11" t="s">
        <v>93</v>
      </c>
      <c r="C86" s="12">
        <v>18.0</v>
      </c>
      <c r="D86" s="10" t="s">
        <v>76</v>
      </c>
      <c r="E86" s="10">
        <v>2025.0</v>
      </c>
      <c r="F86" s="10" t="s">
        <v>19</v>
      </c>
      <c r="G86" s="13"/>
      <c r="H86" s="13"/>
      <c r="I86" s="13">
        <f>_xlfn.FORECAST.LINEAR('BD_LeiturasHidrômetro_PRJ02'!$A86,G:G,A:A)</f>
        <v>7234.30852</v>
      </c>
      <c r="J86" s="14">
        <f>IF('BD_LeiturasHidrômetro_PRJ02'!$G86&amp;'BD_LeiturasHidrômetro_PRJ02'!$H86="",'BD_LeiturasHidrômetro_PRJ02'!$I86,'BD_LeiturasHidrômetro_PRJ02'!$G86&amp;'BD_LeiturasHidrômetro_PRJ02'!$H86)</f>
        <v>7234.30852</v>
      </c>
      <c r="K86" s="14">
        <f t="shared" si="1"/>
        <v>7221.961435</v>
      </c>
      <c r="L86" s="15"/>
      <c r="M86" s="15"/>
      <c r="N86" s="17">
        <f t="shared" si="2"/>
        <v>12.3470852</v>
      </c>
      <c r="O86" s="32" t="s">
        <v>236</v>
      </c>
      <c r="R86" s="18"/>
      <c r="S86" s="19"/>
    </row>
    <row r="87" ht="15.75" customHeight="1">
      <c r="A87" s="10">
        <v>86.0</v>
      </c>
      <c r="B87" s="11" t="s">
        <v>94</v>
      </c>
      <c r="C87" s="12">
        <v>19.0</v>
      </c>
      <c r="D87" s="10" t="s">
        <v>76</v>
      </c>
      <c r="E87" s="10">
        <v>2025.0</v>
      </c>
      <c r="F87" s="10" t="s">
        <v>23</v>
      </c>
      <c r="G87" s="13"/>
      <c r="H87" s="13"/>
      <c r="I87" s="14">
        <f>_xlfn.FORECAST.LINEAR('BD_LeiturasHidrômetro_PRJ02'!$A87,G:G,A:A)</f>
        <v>7246.655605</v>
      </c>
      <c r="J87" s="14">
        <f>IF('BD_LeiturasHidrômetro_PRJ02'!$G87&amp;'BD_LeiturasHidrômetro_PRJ02'!$H87="",'BD_LeiturasHidrômetro_PRJ02'!$I87,'BD_LeiturasHidrômetro_PRJ02'!$G87&amp;'BD_LeiturasHidrômetro_PRJ02'!$H87)</f>
        <v>7246.655605</v>
      </c>
      <c r="K87" s="14">
        <f t="shared" si="1"/>
        <v>7234.30852</v>
      </c>
      <c r="L87" s="15"/>
      <c r="M87" s="15"/>
      <c r="N87" s="17">
        <f t="shared" si="2"/>
        <v>12.3470852</v>
      </c>
      <c r="O87" s="32" t="s">
        <v>236</v>
      </c>
      <c r="R87" s="18"/>
      <c r="S87" s="19"/>
    </row>
    <row r="88" ht="15.75" customHeight="1">
      <c r="A88" s="10">
        <v>87.0</v>
      </c>
      <c r="B88" s="11" t="s">
        <v>95</v>
      </c>
      <c r="C88" s="12">
        <v>20.0</v>
      </c>
      <c r="D88" s="10" t="s">
        <v>76</v>
      </c>
      <c r="E88" s="10">
        <v>2025.0</v>
      </c>
      <c r="F88" s="10" t="s">
        <v>26</v>
      </c>
      <c r="G88" s="13"/>
      <c r="H88" s="13"/>
      <c r="I88" s="14">
        <f>_xlfn.FORECAST.LINEAR('BD_LeiturasHidrômetro_PRJ02'!$A88,G:G,A:A)</f>
        <v>7259.002691</v>
      </c>
      <c r="J88" s="14">
        <f>IF('BD_LeiturasHidrômetro_PRJ02'!$G88&amp;'BD_LeiturasHidrômetro_PRJ02'!$H88="",'BD_LeiturasHidrômetro_PRJ02'!$I88,'BD_LeiturasHidrômetro_PRJ02'!$G88&amp;'BD_LeiturasHidrômetro_PRJ02'!$H88)</f>
        <v>7259.002691</v>
      </c>
      <c r="K88" s="14">
        <f t="shared" si="1"/>
        <v>7246.655605</v>
      </c>
      <c r="L88" s="15"/>
      <c r="M88" s="15"/>
      <c r="N88" s="17">
        <f t="shared" si="2"/>
        <v>12.3470852</v>
      </c>
      <c r="O88" s="32" t="s">
        <v>236</v>
      </c>
      <c r="R88" s="18"/>
      <c r="S88" s="19"/>
    </row>
    <row r="89" ht="15.75" customHeight="1">
      <c r="A89" s="10">
        <v>88.0</v>
      </c>
      <c r="B89" s="11" t="s">
        <v>96</v>
      </c>
      <c r="C89" s="12">
        <v>21.0</v>
      </c>
      <c r="D89" s="10" t="s">
        <v>76</v>
      </c>
      <c r="E89" s="10">
        <v>2025.0</v>
      </c>
      <c r="F89" s="10" t="s">
        <v>28</v>
      </c>
      <c r="G89" s="13"/>
      <c r="H89" s="13"/>
      <c r="I89" s="14">
        <f>_xlfn.FORECAST.LINEAR('BD_LeiturasHidrômetro_PRJ02'!$A89,G:G,A:A)</f>
        <v>7271.349776</v>
      </c>
      <c r="J89" s="14">
        <f>IF('BD_LeiturasHidrômetro_PRJ02'!$G89&amp;'BD_LeiturasHidrômetro_PRJ02'!$H89="",'BD_LeiturasHidrômetro_PRJ02'!$I89,'BD_LeiturasHidrômetro_PRJ02'!$G89&amp;'BD_LeiturasHidrômetro_PRJ02'!$H89)</f>
        <v>7271.349776</v>
      </c>
      <c r="K89" s="14">
        <f t="shared" si="1"/>
        <v>7259.002691</v>
      </c>
      <c r="L89" s="15"/>
      <c r="M89" s="15"/>
      <c r="N89" s="17">
        <f t="shared" si="2"/>
        <v>12.3470852</v>
      </c>
      <c r="O89" s="32" t="s">
        <v>236</v>
      </c>
      <c r="R89" s="18"/>
      <c r="S89" s="19"/>
    </row>
    <row r="90" ht="15.75" customHeight="1">
      <c r="A90" s="10">
        <v>89.0</v>
      </c>
      <c r="B90" s="11" t="s">
        <v>97</v>
      </c>
      <c r="C90" s="12">
        <v>22.0</v>
      </c>
      <c r="D90" s="10" t="s">
        <v>76</v>
      </c>
      <c r="E90" s="10">
        <v>2025.0</v>
      </c>
      <c r="F90" s="10" t="s">
        <v>30</v>
      </c>
      <c r="G90" s="13"/>
      <c r="H90" s="13"/>
      <c r="I90" s="14">
        <f>_xlfn.FORECAST.LINEAR('BD_LeiturasHidrômetro_PRJ02'!$A90,G:G,A:A)</f>
        <v>7283.696861</v>
      </c>
      <c r="J90" s="14">
        <f>IF('BD_LeiturasHidrômetro_PRJ02'!$G90&amp;'BD_LeiturasHidrômetro_PRJ02'!$H90="",'BD_LeiturasHidrômetro_PRJ02'!$I90,'BD_LeiturasHidrômetro_PRJ02'!$G90&amp;'BD_LeiturasHidrômetro_PRJ02'!$H90)</f>
        <v>7283.696861</v>
      </c>
      <c r="K90" s="14">
        <f t="shared" si="1"/>
        <v>7271.349776</v>
      </c>
      <c r="L90" s="15"/>
      <c r="M90" s="15"/>
      <c r="N90" s="17">
        <f t="shared" si="2"/>
        <v>12.3470852</v>
      </c>
      <c r="O90" s="32" t="s">
        <v>236</v>
      </c>
      <c r="R90" s="18"/>
      <c r="S90" s="19"/>
    </row>
    <row r="91" ht="15.75" customHeight="1">
      <c r="A91" s="10">
        <v>90.0</v>
      </c>
      <c r="B91" s="11" t="s">
        <v>98</v>
      </c>
      <c r="C91" s="12">
        <v>23.0</v>
      </c>
      <c r="D91" s="10" t="s">
        <v>76</v>
      </c>
      <c r="E91" s="10">
        <v>2025.0</v>
      </c>
      <c r="F91" s="10" t="s">
        <v>32</v>
      </c>
      <c r="G91" s="13"/>
      <c r="H91" s="13"/>
      <c r="I91" s="13">
        <f>_xlfn.FORECAST.LINEAR('BD_LeiturasHidrômetro_PRJ02'!$A91,G:G,A:A)</f>
        <v>7296.043946</v>
      </c>
      <c r="J91" s="14">
        <f>IF('BD_LeiturasHidrômetro_PRJ02'!$G91&amp;'BD_LeiturasHidrômetro_PRJ02'!$H91="",'BD_LeiturasHidrômetro_PRJ02'!$I91,'BD_LeiturasHidrômetro_PRJ02'!$G91&amp;'BD_LeiturasHidrômetro_PRJ02'!$H91)</f>
        <v>7296.043946</v>
      </c>
      <c r="K91" s="14">
        <f t="shared" si="1"/>
        <v>7283.696861</v>
      </c>
      <c r="L91" s="15"/>
      <c r="M91" s="15"/>
      <c r="N91" s="17">
        <f t="shared" si="2"/>
        <v>12.3470852</v>
      </c>
      <c r="O91" s="32" t="s">
        <v>236</v>
      </c>
      <c r="R91" s="18"/>
      <c r="S91" s="19"/>
    </row>
    <row r="92" ht="15.75" customHeight="1">
      <c r="A92" s="10">
        <v>91.0</v>
      </c>
      <c r="B92" s="11" t="s">
        <v>99</v>
      </c>
      <c r="C92" s="12">
        <v>24.0</v>
      </c>
      <c r="D92" s="10" t="s">
        <v>76</v>
      </c>
      <c r="E92" s="10">
        <v>2025.0</v>
      </c>
      <c r="F92" s="10" t="s">
        <v>34</v>
      </c>
      <c r="G92" s="13"/>
      <c r="H92" s="13"/>
      <c r="I92" s="13">
        <f>_xlfn.FORECAST.LINEAR('BD_LeiturasHidrômetro_PRJ02'!$A92,G:G,A:A)</f>
        <v>7308.391031</v>
      </c>
      <c r="J92" s="14">
        <f>IF('BD_LeiturasHidrômetro_PRJ02'!$G92&amp;'BD_LeiturasHidrômetro_PRJ02'!$H92="",'BD_LeiturasHidrômetro_PRJ02'!$I92,'BD_LeiturasHidrômetro_PRJ02'!$G92&amp;'BD_LeiturasHidrômetro_PRJ02'!$H92)</f>
        <v>7308.391031</v>
      </c>
      <c r="K92" s="14">
        <f t="shared" si="1"/>
        <v>7296.043946</v>
      </c>
      <c r="L92" s="15"/>
      <c r="M92" s="15"/>
      <c r="N92" s="17">
        <f t="shared" si="2"/>
        <v>12.3470852</v>
      </c>
      <c r="O92" s="32" t="s">
        <v>236</v>
      </c>
      <c r="R92" s="18"/>
      <c r="S92" s="19"/>
    </row>
    <row r="93" ht="15.75" customHeight="1">
      <c r="A93" s="10">
        <v>92.0</v>
      </c>
      <c r="B93" s="11" t="s">
        <v>100</v>
      </c>
      <c r="C93" s="12">
        <v>25.0</v>
      </c>
      <c r="D93" s="10" t="s">
        <v>76</v>
      </c>
      <c r="E93" s="10">
        <v>2025.0</v>
      </c>
      <c r="F93" s="10" t="s">
        <v>19</v>
      </c>
      <c r="G93" s="13"/>
      <c r="H93" s="13"/>
      <c r="I93" s="13">
        <f>_xlfn.FORECAST.LINEAR('BD_LeiturasHidrômetro_PRJ02'!$A93,G:G,A:A)</f>
        <v>7320.738117</v>
      </c>
      <c r="J93" s="14">
        <f>IF('BD_LeiturasHidrômetro_PRJ02'!$G93&amp;'BD_LeiturasHidrômetro_PRJ02'!$H93="",'BD_LeiturasHidrômetro_PRJ02'!$I93,'BD_LeiturasHidrômetro_PRJ02'!$G93&amp;'BD_LeiturasHidrômetro_PRJ02'!$H93)</f>
        <v>7320.738117</v>
      </c>
      <c r="K93" s="14">
        <f t="shared" si="1"/>
        <v>7308.391031</v>
      </c>
      <c r="L93" s="15"/>
      <c r="M93" s="15"/>
      <c r="N93" s="17">
        <f t="shared" si="2"/>
        <v>12.3470852</v>
      </c>
      <c r="O93" s="32" t="s">
        <v>236</v>
      </c>
      <c r="R93" s="18"/>
      <c r="S93" s="19"/>
    </row>
    <row r="94" ht="15.75" customHeight="1">
      <c r="A94" s="10">
        <v>93.0</v>
      </c>
      <c r="B94" s="11" t="s">
        <v>101</v>
      </c>
      <c r="C94" s="12">
        <v>26.0</v>
      </c>
      <c r="D94" s="10" t="s">
        <v>76</v>
      </c>
      <c r="E94" s="10">
        <v>2025.0</v>
      </c>
      <c r="F94" s="10" t="s">
        <v>23</v>
      </c>
      <c r="G94" s="13"/>
      <c r="H94" s="13"/>
      <c r="I94" s="14">
        <f>_xlfn.FORECAST.LINEAR('BD_LeiturasHidrômetro_PRJ02'!$A94,G:G,A:A)</f>
        <v>7333.085202</v>
      </c>
      <c r="J94" s="14">
        <f>IF('BD_LeiturasHidrômetro_PRJ02'!$G94&amp;'BD_LeiturasHidrômetro_PRJ02'!$H94="",'BD_LeiturasHidrômetro_PRJ02'!$I94,'BD_LeiturasHidrômetro_PRJ02'!$G94&amp;'BD_LeiturasHidrômetro_PRJ02'!$H94)</f>
        <v>7333.085202</v>
      </c>
      <c r="K94" s="14">
        <f t="shared" si="1"/>
        <v>7320.738117</v>
      </c>
      <c r="L94" s="15"/>
      <c r="M94" s="15"/>
      <c r="N94" s="17">
        <f t="shared" si="2"/>
        <v>12.3470852</v>
      </c>
      <c r="O94" s="32" t="s">
        <v>236</v>
      </c>
      <c r="R94" s="18"/>
      <c r="S94" s="19"/>
    </row>
    <row r="95" ht="15.75" customHeight="1">
      <c r="A95" s="10">
        <v>94.0</v>
      </c>
      <c r="B95" s="11" t="s">
        <v>102</v>
      </c>
      <c r="C95" s="12">
        <v>27.0</v>
      </c>
      <c r="D95" s="10" t="s">
        <v>76</v>
      </c>
      <c r="E95" s="10">
        <v>2025.0</v>
      </c>
      <c r="F95" s="10" t="s">
        <v>26</v>
      </c>
      <c r="G95" s="13"/>
      <c r="H95" s="13"/>
      <c r="I95" s="14">
        <f>_xlfn.FORECAST.LINEAR('BD_LeiturasHidrômetro_PRJ02'!$A95,G:G,A:A)</f>
        <v>7345.432287</v>
      </c>
      <c r="J95" s="14">
        <f>IF('BD_LeiturasHidrômetro_PRJ02'!$G95&amp;'BD_LeiturasHidrômetro_PRJ02'!$H95="",'BD_LeiturasHidrômetro_PRJ02'!$I95,'BD_LeiturasHidrômetro_PRJ02'!$G95&amp;'BD_LeiturasHidrômetro_PRJ02'!$H95)</f>
        <v>7345.432287</v>
      </c>
      <c r="K95" s="14">
        <f t="shared" si="1"/>
        <v>7333.085202</v>
      </c>
      <c r="L95" s="15"/>
      <c r="M95" s="15"/>
      <c r="N95" s="17">
        <f t="shared" si="2"/>
        <v>12.3470852</v>
      </c>
      <c r="O95" s="32" t="s">
        <v>236</v>
      </c>
      <c r="R95" s="18"/>
      <c r="S95" s="19"/>
    </row>
    <row r="96" ht="15.75" customHeight="1">
      <c r="A96" s="10">
        <v>95.0</v>
      </c>
      <c r="B96" s="11" t="s">
        <v>103</v>
      </c>
      <c r="C96" s="12">
        <v>28.0</v>
      </c>
      <c r="D96" s="10" t="s">
        <v>76</v>
      </c>
      <c r="E96" s="10">
        <v>2025.0</v>
      </c>
      <c r="F96" s="10" t="s">
        <v>28</v>
      </c>
      <c r="G96" s="13"/>
      <c r="H96" s="13"/>
      <c r="I96" s="14">
        <f>_xlfn.FORECAST.LINEAR('BD_LeiturasHidrômetro_PRJ02'!$A96,G:G,A:A)</f>
        <v>7357.779372</v>
      </c>
      <c r="J96" s="14">
        <f>IF('BD_LeiturasHidrômetro_PRJ02'!$G96&amp;'BD_LeiturasHidrômetro_PRJ02'!$H96="",'BD_LeiturasHidrômetro_PRJ02'!$I96,'BD_LeiturasHidrômetro_PRJ02'!$G96&amp;'BD_LeiturasHidrômetro_PRJ02'!$H96)</f>
        <v>7357.779372</v>
      </c>
      <c r="K96" s="14">
        <f t="shared" si="1"/>
        <v>7345.432287</v>
      </c>
      <c r="L96" s="15"/>
      <c r="M96" s="15"/>
      <c r="N96" s="17">
        <f t="shared" si="2"/>
        <v>12.3470852</v>
      </c>
      <c r="O96" s="32" t="s">
        <v>236</v>
      </c>
      <c r="R96" s="18"/>
      <c r="S96" s="19"/>
    </row>
    <row r="97" ht="15.75" customHeight="1">
      <c r="A97" s="10">
        <v>96.0</v>
      </c>
      <c r="B97" s="11" t="s">
        <v>104</v>
      </c>
      <c r="C97" s="12">
        <v>29.0</v>
      </c>
      <c r="D97" s="10" t="s">
        <v>76</v>
      </c>
      <c r="E97" s="10">
        <v>2025.0</v>
      </c>
      <c r="F97" s="10" t="s">
        <v>30</v>
      </c>
      <c r="G97" s="13"/>
      <c r="H97" s="13"/>
      <c r="I97" s="14">
        <f>_xlfn.FORECAST.LINEAR('BD_LeiturasHidrômetro_PRJ02'!$A97,G:G,A:A)</f>
        <v>7370.126457</v>
      </c>
      <c r="J97" s="14">
        <f>IF('BD_LeiturasHidrômetro_PRJ02'!$G97&amp;'BD_LeiturasHidrômetro_PRJ02'!$H97="",'BD_LeiturasHidrômetro_PRJ02'!$I97,'BD_LeiturasHidrômetro_PRJ02'!$G97&amp;'BD_LeiturasHidrômetro_PRJ02'!$H97)</f>
        <v>7370.126457</v>
      </c>
      <c r="K97" s="14">
        <f t="shared" si="1"/>
        <v>7357.779372</v>
      </c>
      <c r="L97" s="15"/>
      <c r="M97" s="15"/>
      <c r="N97" s="17">
        <f t="shared" si="2"/>
        <v>12.3470852</v>
      </c>
      <c r="O97" s="32" t="s">
        <v>236</v>
      </c>
      <c r="R97" s="18"/>
      <c r="S97" s="19"/>
    </row>
    <row r="98" ht="15.75" customHeight="1">
      <c r="A98" s="10">
        <v>97.0</v>
      </c>
      <c r="B98" s="11" t="s">
        <v>105</v>
      </c>
      <c r="C98" s="12">
        <v>30.0</v>
      </c>
      <c r="D98" s="10" t="s">
        <v>76</v>
      </c>
      <c r="E98" s="10">
        <v>2025.0</v>
      </c>
      <c r="F98" s="10" t="s">
        <v>32</v>
      </c>
      <c r="G98" s="13"/>
      <c r="H98" s="13"/>
      <c r="I98" s="13">
        <f>_xlfn.FORECAST.LINEAR('BD_LeiturasHidrômetro_PRJ02'!$A98,G:G,A:A)</f>
        <v>7382.473543</v>
      </c>
      <c r="J98" s="14">
        <f>IF('BD_LeiturasHidrômetro_PRJ02'!$G98&amp;'BD_LeiturasHidrômetro_PRJ02'!$H98="",'BD_LeiturasHidrômetro_PRJ02'!$I98,'BD_LeiturasHidrômetro_PRJ02'!$G98&amp;'BD_LeiturasHidrômetro_PRJ02'!$H98)</f>
        <v>7382.473543</v>
      </c>
      <c r="K98" s="14">
        <f t="shared" si="1"/>
        <v>7370.126457</v>
      </c>
      <c r="L98" s="15"/>
      <c r="M98" s="15"/>
      <c r="N98" s="17">
        <f t="shared" si="2"/>
        <v>12.3470852</v>
      </c>
      <c r="O98" s="32" t="s">
        <v>236</v>
      </c>
      <c r="R98" s="18"/>
      <c r="S98" s="19"/>
    </row>
    <row r="99" ht="15.75" customHeight="1">
      <c r="A99" s="10">
        <v>98.0</v>
      </c>
      <c r="B99" s="11" t="s">
        <v>106</v>
      </c>
      <c r="C99" s="12">
        <v>31.0</v>
      </c>
      <c r="D99" s="10" t="s">
        <v>76</v>
      </c>
      <c r="E99" s="10">
        <v>2025.0</v>
      </c>
      <c r="F99" s="10" t="s">
        <v>34</v>
      </c>
      <c r="G99" s="13"/>
      <c r="H99" s="13"/>
      <c r="I99" s="13">
        <f>_xlfn.FORECAST.LINEAR('BD_LeiturasHidrômetro_PRJ02'!$A99,G:G,A:A)</f>
        <v>7394.820628</v>
      </c>
      <c r="J99" s="14">
        <f>IF('BD_LeiturasHidrômetro_PRJ02'!$G99&amp;'BD_LeiturasHidrômetro_PRJ02'!$H99="",'BD_LeiturasHidrômetro_PRJ02'!$I99,'BD_LeiturasHidrômetro_PRJ02'!$G99&amp;'BD_LeiturasHidrômetro_PRJ02'!$H99)</f>
        <v>7394.820628</v>
      </c>
      <c r="K99" s="14">
        <f t="shared" si="1"/>
        <v>7382.473543</v>
      </c>
      <c r="L99" s="15"/>
      <c r="M99" s="15"/>
      <c r="N99" s="17">
        <f t="shared" si="2"/>
        <v>12.3470852</v>
      </c>
      <c r="O99" s="32" t="s">
        <v>236</v>
      </c>
      <c r="R99" s="18"/>
      <c r="S99" s="19"/>
    </row>
    <row r="100" ht="15.75" customHeight="1">
      <c r="A100" s="10">
        <v>99.0</v>
      </c>
      <c r="B100" s="11" t="s">
        <v>107</v>
      </c>
      <c r="C100" s="12">
        <v>1.0</v>
      </c>
      <c r="D100" s="10" t="s">
        <v>108</v>
      </c>
      <c r="E100" s="10">
        <v>2025.0</v>
      </c>
      <c r="F100" s="10" t="s">
        <v>19</v>
      </c>
      <c r="G100" s="13"/>
      <c r="H100" s="13"/>
      <c r="I100" s="13">
        <f>_xlfn.FORECAST.LINEAR('BD_LeiturasHidrômetro_PRJ02'!$A100,G:G,A:A)</f>
        <v>7407.167713</v>
      </c>
      <c r="J100" s="14">
        <f>IF('BD_LeiturasHidrômetro_PRJ02'!$G100&amp;'BD_LeiturasHidrômetro_PRJ02'!$H100="",'BD_LeiturasHidrômetro_PRJ02'!$I100,'BD_LeiturasHidrômetro_PRJ02'!$G100&amp;'BD_LeiturasHidrômetro_PRJ02'!$H100)</f>
        <v>7407.167713</v>
      </c>
      <c r="K100" s="14">
        <f t="shared" si="1"/>
        <v>7394.820628</v>
      </c>
      <c r="L100" s="15"/>
      <c r="M100" s="15"/>
      <c r="N100" s="17">
        <f t="shared" si="2"/>
        <v>12.3470852</v>
      </c>
      <c r="O100" s="32" t="s">
        <v>236</v>
      </c>
      <c r="R100" s="18"/>
      <c r="S100" s="19"/>
    </row>
    <row r="101" ht="15.75" customHeight="1">
      <c r="A101" s="10">
        <v>100.0</v>
      </c>
      <c r="B101" s="11" t="s">
        <v>109</v>
      </c>
      <c r="C101" s="12">
        <v>2.0</v>
      </c>
      <c r="D101" s="10" t="s">
        <v>108</v>
      </c>
      <c r="E101" s="10">
        <v>2025.0</v>
      </c>
      <c r="F101" s="10" t="s">
        <v>23</v>
      </c>
      <c r="G101" s="13"/>
      <c r="H101" s="13"/>
      <c r="I101" s="14">
        <f>_xlfn.FORECAST.LINEAR('BD_LeiturasHidrômetro_PRJ02'!$A101,G:G,A:A)</f>
        <v>7419.514798</v>
      </c>
      <c r="J101" s="14">
        <f>IF('BD_LeiturasHidrômetro_PRJ02'!$G101&amp;'BD_LeiturasHidrômetro_PRJ02'!$H101="",'BD_LeiturasHidrômetro_PRJ02'!$I101,'BD_LeiturasHidrômetro_PRJ02'!$G101&amp;'BD_LeiturasHidrômetro_PRJ02'!$H101)</f>
        <v>7419.514798</v>
      </c>
      <c r="K101" s="14">
        <f t="shared" si="1"/>
        <v>7407.167713</v>
      </c>
      <c r="L101" s="15"/>
      <c r="M101" s="15"/>
      <c r="N101" s="17">
        <f t="shared" si="2"/>
        <v>12.3470852</v>
      </c>
      <c r="O101" s="32" t="s">
        <v>236</v>
      </c>
      <c r="R101" s="18"/>
      <c r="S101" s="19"/>
    </row>
    <row r="102" ht="15.75" customHeight="1">
      <c r="A102" s="10">
        <v>101.0</v>
      </c>
      <c r="B102" s="11" t="s">
        <v>110</v>
      </c>
      <c r="C102" s="12">
        <v>3.0</v>
      </c>
      <c r="D102" s="10" t="s">
        <v>108</v>
      </c>
      <c r="E102" s="10">
        <v>2025.0</v>
      </c>
      <c r="F102" s="10" t="s">
        <v>26</v>
      </c>
      <c r="G102" s="13"/>
      <c r="H102" s="13"/>
      <c r="I102" s="14">
        <f>_xlfn.FORECAST.LINEAR('BD_LeiturasHidrômetro_PRJ02'!$A102,G:G,A:A)</f>
        <v>7431.861883</v>
      </c>
      <c r="J102" s="14">
        <f>IF('BD_LeiturasHidrômetro_PRJ02'!$G102&amp;'BD_LeiturasHidrômetro_PRJ02'!$H102="",'BD_LeiturasHidrômetro_PRJ02'!$I102,'BD_LeiturasHidrômetro_PRJ02'!$G102&amp;'BD_LeiturasHidrômetro_PRJ02'!$H102)</f>
        <v>7431.861883</v>
      </c>
      <c r="K102" s="14">
        <f t="shared" si="1"/>
        <v>7419.514798</v>
      </c>
      <c r="L102" s="15"/>
      <c r="M102" s="15"/>
      <c r="N102" s="17">
        <f t="shared" si="2"/>
        <v>12.3470852</v>
      </c>
      <c r="O102" s="32" t="s">
        <v>236</v>
      </c>
      <c r="R102" s="18"/>
      <c r="S102" s="19"/>
    </row>
    <row r="103" ht="15.75" customHeight="1">
      <c r="A103" s="10">
        <v>102.0</v>
      </c>
      <c r="B103" s="11" t="s">
        <v>111</v>
      </c>
      <c r="C103" s="12">
        <v>4.0</v>
      </c>
      <c r="D103" s="10" t="s">
        <v>108</v>
      </c>
      <c r="E103" s="10">
        <v>2025.0</v>
      </c>
      <c r="F103" s="10" t="s">
        <v>28</v>
      </c>
      <c r="G103" s="13"/>
      <c r="H103" s="13"/>
      <c r="I103" s="14">
        <f>_xlfn.FORECAST.LINEAR('BD_LeiturasHidrômetro_PRJ02'!$A103,G:G,A:A)</f>
        <v>7444.208969</v>
      </c>
      <c r="J103" s="14">
        <f>IF('BD_LeiturasHidrômetro_PRJ02'!$G103&amp;'BD_LeiturasHidrômetro_PRJ02'!$H103="",'BD_LeiturasHidrômetro_PRJ02'!$I103,'BD_LeiturasHidrômetro_PRJ02'!$G103&amp;'BD_LeiturasHidrômetro_PRJ02'!$H103)</f>
        <v>7444.208969</v>
      </c>
      <c r="K103" s="14">
        <f t="shared" si="1"/>
        <v>7431.861883</v>
      </c>
      <c r="L103" s="15"/>
      <c r="M103" s="15"/>
      <c r="N103" s="17">
        <f t="shared" si="2"/>
        <v>12.3470852</v>
      </c>
      <c r="O103" s="32" t="s">
        <v>236</v>
      </c>
      <c r="R103" s="18"/>
      <c r="S103" s="19"/>
    </row>
    <row r="104" ht="15.75" customHeight="1">
      <c r="A104" s="10">
        <v>103.0</v>
      </c>
      <c r="B104" s="11" t="s">
        <v>112</v>
      </c>
      <c r="C104" s="12">
        <v>5.0</v>
      </c>
      <c r="D104" s="10" t="s">
        <v>108</v>
      </c>
      <c r="E104" s="10">
        <v>2025.0</v>
      </c>
      <c r="F104" s="10" t="s">
        <v>30</v>
      </c>
      <c r="G104" s="13"/>
      <c r="H104" s="13"/>
      <c r="I104" s="14">
        <f>_xlfn.FORECAST.LINEAR('BD_LeiturasHidrômetro_PRJ02'!$A104,G:G,A:A)</f>
        <v>7456.556054</v>
      </c>
      <c r="J104" s="14">
        <f>IF('BD_LeiturasHidrômetro_PRJ02'!$G104&amp;'BD_LeiturasHidrômetro_PRJ02'!$H104="",'BD_LeiturasHidrômetro_PRJ02'!$I104,'BD_LeiturasHidrômetro_PRJ02'!$G104&amp;'BD_LeiturasHidrômetro_PRJ02'!$H104)</f>
        <v>7456.556054</v>
      </c>
      <c r="K104" s="14">
        <f t="shared" si="1"/>
        <v>7444.208969</v>
      </c>
      <c r="L104" s="15"/>
      <c r="M104" s="15"/>
      <c r="N104" s="17">
        <f t="shared" si="2"/>
        <v>12.3470852</v>
      </c>
      <c r="O104" s="32" t="s">
        <v>236</v>
      </c>
      <c r="R104" s="18"/>
      <c r="S104" s="19"/>
    </row>
    <row r="105" ht="15.75" customHeight="1">
      <c r="A105" s="10">
        <v>104.0</v>
      </c>
      <c r="B105" s="11" t="s">
        <v>113</v>
      </c>
      <c r="C105" s="12">
        <v>6.0</v>
      </c>
      <c r="D105" s="10" t="s">
        <v>108</v>
      </c>
      <c r="E105" s="10">
        <v>2025.0</v>
      </c>
      <c r="F105" s="10" t="s">
        <v>32</v>
      </c>
      <c r="G105" s="13"/>
      <c r="H105" s="13"/>
      <c r="I105" s="13">
        <f>_xlfn.FORECAST.LINEAR('BD_LeiturasHidrômetro_PRJ02'!$A105,G:G,A:A)</f>
        <v>7468.903139</v>
      </c>
      <c r="J105" s="14">
        <f>IF('BD_LeiturasHidrômetro_PRJ02'!$G105&amp;'BD_LeiturasHidrômetro_PRJ02'!$H105="",'BD_LeiturasHidrômetro_PRJ02'!$I105,'BD_LeiturasHidrômetro_PRJ02'!$G105&amp;'BD_LeiturasHidrômetro_PRJ02'!$H105)</f>
        <v>7468.903139</v>
      </c>
      <c r="K105" s="14">
        <f t="shared" si="1"/>
        <v>7456.556054</v>
      </c>
      <c r="L105" s="15"/>
      <c r="M105" s="15"/>
      <c r="N105" s="17">
        <f t="shared" si="2"/>
        <v>12.3470852</v>
      </c>
      <c r="O105" s="32" t="s">
        <v>236</v>
      </c>
      <c r="R105" s="18"/>
      <c r="S105" s="19"/>
    </row>
    <row r="106" ht="15.75" customHeight="1">
      <c r="A106" s="10">
        <v>105.0</v>
      </c>
      <c r="B106" s="11" t="s">
        <v>114</v>
      </c>
      <c r="C106" s="12">
        <v>7.0</v>
      </c>
      <c r="D106" s="10" t="s">
        <v>108</v>
      </c>
      <c r="E106" s="10">
        <v>2025.0</v>
      </c>
      <c r="F106" s="10" t="s">
        <v>34</v>
      </c>
      <c r="G106" s="13"/>
      <c r="H106" s="13"/>
      <c r="I106" s="13">
        <f>_xlfn.FORECAST.LINEAR('BD_LeiturasHidrômetro_PRJ02'!$A106,G:G,A:A)</f>
        <v>7481.250224</v>
      </c>
      <c r="J106" s="14">
        <f>IF('BD_LeiturasHidrômetro_PRJ02'!$G106&amp;'BD_LeiturasHidrômetro_PRJ02'!$H106="",'BD_LeiturasHidrômetro_PRJ02'!$I106,'BD_LeiturasHidrômetro_PRJ02'!$G106&amp;'BD_LeiturasHidrômetro_PRJ02'!$H106)</f>
        <v>7481.250224</v>
      </c>
      <c r="K106" s="14">
        <f t="shared" si="1"/>
        <v>7468.903139</v>
      </c>
      <c r="L106" s="15"/>
      <c r="M106" s="15"/>
      <c r="N106" s="17">
        <f t="shared" si="2"/>
        <v>12.3470852</v>
      </c>
      <c r="O106" s="32" t="s">
        <v>236</v>
      </c>
      <c r="R106" s="18"/>
      <c r="S106" s="19"/>
    </row>
    <row r="107" ht="15.75" customHeight="1">
      <c r="A107" s="10">
        <v>106.0</v>
      </c>
      <c r="B107" s="11" t="s">
        <v>115</v>
      </c>
      <c r="C107" s="12">
        <v>8.0</v>
      </c>
      <c r="D107" s="10" t="s">
        <v>108</v>
      </c>
      <c r="E107" s="10">
        <v>2025.0</v>
      </c>
      <c r="F107" s="10" t="s">
        <v>19</v>
      </c>
      <c r="G107" s="13"/>
      <c r="H107" s="13"/>
      <c r="I107" s="13">
        <f>_xlfn.FORECAST.LINEAR('BD_LeiturasHidrômetro_PRJ02'!$A107,G:G,A:A)</f>
        <v>7493.597309</v>
      </c>
      <c r="J107" s="14">
        <f>IF('BD_LeiturasHidrômetro_PRJ02'!$G107&amp;'BD_LeiturasHidrômetro_PRJ02'!$H107="",'BD_LeiturasHidrômetro_PRJ02'!$I107,'BD_LeiturasHidrômetro_PRJ02'!$G107&amp;'BD_LeiturasHidrômetro_PRJ02'!$H107)</f>
        <v>7493.597309</v>
      </c>
      <c r="K107" s="14">
        <f t="shared" si="1"/>
        <v>7481.250224</v>
      </c>
      <c r="L107" s="15"/>
      <c r="M107" s="15"/>
      <c r="N107" s="17">
        <f t="shared" si="2"/>
        <v>12.3470852</v>
      </c>
      <c r="O107" s="32" t="s">
        <v>236</v>
      </c>
      <c r="R107" s="18"/>
      <c r="S107" s="19"/>
    </row>
    <row r="108" ht="15.75" customHeight="1">
      <c r="A108" s="10">
        <v>107.0</v>
      </c>
      <c r="B108" s="11" t="s">
        <v>116</v>
      </c>
      <c r="C108" s="12">
        <v>9.0</v>
      </c>
      <c r="D108" s="10" t="s">
        <v>108</v>
      </c>
      <c r="E108" s="10">
        <v>2025.0</v>
      </c>
      <c r="F108" s="10" t="s">
        <v>23</v>
      </c>
      <c r="G108" s="13"/>
      <c r="H108" s="13"/>
      <c r="I108" s="14">
        <f>_xlfn.FORECAST.LINEAR('BD_LeiturasHidrômetro_PRJ02'!$A108,G:G,A:A)</f>
        <v>7505.944395</v>
      </c>
      <c r="J108" s="14">
        <f>IF('BD_LeiturasHidrômetro_PRJ02'!$G108&amp;'BD_LeiturasHidrômetro_PRJ02'!$H108="",'BD_LeiturasHidrômetro_PRJ02'!$I108,'BD_LeiturasHidrômetro_PRJ02'!$G108&amp;'BD_LeiturasHidrômetro_PRJ02'!$H108)</f>
        <v>7505.944395</v>
      </c>
      <c r="K108" s="14">
        <f t="shared" si="1"/>
        <v>7493.597309</v>
      </c>
      <c r="L108" s="15"/>
      <c r="M108" s="15"/>
      <c r="N108" s="17">
        <f t="shared" si="2"/>
        <v>12.3470852</v>
      </c>
      <c r="O108" s="32" t="s">
        <v>236</v>
      </c>
      <c r="R108" s="18"/>
      <c r="S108" s="19"/>
    </row>
    <row r="109" ht="15.75" customHeight="1">
      <c r="A109" s="10">
        <v>108.0</v>
      </c>
      <c r="B109" s="11" t="s">
        <v>117</v>
      </c>
      <c r="C109" s="12">
        <v>10.0</v>
      </c>
      <c r="D109" s="10" t="s">
        <v>108</v>
      </c>
      <c r="E109" s="10">
        <v>2025.0</v>
      </c>
      <c r="F109" s="10" t="s">
        <v>26</v>
      </c>
      <c r="G109" s="13"/>
      <c r="H109" s="13"/>
      <c r="I109" s="14">
        <f>_xlfn.FORECAST.LINEAR('BD_LeiturasHidrômetro_PRJ02'!$A109,G:G,A:A)</f>
        <v>7518.29148</v>
      </c>
      <c r="J109" s="14">
        <f>IF('BD_LeiturasHidrômetro_PRJ02'!$G109&amp;'BD_LeiturasHidrômetro_PRJ02'!$H109="",'BD_LeiturasHidrômetro_PRJ02'!$I109,'BD_LeiturasHidrômetro_PRJ02'!$G109&amp;'BD_LeiturasHidrômetro_PRJ02'!$H109)</f>
        <v>7518.29148</v>
      </c>
      <c r="K109" s="14">
        <f t="shared" si="1"/>
        <v>7505.944395</v>
      </c>
      <c r="L109" s="15"/>
      <c r="M109" s="15"/>
      <c r="N109" s="17">
        <f t="shared" si="2"/>
        <v>12.3470852</v>
      </c>
      <c r="O109" s="32" t="s">
        <v>236</v>
      </c>
      <c r="R109" s="18"/>
      <c r="S109" s="19"/>
    </row>
    <row r="110" ht="15.75" customHeight="1">
      <c r="A110" s="10">
        <v>109.0</v>
      </c>
      <c r="B110" s="11" t="s">
        <v>118</v>
      </c>
      <c r="C110" s="12">
        <v>11.0</v>
      </c>
      <c r="D110" s="10" t="s">
        <v>108</v>
      </c>
      <c r="E110" s="10">
        <v>2025.0</v>
      </c>
      <c r="F110" s="10" t="s">
        <v>28</v>
      </c>
      <c r="G110" s="13"/>
      <c r="H110" s="13"/>
      <c r="I110" s="14">
        <f>_xlfn.FORECAST.LINEAR('BD_LeiturasHidrômetro_PRJ02'!$A110,G:G,A:A)</f>
        <v>7530.638565</v>
      </c>
      <c r="J110" s="14">
        <f>IF('BD_LeiturasHidrômetro_PRJ02'!$G110&amp;'BD_LeiturasHidrômetro_PRJ02'!$H110="",'BD_LeiturasHidrômetro_PRJ02'!$I110,'BD_LeiturasHidrômetro_PRJ02'!$G110&amp;'BD_LeiturasHidrômetro_PRJ02'!$H110)</f>
        <v>7530.638565</v>
      </c>
      <c r="K110" s="14">
        <f t="shared" si="1"/>
        <v>7518.29148</v>
      </c>
      <c r="L110" s="15"/>
      <c r="M110" s="15"/>
      <c r="N110" s="17">
        <f t="shared" si="2"/>
        <v>12.3470852</v>
      </c>
      <c r="O110" s="32" t="s">
        <v>236</v>
      </c>
      <c r="R110" s="18"/>
      <c r="S110" s="19"/>
    </row>
    <row r="111" ht="15.75" customHeight="1">
      <c r="A111" s="10">
        <v>110.0</v>
      </c>
      <c r="B111" s="11" t="s">
        <v>119</v>
      </c>
      <c r="C111" s="12">
        <v>12.0</v>
      </c>
      <c r="D111" s="10" t="s">
        <v>108</v>
      </c>
      <c r="E111" s="10">
        <v>2025.0</v>
      </c>
      <c r="F111" s="10" t="s">
        <v>30</v>
      </c>
      <c r="G111" s="13"/>
      <c r="H111" s="13"/>
      <c r="I111" s="14">
        <f>_xlfn.FORECAST.LINEAR('BD_LeiturasHidrômetro_PRJ02'!$A111,G:G,A:A)</f>
        <v>7542.98565</v>
      </c>
      <c r="J111" s="14">
        <f>IF('BD_LeiturasHidrômetro_PRJ02'!$G111&amp;'BD_LeiturasHidrômetro_PRJ02'!$H111="",'BD_LeiturasHidrômetro_PRJ02'!$I111,'BD_LeiturasHidrômetro_PRJ02'!$G111&amp;'BD_LeiturasHidrômetro_PRJ02'!$H111)</f>
        <v>7542.98565</v>
      </c>
      <c r="K111" s="14">
        <f t="shared" si="1"/>
        <v>7530.638565</v>
      </c>
      <c r="L111" s="15"/>
      <c r="M111" s="15"/>
      <c r="N111" s="17">
        <f t="shared" si="2"/>
        <v>12.3470852</v>
      </c>
      <c r="O111" s="32" t="s">
        <v>236</v>
      </c>
      <c r="R111" s="18"/>
      <c r="S111" s="19"/>
    </row>
    <row r="112" ht="15.75" customHeight="1">
      <c r="A112" s="10">
        <v>111.0</v>
      </c>
      <c r="B112" s="11" t="s">
        <v>120</v>
      </c>
      <c r="C112" s="12">
        <v>13.0</v>
      </c>
      <c r="D112" s="10" t="s">
        <v>108</v>
      </c>
      <c r="E112" s="10">
        <v>2025.0</v>
      </c>
      <c r="F112" s="10" t="s">
        <v>32</v>
      </c>
      <c r="G112" s="13"/>
      <c r="H112" s="13"/>
      <c r="I112" s="13">
        <f>_xlfn.FORECAST.LINEAR('BD_LeiturasHidrômetro_PRJ02'!$A112,G:G,A:A)</f>
        <v>7555.332735</v>
      </c>
      <c r="J112" s="14">
        <f>IF('BD_LeiturasHidrômetro_PRJ02'!$G112&amp;'BD_LeiturasHidrômetro_PRJ02'!$H112="",'BD_LeiturasHidrômetro_PRJ02'!$I112,'BD_LeiturasHidrômetro_PRJ02'!$G112&amp;'BD_LeiturasHidrômetro_PRJ02'!$H112)</f>
        <v>7555.332735</v>
      </c>
      <c r="K112" s="14">
        <f t="shared" si="1"/>
        <v>7542.98565</v>
      </c>
      <c r="L112" s="15"/>
      <c r="M112" s="15"/>
      <c r="N112" s="17">
        <f t="shared" si="2"/>
        <v>12.3470852</v>
      </c>
      <c r="O112" s="32" t="s">
        <v>236</v>
      </c>
      <c r="R112" s="18"/>
      <c r="S112" s="19"/>
    </row>
    <row r="113" ht="15.75" customHeight="1">
      <c r="A113" s="10">
        <v>112.0</v>
      </c>
      <c r="B113" s="11" t="s">
        <v>121</v>
      </c>
      <c r="C113" s="12">
        <v>14.0</v>
      </c>
      <c r="D113" s="10" t="s">
        <v>108</v>
      </c>
      <c r="E113" s="10">
        <v>2025.0</v>
      </c>
      <c r="F113" s="10" t="s">
        <v>34</v>
      </c>
      <c r="G113" s="13"/>
      <c r="H113" s="13"/>
      <c r="I113" s="13">
        <f>_xlfn.FORECAST.LINEAR('BD_LeiturasHidrômetro_PRJ02'!$A113,G:G,A:A)</f>
        <v>7567.679821</v>
      </c>
      <c r="J113" s="14">
        <f>IF('BD_LeiturasHidrômetro_PRJ02'!$G113&amp;'BD_LeiturasHidrômetro_PRJ02'!$H113="",'BD_LeiturasHidrômetro_PRJ02'!$I113,'BD_LeiturasHidrômetro_PRJ02'!$G113&amp;'BD_LeiturasHidrômetro_PRJ02'!$H113)</f>
        <v>7567.679821</v>
      </c>
      <c r="K113" s="14">
        <f t="shared" si="1"/>
        <v>7555.332735</v>
      </c>
      <c r="L113" s="15"/>
      <c r="M113" s="15"/>
      <c r="N113" s="17">
        <f t="shared" si="2"/>
        <v>12.3470852</v>
      </c>
      <c r="O113" s="32" t="s">
        <v>236</v>
      </c>
      <c r="R113" s="18"/>
      <c r="S113" s="19"/>
    </row>
    <row r="114" ht="15.75" customHeight="1">
      <c r="A114" s="10">
        <v>113.0</v>
      </c>
      <c r="B114" s="11" t="s">
        <v>122</v>
      </c>
      <c r="C114" s="12">
        <v>15.0</v>
      </c>
      <c r="D114" s="10" t="s">
        <v>108</v>
      </c>
      <c r="E114" s="10">
        <v>2025.0</v>
      </c>
      <c r="F114" s="10" t="s">
        <v>19</v>
      </c>
      <c r="G114" s="13"/>
      <c r="H114" s="13"/>
      <c r="I114" s="13">
        <f>_xlfn.FORECAST.LINEAR('BD_LeiturasHidrômetro_PRJ02'!$A114,G:G,A:A)</f>
        <v>7580.026906</v>
      </c>
      <c r="J114" s="14">
        <f>IF('BD_LeiturasHidrômetro_PRJ02'!$G114&amp;'BD_LeiturasHidrômetro_PRJ02'!$H114="",'BD_LeiturasHidrômetro_PRJ02'!$I114,'BD_LeiturasHidrômetro_PRJ02'!$G114&amp;'BD_LeiturasHidrômetro_PRJ02'!$H114)</f>
        <v>7580.026906</v>
      </c>
      <c r="K114" s="14">
        <f t="shared" si="1"/>
        <v>7567.679821</v>
      </c>
      <c r="L114" s="15"/>
      <c r="M114" s="15"/>
      <c r="N114" s="17">
        <f t="shared" si="2"/>
        <v>12.3470852</v>
      </c>
      <c r="O114" s="32" t="s">
        <v>236</v>
      </c>
      <c r="R114" s="18"/>
      <c r="S114" s="19"/>
    </row>
    <row r="115" ht="15.75" customHeight="1">
      <c r="A115" s="10">
        <v>114.0</v>
      </c>
      <c r="B115" s="11" t="s">
        <v>123</v>
      </c>
      <c r="C115" s="12">
        <v>16.0</v>
      </c>
      <c r="D115" s="10" t="s">
        <v>108</v>
      </c>
      <c r="E115" s="10">
        <v>2025.0</v>
      </c>
      <c r="F115" s="10" t="s">
        <v>23</v>
      </c>
      <c r="G115" s="13"/>
      <c r="H115" s="13"/>
      <c r="I115" s="14">
        <f>_xlfn.FORECAST.LINEAR('BD_LeiturasHidrômetro_PRJ02'!$A115,G:G,A:A)</f>
        <v>7592.373991</v>
      </c>
      <c r="J115" s="14">
        <f>IF('BD_LeiturasHidrômetro_PRJ02'!$G115&amp;'BD_LeiturasHidrômetro_PRJ02'!$H115="",'BD_LeiturasHidrômetro_PRJ02'!$I115,'BD_LeiturasHidrômetro_PRJ02'!$G115&amp;'BD_LeiturasHidrômetro_PRJ02'!$H115)</f>
        <v>7592.373991</v>
      </c>
      <c r="K115" s="14">
        <f t="shared" si="1"/>
        <v>7580.026906</v>
      </c>
      <c r="L115" s="15"/>
      <c r="M115" s="15"/>
      <c r="N115" s="17">
        <f t="shared" si="2"/>
        <v>12.3470852</v>
      </c>
      <c r="O115" s="32" t="s">
        <v>236</v>
      </c>
      <c r="R115" s="18"/>
      <c r="S115" s="19"/>
    </row>
    <row r="116" ht="15.75" customHeight="1">
      <c r="A116" s="10">
        <v>115.0</v>
      </c>
      <c r="B116" s="11" t="s">
        <v>124</v>
      </c>
      <c r="C116" s="12">
        <v>17.0</v>
      </c>
      <c r="D116" s="10" t="s">
        <v>108</v>
      </c>
      <c r="E116" s="10">
        <v>2025.0</v>
      </c>
      <c r="F116" s="10" t="s">
        <v>26</v>
      </c>
      <c r="G116" s="13"/>
      <c r="H116" s="13"/>
      <c r="I116" s="14">
        <f>_xlfn.FORECAST.LINEAR('BD_LeiturasHidrômetro_PRJ02'!$A116,G:G,A:A)</f>
        <v>7604.721076</v>
      </c>
      <c r="J116" s="14">
        <f>IF('BD_LeiturasHidrômetro_PRJ02'!$G116&amp;'BD_LeiturasHidrômetro_PRJ02'!$H116="",'BD_LeiturasHidrômetro_PRJ02'!$I116,'BD_LeiturasHidrômetro_PRJ02'!$G116&amp;'BD_LeiturasHidrômetro_PRJ02'!$H116)</f>
        <v>7604.721076</v>
      </c>
      <c r="K116" s="14">
        <f t="shared" si="1"/>
        <v>7592.373991</v>
      </c>
      <c r="L116" s="15"/>
      <c r="M116" s="15"/>
      <c r="N116" s="17">
        <f t="shared" si="2"/>
        <v>12.3470852</v>
      </c>
      <c r="O116" s="32" t="s">
        <v>236</v>
      </c>
      <c r="R116" s="18"/>
      <c r="S116" s="19"/>
    </row>
    <row r="117" ht="15.75" customHeight="1">
      <c r="A117" s="10">
        <v>116.0</v>
      </c>
      <c r="B117" s="11" t="s">
        <v>125</v>
      </c>
      <c r="C117" s="12">
        <v>18.0</v>
      </c>
      <c r="D117" s="10" t="s">
        <v>108</v>
      </c>
      <c r="E117" s="10">
        <v>2025.0</v>
      </c>
      <c r="F117" s="10" t="s">
        <v>28</v>
      </c>
      <c r="G117" s="13"/>
      <c r="H117" s="13"/>
      <c r="I117" s="14">
        <f>_xlfn.FORECAST.LINEAR('BD_LeiturasHidrômetro_PRJ02'!$A117,G:G,A:A)</f>
        <v>7617.068161</v>
      </c>
      <c r="J117" s="14">
        <f>IF('BD_LeiturasHidrômetro_PRJ02'!$G117&amp;'BD_LeiturasHidrômetro_PRJ02'!$H117="",'BD_LeiturasHidrômetro_PRJ02'!$I117,'BD_LeiturasHidrômetro_PRJ02'!$G117&amp;'BD_LeiturasHidrômetro_PRJ02'!$H117)</f>
        <v>7617.068161</v>
      </c>
      <c r="K117" s="14">
        <f t="shared" si="1"/>
        <v>7604.721076</v>
      </c>
      <c r="L117" s="15"/>
      <c r="M117" s="15"/>
      <c r="N117" s="17">
        <f t="shared" si="2"/>
        <v>12.3470852</v>
      </c>
      <c r="O117" s="32" t="s">
        <v>236</v>
      </c>
      <c r="R117" s="18"/>
      <c r="S117" s="19"/>
    </row>
    <row r="118" ht="15.75" customHeight="1">
      <c r="A118" s="10">
        <v>117.0</v>
      </c>
      <c r="B118" s="11" t="s">
        <v>126</v>
      </c>
      <c r="C118" s="12">
        <v>19.0</v>
      </c>
      <c r="D118" s="10" t="s">
        <v>108</v>
      </c>
      <c r="E118" s="10">
        <v>2025.0</v>
      </c>
      <c r="F118" s="10" t="s">
        <v>30</v>
      </c>
      <c r="G118" s="13"/>
      <c r="H118" s="13"/>
      <c r="I118" s="14">
        <f>_xlfn.FORECAST.LINEAR('BD_LeiturasHidrômetro_PRJ02'!$A118,G:G,A:A)</f>
        <v>7629.415247</v>
      </c>
      <c r="J118" s="14">
        <f>IF('BD_LeiturasHidrômetro_PRJ02'!$G118&amp;'BD_LeiturasHidrômetro_PRJ02'!$H118="",'BD_LeiturasHidrômetro_PRJ02'!$I118,'BD_LeiturasHidrômetro_PRJ02'!$G118&amp;'BD_LeiturasHidrômetro_PRJ02'!$H118)</f>
        <v>7629.415247</v>
      </c>
      <c r="K118" s="14">
        <f t="shared" si="1"/>
        <v>7617.068161</v>
      </c>
      <c r="L118" s="15"/>
      <c r="M118" s="15"/>
      <c r="N118" s="17">
        <f t="shared" si="2"/>
        <v>12.3470852</v>
      </c>
      <c r="O118" s="32" t="s">
        <v>236</v>
      </c>
      <c r="R118" s="18"/>
      <c r="S118" s="19"/>
    </row>
    <row r="119" ht="15.75" customHeight="1">
      <c r="A119" s="10">
        <v>118.0</v>
      </c>
      <c r="B119" s="11" t="s">
        <v>127</v>
      </c>
      <c r="C119" s="12">
        <v>20.0</v>
      </c>
      <c r="D119" s="10" t="s">
        <v>108</v>
      </c>
      <c r="E119" s="10">
        <v>2025.0</v>
      </c>
      <c r="F119" s="10" t="s">
        <v>32</v>
      </c>
      <c r="G119" s="13"/>
      <c r="H119" s="13"/>
      <c r="I119" s="13">
        <f>_xlfn.FORECAST.LINEAR('BD_LeiturasHidrômetro_PRJ02'!$A119,G:G,A:A)</f>
        <v>7641.762332</v>
      </c>
      <c r="J119" s="14">
        <f>IF('BD_LeiturasHidrômetro_PRJ02'!$G119&amp;'BD_LeiturasHidrômetro_PRJ02'!$H119="",'BD_LeiturasHidrômetro_PRJ02'!$I119,'BD_LeiturasHidrômetro_PRJ02'!$G119&amp;'BD_LeiturasHidrômetro_PRJ02'!$H119)</f>
        <v>7641.762332</v>
      </c>
      <c r="K119" s="14">
        <f t="shared" si="1"/>
        <v>7629.415247</v>
      </c>
      <c r="L119" s="15"/>
      <c r="M119" s="15"/>
      <c r="N119" s="17">
        <f t="shared" si="2"/>
        <v>12.3470852</v>
      </c>
      <c r="O119" s="32" t="s">
        <v>236</v>
      </c>
      <c r="R119" s="18"/>
      <c r="S119" s="19"/>
    </row>
    <row r="120" ht="15.75" customHeight="1">
      <c r="A120" s="10">
        <v>119.0</v>
      </c>
      <c r="B120" s="11" t="s">
        <v>128</v>
      </c>
      <c r="C120" s="12">
        <v>21.0</v>
      </c>
      <c r="D120" s="10" t="s">
        <v>108</v>
      </c>
      <c r="E120" s="10">
        <v>2025.0</v>
      </c>
      <c r="F120" s="10" t="s">
        <v>34</v>
      </c>
      <c r="G120" s="13"/>
      <c r="H120" s="13"/>
      <c r="I120" s="13">
        <f>_xlfn.FORECAST.LINEAR('BD_LeiturasHidrômetro_PRJ02'!$A120,G:G,A:A)</f>
        <v>7654.109417</v>
      </c>
      <c r="J120" s="14">
        <f>IF('BD_LeiturasHidrômetro_PRJ02'!$G120&amp;'BD_LeiturasHidrômetro_PRJ02'!$H120="",'BD_LeiturasHidrômetro_PRJ02'!$I120,'BD_LeiturasHidrômetro_PRJ02'!$G120&amp;'BD_LeiturasHidrômetro_PRJ02'!$H120)</f>
        <v>7654.109417</v>
      </c>
      <c r="K120" s="14">
        <f t="shared" si="1"/>
        <v>7641.762332</v>
      </c>
      <c r="L120" s="15"/>
      <c r="M120" s="15"/>
      <c r="N120" s="17">
        <f t="shared" si="2"/>
        <v>12.3470852</v>
      </c>
      <c r="O120" s="32" t="s">
        <v>236</v>
      </c>
      <c r="R120" s="18"/>
      <c r="S120" s="19"/>
    </row>
    <row r="121" ht="15.75" customHeight="1">
      <c r="A121" s="10">
        <v>120.0</v>
      </c>
      <c r="B121" s="11" t="s">
        <v>129</v>
      </c>
      <c r="C121" s="12">
        <v>22.0</v>
      </c>
      <c r="D121" s="10" t="s">
        <v>108</v>
      </c>
      <c r="E121" s="10">
        <v>2025.0</v>
      </c>
      <c r="F121" s="10" t="s">
        <v>19</v>
      </c>
      <c r="G121" s="13"/>
      <c r="H121" s="13"/>
      <c r="I121" s="13">
        <f>_xlfn.FORECAST.LINEAR('BD_LeiturasHidrômetro_PRJ02'!$A121,G:G,A:A)</f>
        <v>7666.456502</v>
      </c>
      <c r="J121" s="14">
        <f>IF('BD_LeiturasHidrômetro_PRJ02'!$G121&amp;'BD_LeiturasHidrômetro_PRJ02'!$H121="",'BD_LeiturasHidrômetro_PRJ02'!$I121,'BD_LeiturasHidrômetro_PRJ02'!$G121&amp;'BD_LeiturasHidrômetro_PRJ02'!$H121)</f>
        <v>7666.456502</v>
      </c>
      <c r="K121" s="14">
        <f t="shared" si="1"/>
        <v>7654.109417</v>
      </c>
      <c r="L121" s="15"/>
      <c r="M121" s="15"/>
      <c r="N121" s="17">
        <f t="shared" si="2"/>
        <v>12.3470852</v>
      </c>
      <c r="O121" s="32" t="s">
        <v>236</v>
      </c>
      <c r="R121" s="18"/>
      <c r="S121" s="19"/>
    </row>
    <row r="122" ht="15.75" customHeight="1">
      <c r="A122" s="10">
        <v>121.0</v>
      </c>
      <c r="B122" s="11" t="s">
        <v>130</v>
      </c>
      <c r="C122" s="12">
        <v>23.0</v>
      </c>
      <c r="D122" s="10" t="s">
        <v>108</v>
      </c>
      <c r="E122" s="10">
        <v>2025.0</v>
      </c>
      <c r="F122" s="10" t="s">
        <v>23</v>
      </c>
      <c r="G122" s="13"/>
      <c r="H122" s="13"/>
      <c r="I122" s="14">
        <f>_xlfn.FORECAST.LINEAR('BD_LeiturasHidrômetro_PRJ02'!$A122,G:G,A:A)</f>
        <v>7678.803587</v>
      </c>
      <c r="J122" s="14">
        <f>IF('BD_LeiturasHidrômetro_PRJ02'!$G122&amp;'BD_LeiturasHidrômetro_PRJ02'!$H122="",'BD_LeiturasHidrômetro_PRJ02'!$I122,'BD_LeiturasHidrômetro_PRJ02'!$G122&amp;'BD_LeiturasHidrômetro_PRJ02'!$H122)</f>
        <v>7678.803587</v>
      </c>
      <c r="K122" s="14">
        <f t="shared" si="1"/>
        <v>7666.456502</v>
      </c>
      <c r="L122" s="15"/>
      <c r="M122" s="15"/>
      <c r="N122" s="17">
        <f t="shared" si="2"/>
        <v>12.3470852</v>
      </c>
      <c r="O122" s="32" t="s">
        <v>236</v>
      </c>
      <c r="S122" s="19"/>
    </row>
    <row r="123" ht="15.75" customHeight="1">
      <c r="A123" s="10">
        <v>122.0</v>
      </c>
      <c r="B123" s="11" t="s">
        <v>131</v>
      </c>
      <c r="C123" s="12">
        <v>24.0</v>
      </c>
      <c r="D123" s="10" t="s">
        <v>108</v>
      </c>
      <c r="E123" s="10">
        <v>2025.0</v>
      </c>
      <c r="F123" s="10" t="s">
        <v>26</v>
      </c>
      <c r="G123" s="13"/>
      <c r="H123" s="13"/>
      <c r="I123" s="14">
        <f>_xlfn.FORECAST.LINEAR('BD_LeiturasHidrômetro_PRJ02'!$A123,G:G,A:A)</f>
        <v>7691.150673</v>
      </c>
      <c r="J123" s="14">
        <f>IF('BD_LeiturasHidrômetro_PRJ02'!$G123&amp;'BD_LeiturasHidrômetro_PRJ02'!$H123="",'BD_LeiturasHidrômetro_PRJ02'!$I123,'BD_LeiturasHidrômetro_PRJ02'!$G123&amp;'BD_LeiturasHidrômetro_PRJ02'!$H123)</f>
        <v>7691.150673</v>
      </c>
      <c r="K123" s="14">
        <f t="shared" si="1"/>
        <v>7678.803587</v>
      </c>
      <c r="L123" s="15"/>
      <c r="M123" s="15"/>
      <c r="N123" s="17">
        <f t="shared" si="2"/>
        <v>12.3470852</v>
      </c>
      <c r="O123" s="32" t="s">
        <v>236</v>
      </c>
      <c r="S123" s="19"/>
    </row>
    <row r="124" ht="15.75" customHeight="1">
      <c r="A124" s="10">
        <v>123.0</v>
      </c>
      <c r="B124" s="11" t="s">
        <v>132</v>
      </c>
      <c r="C124" s="12">
        <v>25.0</v>
      </c>
      <c r="D124" s="10" t="s">
        <v>108</v>
      </c>
      <c r="E124" s="10">
        <v>2025.0</v>
      </c>
      <c r="F124" s="10" t="s">
        <v>28</v>
      </c>
      <c r="G124" s="13"/>
      <c r="H124" s="13"/>
      <c r="I124" s="14">
        <f>_xlfn.FORECAST.LINEAR('BD_LeiturasHidrômetro_PRJ02'!$A124,G:G,A:A)</f>
        <v>7703.497758</v>
      </c>
      <c r="J124" s="14">
        <f>IF('BD_LeiturasHidrômetro_PRJ02'!$G124&amp;'BD_LeiturasHidrômetro_PRJ02'!$H124="",'BD_LeiturasHidrômetro_PRJ02'!$I124,'BD_LeiturasHidrômetro_PRJ02'!$G124&amp;'BD_LeiturasHidrômetro_PRJ02'!$H124)</f>
        <v>7703.497758</v>
      </c>
      <c r="K124" s="14">
        <f t="shared" si="1"/>
        <v>7691.150673</v>
      </c>
      <c r="L124" s="15"/>
      <c r="M124" s="15"/>
      <c r="N124" s="17">
        <f t="shared" si="2"/>
        <v>12.3470852</v>
      </c>
      <c r="O124" s="32" t="s">
        <v>236</v>
      </c>
      <c r="S124" s="19"/>
    </row>
    <row r="125" ht="15.75" customHeight="1">
      <c r="A125" s="10">
        <v>124.0</v>
      </c>
      <c r="B125" s="11" t="s">
        <v>133</v>
      </c>
      <c r="C125" s="12">
        <v>26.0</v>
      </c>
      <c r="D125" s="10" t="s">
        <v>108</v>
      </c>
      <c r="E125" s="10">
        <v>2025.0</v>
      </c>
      <c r="F125" s="10" t="s">
        <v>30</v>
      </c>
      <c r="G125" s="13"/>
      <c r="H125" s="13"/>
      <c r="I125" s="14">
        <f>_xlfn.FORECAST.LINEAR('BD_LeiturasHidrômetro_PRJ02'!$A125,G:G,A:A)</f>
        <v>7715.844843</v>
      </c>
      <c r="J125" s="14">
        <f>IF('BD_LeiturasHidrômetro_PRJ02'!$G125&amp;'BD_LeiturasHidrômetro_PRJ02'!$H125="",'BD_LeiturasHidrômetro_PRJ02'!$I125,'BD_LeiturasHidrômetro_PRJ02'!$G125&amp;'BD_LeiturasHidrômetro_PRJ02'!$H125)</f>
        <v>7715.844843</v>
      </c>
      <c r="K125" s="14">
        <f t="shared" si="1"/>
        <v>7703.497758</v>
      </c>
      <c r="L125" s="15"/>
      <c r="M125" s="15"/>
      <c r="N125" s="17">
        <f t="shared" si="2"/>
        <v>12.3470852</v>
      </c>
      <c r="O125" s="32" t="s">
        <v>236</v>
      </c>
      <c r="S125" s="19"/>
    </row>
    <row r="126" ht="15.75" customHeight="1">
      <c r="A126" s="10">
        <v>125.0</v>
      </c>
      <c r="B126" s="11" t="s">
        <v>134</v>
      </c>
      <c r="C126" s="12">
        <v>27.0</v>
      </c>
      <c r="D126" s="10" t="s">
        <v>108</v>
      </c>
      <c r="E126" s="10">
        <v>2025.0</v>
      </c>
      <c r="F126" s="10" t="s">
        <v>32</v>
      </c>
      <c r="G126" s="13"/>
      <c r="H126" s="13"/>
      <c r="I126" s="13">
        <f>_xlfn.FORECAST.LINEAR('BD_LeiturasHidrômetro_PRJ02'!$A126,G:G,A:A)</f>
        <v>7728.191928</v>
      </c>
      <c r="J126" s="14">
        <f>IF('BD_LeiturasHidrômetro_PRJ02'!$G126&amp;'BD_LeiturasHidrômetro_PRJ02'!$H126="",'BD_LeiturasHidrômetro_PRJ02'!$I126,'BD_LeiturasHidrômetro_PRJ02'!$G126&amp;'BD_LeiturasHidrômetro_PRJ02'!$H126)</f>
        <v>7728.191928</v>
      </c>
      <c r="K126" s="14">
        <f t="shared" si="1"/>
        <v>7715.844843</v>
      </c>
      <c r="L126" s="15"/>
      <c r="M126" s="15"/>
      <c r="N126" s="17">
        <f t="shared" si="2"/>
        <v>12.3470852</v>
      </c>
      <c r="O126" s="32" t="s">
        <v>236</v>
      </c>
      <c r="S126" s="19"/>
    </row>
    <row r="127" ht="15.75" customHeight="1">
      <c r="A127" s="10">
        <v>126.0</v>
      </c>
      <c r="B127" s="11" t="s">
        <v>135</v>
      </c>
      <c r="C127" s="12">
        <v>28.0</v>
      </c>
      <c r="D127" s="10" t="s">
        <v>108</v>
      </c>
      <c r="E127" s="10">
        <v>2025.0</v>
      </c>
      <c r="F127" s="10" t="s">
        <v>34</v>
      </c>
      <c r="G127" s="13"/>
      <c r="H127" s="13"/>
      <c r="I127" s="13">
        <f>_xlfn.FORECAST.LINEAR('BD_LeiturasHidrômetro_PRJ02'!$A127,G:G,A:A)</f>
        <v>7740.539013</v>
      </c>
      <c r="J127" s="14">
        <f>IF('BD_LeiturasHidrômetro_PRJ02'!$G127&amp;'BD_LeiturasHidrômetro_PRJ02'!$H127="",'BD_LeiturasHidrômetro_PRJ02'!$I127,'BD_LeiturasHidrômetro_PRJ02'!$G127&amp;'BD_LeiturasHidrômetro_PRJ02'!$H127)</f>
        <v>7740.539013</v>
      </c>
      <c r="K127" s="14">
        <f t="shared" si="1"/>
        <v>7728.191928</v>
      </c>
      <c r="L127" s="15"/>
      <c r="M127" s="15"/>
      <c r="N127" s="17">
        <f t="shared" si="2"/>
        <v>12.3470852</v>
      </c>
      <c r="O127" s="32" t="s">
        <v>236</v>
      </c>
      <c r="S127" s="19"/>
    </row>
    <row r="128" ht="15.75" customHeight="1">
      <c r="A128" s="10">
        <v>127.0</v>
      </c>
      <c r="B128" s="11" t="s">
        <v>136</v>
      </c>
      <c r="C128" s="12">
        <v>29.0</v>
      </c>
      <c r="D128" s="10" t="s">
        <v>108</v>
      </c>
      <c r="E128" s="10">
        <v>2025.0</v>
      </c>
      <c r="F128" s="10" t="s">
        <v>19</v>
      </c>
      <c r="G128" s="13"/>
      <c r="H128" s="13"/>
      <c r="I128" s="13">
        <f>_xlfn.FORECAST.LINEAR('BD_LeiturasHidrômetro_PRJ02'!$A128,G:G,A:A)</f>
        <v>7752.886099</v>
      </c>
      <c r="J128" s="14">
        <f>IF('BD_LeiturasHidrômetro_PRJ02'!$G128&amp;'BD_LeiturasHidrômetro_PRJ02'!$H128="",'BD_LeiturasHidrômetro_PRJ02'!$I128,'BD_LeiturasHidrômetro_PRJ02'!$G128&amp;'BD_LeiturasHidrômetro_PRJ02'!$H128)</f>
        <v>7752.886099</v>
      </c>
      <c r="K128" s="14">
        <f t="shared" si="1"/>
        <v>7740.539013</v>
      </c>
      <c r="L128" s="15"/>
      <c r="M128" s="15"/>
      <c r="N128" s="17">
        <f t="shared" si="2"/>
        <v>12.3470852</v>
      </c>
      <c r="O128" s="32" t="s">
        <v>236</v>
      </c>
      <c r="S128" s="19"/>
    </row>
    <row r="129" ht="15.75" customHeight="1">
      <c r="A129" s="10">
        <v>128.0</v>
      </c>
      <c r="B129" s="11" t="s">
        <v>137</v>
      </c>
      <c r="C129" s="12">
        <v>30.0</v>
      </c>
      <c r="D129" s="10" t="s">
        <v>108</v>
      </c>
      <c r="E129" s="10">
        <v>2025.0</v>
      </c>
      <c r="F129" s="10" t="s">
        <v>23</v>
      </c>
      <c r="G129" s="13"/>
      <c r="H129" s="13"/>
      <c r="I129" s="14">
        <f>_xlfn.FORECAST.LINEAR('BD_LeiturasHidrômetro_PRJ02'!$A129,G:G,A:A)</f>
        <v>7765.233184</v>
      </c>
      <c r="J129" s="14">
        <f>IF('BD_LeiturasHidrômetro_PRJ02'!$G129&amp;'BD_LeiturasHidrômetro_PRJ02'!$H129="",'BD_LeiturasHidrômetro_PRJ02'!$I129,'BD_LeiturasHidrômetro_PRJ02'!$G129&amp;'BD_LeiturasHidrômetro_PRJ02'!$H129)</f>
        <v>7765.233184</v>
      </c>
      <c r="K129" s="14">
        <f t="shared" si="1"/>
        <v>7752.886099</v>
      </c>
      <c r="L129" s="15"/>
      <c r="M129" s="15"/>
      <c r="N129" s="17">
        <f t="shared" si="2"/>
        <v>12.3470852</v>
      </c>
      <c r="O129" s="32" t="s">
        <v>236</v>
      </c>
      <c r="S129" s="19"/>
    </row>
    <row r="130" ht="15.75" customHeight="1">
      <c r="A130" s="10">
        <v>129.0</v>
      </c>
      <c r="B130" s="11" t="s">
        <v>138</v>
      </c>
      <c r="C130" s="12">
        <v>1.0</v>
      </c>
      <c r="D130" s="10" t="s">
        <v>139</v>
      </c>
      <c r="E130" s="10">
        <v>2025.0</v>
      </c>
      <c r="F130" s="10" t="s">
        <v>26</v>
      </c>
      <c r="G130" s="13"/>
      <c r="H130" s="13"/>
      <c r="I130" s="14">
        <f>_xlfn.FORECAST.LINEAR('BD_LeiturasHidrômetro_PRJ02'!$A130,G:G,A:A)</f>
        <v>7777.580269</v>
      </c>
      <c r="J130" s="14">
        <f>IF('BD_LeiturasHidrômetro_PRJ02'!$G130&amp;'BD_LeiturasHidrômetro_PRJ02'!$H130="",'BD_LeiturasHidrômetro_PRJ02'!$I130,'BD_LeiturasHidrômetro_PRJ02'!$G130&amp;'BD_LeiturasHidrômetro_PRJ02'!$H130)</f>
        <v>7777.580269</v>
      </c>
      <c r="K130" s="14">
        <f t="shared" si="1"/>
        <v>7765.233184</v>
      </c>
      <c r="L130" s="15"/>
      <c r="M130" s="15"/>
      <c r="N130" s="17">
        <f t="shared" si="2"/>
        <v>12.3470852</v>
      </c>
      <c r="O130" s="32" t="s">
        <v>236</v>
      </c>
      <c r="S130" s="19"/>
    </row>
    <row r="131" ht="15.75" customHeight="1">
      <c r="A131" s="10">
        <v>130.0</v>
      </c>
      <c r="B131" s="11" t="s">
        <v>140</v>
      </c>
      <c r="C131" s="12">
        <v>2.0</v>
      </c>
      <c r="D131" s="10" t="s">
        <v>139</v>
      </c>
      <c r="E131" s="10">
        <v>2025.0</v>
      </c>
      <c r="F131" s="10" t="s">
        <v>28</v>
      </c>
      <c r="G131" s="13"/>
      <c r="H131" s="13"/>
      <c r="I131" s="14">
        <f>_xlfn.FORECAST.LINEAR('BD_LeiturasHidrômetro_PRJ02'!$A131,G:G,A:A)</f>
        <v>7789.927354</v>
      </c>
      <c r="J131" s="14">
        <f>IF('BD_LeiturasHidrômetro_PRJ02'!$G131&amp;'BD_LeiturasHidrômetro_PRJ02'!$H131="",'BD_LeiturasHidrômetro_PRJ02'!$I131,'BD_LeiturasHidrômetro_PRJ02'!$G131&amp;'BD_LeiturasHidrômetro_PRJ02'!$H131)</f>
        <v>7789.927354</v>
      </c>
      <c r="K131" s="14">
        <f t="shared" si="1"/>
        <v>7777.580269</v>
      </c>
      <c r="L131" s="15"/>
      <c r="M131" s="15"/>
      <c r="N131" s="17">
        <f t="shared" si="2"/>
        <v>12.3470852</v>
      </c>
      <c r="O131" s="32" t="s">
        <v>236</v>
      </c>
      <c r="S131" s="19"/>
    </row>
    <row r="132" ht="15.75" customHeight="1">
      <c r="A132" s="10">
        <v>131.0</v>
      </c>
      <c r="B132" s="11" t="s">
        <v>141</v>
      </c>
      <c r="C132" s="12">
        <v>3.0</v>
      </c>
      <c r="D132" s="10" t="s">
        <v>139</v>
      </c>
      <c r="E132" s="10">
        <v>2025.0</v>
      </c>
      <c r="F132" s="10" t="s">
        <v>30</v>
      </c>
      <c r="G132" s="13"/>
      <c r="H132" s="13"/>
      <c r="I132" s="14">
        <f>_xlfn.FORECAST.LINEAR('BD_LeiturasHidrômetro_PRJ02'!$A132,G:G,A:A)</f>
        <v>7802.274439</v>
      </c>
      <c r="J132" s="14">
        <f>IF('BD_LeiturasHidrômetro_PRJ02'!$G132&amp;'BD_LeiturasHidrômetro_PRJ02'!$H132="",'BD_LeiturasHidrômetro_PRJ02'!$I132,'BD_LeiturasHidrômetro_PRJ02'!$G132&amp;'BD_LeiturasHidrômetro_PRJ02'!$H132)</f>
        <v>7802.274439</v>
      </c>
      <c r="K132" s="14">
        <f t="shared" si="1"/>
        <v>7789.927354</v>
      </c>
      <c r="L132" s="15"/>
      <c r="M132" s="15"/>
      <c r="N132" s="17">
        <f t="shared" si="2"/>
        <v>12.3470852</v>
      </c>
      <c r="O132" s="32" t="s">
        <v>236</v>
      </c>
      <c r="S132" s="19"/>
    </row>
    <row r="133" ht="15.75" customHeight="1">
      <c r="A133" s="10">
        <v>132.0</v>
      </c>
      <c r="B133" s="11" t="s">
        <v>142</v>
      </c>
      <c r="C133" s="12">
        <v>4.0</v>
      </c>
      <c r="D133" s="10" t="s">
        <v>139</v>
      </c>
      <c r="E133" s="10">
        <v>2025.0</v>
      </c>
      <c r="F133" s="10" t="s">
        <v>32</v>
      </c>
      <c r="G133" s="13"/>
      <c r="H133" s="13"/>
      <c r="I133" s="13">
        <f>_xlfn.FORECAST.LINEAR('BD_LeiturasHidrômetro_PRJ02'!$A133,G:G,A:A)</f>
        <v>7814.621525</v>
      </c>
      <c r="J133" s="14">
        <f>IF('BD_LeiturasHidrômetro_PRJ02'!$G133&amp;'BD_LeiturasHidrômetro_PRJ02'!$H133="",'BD_LeiturasHidrômetro_PRJ02'!$I133,'BD_LeiturasHidrômetro_PRJ02'!$G133&amp;'BD_LeiturasHidrômetro_PRJ02'!$H133)</f>
        <v>7814.621525</v>
      </c>
      <c r="K133" s="14">
        <f t="shared" si="1"/>
        <v>7802.274439</v>
      </c>
      <c r="L133" s="15"/>
      <c r="M133" s="15"/>
      <c r="N133" s="17">
        <f t="shared" si="2"/>
        <v>12.3470852</v>
      </c>
      <c r="O133" s="32" t="s">
        <v>236</v>
      </c>
      <c r="S133" s="19"/>
    </row>
    <row r="134" ht="15.75" customHeight="1">
      <c r="A134" s="10">
        <v>133.0</v>
      </c>
      <c r="B134" s="11" t="s">
        <v>143</v>
      </c>
      <c r="C134" s="12">
        <v>5.0</v>
      </c>
      <c r="D134" s="10" t="s">
        <v>139</v>
      </c>
      <c r="E134" s="10">
        <v>2025.0</v>
      </c>
      <c r="F134" s="10" t="s">
        <v>34</v>
      </c>
      <c r="G134" s="13"/>
      <c r="H134" s="13"/>
      <c r="I134" s="13">
        <f>_xlfn.FORECAST.LINEAR('BD_LeiturasHidrômetro_PRJ02'!$A134,G:G,A:A)</f>
        <v>7826.96861</v>
      </c>
      <c r="J134" s="14">
        <f>IF('BD_LeiturasHidrômetro_PRJ02'!$G134&amp;'BD_LeiturasHidrômetro_PRJ02'!$H134="",'BD_LeiturasHidrômetro_PRJ02'!$I134,'BD_LeiturasHidrômetro_PRJ02'!$G134&amp;'BD_LeiturasHidrômetro_PRJ02'!$H134)</f>
        <v>7826.96861</v>
      </c>
      <c r="K134" s="14">
        <f t="shared" si="1"/>
        <v>7814.621525</v>
      </c>
      <c r="L134" s="15"/>
      <c r="M134" s="15"/>
      <c r="N134" s="17">
        <f t="shared" si="2"/>
        <v>12.3470852</v>
      </c>
      <c r="O134" s="32" t="s">
        <v>236</v>
      </c>
      <c r="S134" s="19"/>
    </row>
    <row r="135" ht="15.75" customHeight="1">
      <c r="A135" s="10">
        <v>134.0</v>
      </c>
      <c r="B135" s="11" t="s">
        <v>144</v>
      </c>
      <c r="C135" s="12">
        <v>6.0</v>
      </c>
      <c r="D135" s="10" t="s">
        <v>139</v>
      </c>
      <c r="E135" s="10">
        <v>2025.0</v>
      </c>
      <c r="F135" s="10" t="s">
        <v>19</v>
      </c>
      <c r="G135" s="13"/>
      <c r="H135" s="13"/>
      <c r="I135" s="13">
        <f>_xlfn.FORECAST.LINEAR('BD_LeiturasHidrômetro_PRJ02'!$A135,G:G,A:A)</f>
        <v>7839.315695</v>
      </c>
      <c r="J135" s="14">
        <f>IF('BD_LeiturasHidrômetro_PRJ02'!$G135&amp;'BD_LeiturasHidrômetro_PRJ02'!$H135="",'BD_LeiturasHidrômetro_PRJ02'!$I135,'BD_LeiturasHidrômetro_PRJ02'!$G135&amp;'BD_LeiturasHidrômetro_PRJ02'!$H135)</f>
        <v>7839.315695</v>
      </c>
      <c r="K135" s="14">
        <f t="shared" si="1"/>
        <v>7826.96861</v>
      </c>
      <c r="L135" s="15"/>
      <c r="M135" s="15"/>
      <c r="N135" s="17">
        <f t="shared" si="2"/>
        <v>12.3470852</v>
      </c>
      <c r="O135" s="32" t="s">
        <v>236</v>
      </c>
      <c r="S135" s="19"/>
    </row>
    <row r="136" ht="15.75" customHeight="1">
      <c r="A136" s="10">
        <v>135.0</v>
      </c>
      <c r="B136" s="11" t="s">
        <v>145</v>
      </c>
      <c r="C136" s="12">
        <v>7.0</v>
      </c>
      <c r="D136" s="10" t="s">
        <v>139</v>
      </c>
      <c r="E136" s="10">
        <v>2025.0</v>
      </c>
      <c r="F136" s="10" t="s">
        <v>23</v>
      </c>
      <c r="G136" s="13"/>
      <c r="H136" s="13"/>
      <c r="I136" s="14">
        <f>_xlfn.FORECAST.LINEAR('BD_LeiturasHidrômetro_PRJ02'!$A136,G:G,A:A)</f>
        <v>7851.66278</v>
      </c>
      <c r="J136" s="14">
        <f>IF('BD_LeiturasHidrômetro_PRJ02'!$G136&amp;'BD_LeiturasHidrômetro_PRJ02'!$H136="",'BD_LeiturasHidrômetro_PRJ02'!$I136,'BD_LeiturasHidrômetro_PRJ02'!$G136&amp;'BD_LeiturasHidrômetro_PRJ02'!$H136)</f>
        <v>7851.66278</v>
      </c>
      <c r="K136" s="14">
        <f t="shared" si="1"/>
        <v>7839.315695</v>
      </c>
      <c r="L136" s="15"/>
      <c r="M136" s="15"/>
      <c r="N136" s="17">
        <f t="shared" si="2"/>
        <v>12.3470852</v>
      </c>
      <c r="O136" s="32" t="s">
        <v>236</v>
      </c>
      <c r="S136" s="19"/>
    </row>
    <row r="137" ht="15.75" customHeight="1">
      <c r="A137" s="10">
        <v>136.0</v>
      </c>
      <c r="B137" s="11" t="s">
        <v>146</v>
      </c>
      <c r="C137" s="12">
        <v>8.0</v>
      </c>
      <c r="D137" s="10" t="s">
        <v>139</v>
      </c>
      <c r="E137" s="10">
        <v>2025.0</v>
      </c>
      <c r="F137" s="10" t="s">
        <v>26</v>
      </c>
      <c r="G137" s="13"/>
      <c r="H137" s="13"/>
      <c r="I137" s="14">
        <f>_xlfn.FORECAST.LINEAR('BD_LeiturasHidrômetro_PRJ02'!$A137,G:G,A:A)</f>
        <v>7864.009865</v>
      </c>
      <c r="J137" s="14">
        <f>IF('BD_LeiturasHidrômetro_PRJ02'!$G137&amp;'BD_LeiturasHidrômetro_PRJ02'!$H137="",'BD_LeiturasHidrômetro_PRJ02'!$I137,'BD_LeiturasHidrômetro_PRJ02'!$G137&amp;'BD_LeiturasHidrômetro_PRJ02'!$H137)</f>
        <v>7864.009865</v>
      </c>
      <c r="K137" s="14">
        <f t="shared" si="1"/>
        <v>7851.66278</v>
      </c>
      <c r="L137" s="15"/>
      <c r="M137" s="15"/>
      <c r="N137" s="17">
        <f t="shared" si="2"/>
        <v>12.3470852</v>
      </c>
      <c r="O137" s="32" t="s">
        <v>236</v>
      </c>
      <c r="S137" s="19"/>
    </row>
    <row r="138" ht="15.75" customHeight="1">
      <c r="A138" s="10">
        <v>137.0</v>
      </c>
      <c r="B138" s="11" t="s">
        <v>147</v>
      </c>
      <c r="C138" s="12">
        <v>9.0</v>
      </c>
      <c r="D138" s="10" t="s">
        <v>139</v>
      </c>
      <c r="E138" s="10">
        <v>2025.0</v>
      </c>
      <c r="F138" s="10" t="s">
        <v>28</v>
      </c>
      <c r="G138" s="13"/>
      <c r="H138" s="13"/>
      <c r="I138" s="14">
        <f>_xlfn.FORECAST.LINEAR('BD_LeiturasHidrômetro_PRJ02'!$A138,G:G,A:A)</f>
        <v>7876.356951</v>
      </c>
      <c r="J138" s="14">
        <f>IF('BD_LeiturasHidrômetro_PRJ02'!$G138&amp;'BD_LeiturasHidrômetro_PRJ02'!$H138="",'BD_LeiturasHidrômetro_PRJ02'!$I138,'BD_LeiturasHidrômetro_PRJ02'!$G138&amp;'BD_LeiturasHidrômetro_PRJ02'!$H138)</f>
        <v>7876.356951</v>
      </c>
      <c r="K138" s="14">
        <f t="shared" si="1"/>
        <v>7864.009865</v>
      </c>
      <c r="L138" s="15"/>
      <c r="M138" s="15"/>
      <c r="N138" s="17">
        <f t="shared" si="2"/>
        <v>12.3470852</v>
      </c>
      <c r="O138" s="32" t="s">
        <v>236</v>
      </c>
      <c r="S138" s="19"/>
    </row>
    <row r="139" ht="15.75" customHeight="1">
      <c r="A139" s="10">
        <v>138.0</v>
      </c>
      <c r="B139" s="11" t="s">
        <v>148</v>
      </c>
      <c r="C139" s="12">
        <v>10.0</v>
      </c>
      <c r="D139" s="10" t="s">
        <v>139</v>
      </c>
      <c r="E139" s="10">
        <v>2025.0</v>
      </c>
      <c r="F139" s="10" t="s">
        <v>30</v>
      </c>
      <c r="G139" s="13"/>
      <c r="H139" s="13"/>
      <c r="I139" s="14">
        <f>_xlfn.FORECAST.LINEAR('BD_LeiturasHidrômetro_PRJ02'!$A139,G:G,A:A)</f>
        <v>7888.704036</v>
      </c>
      <c r="J139" s="14">
        <f>IF('BD_LeiturasHidrômetro_PRJ02'!$G139&amp;'BD_LeiturasHidrômetro_PRJ02'!$H139="",'BD_LeiturasHidrômetro_PRJ02'!$I139,'BD_LeiturasHidrômetro_PRJ02'!$G139&amp;'BD_LeiturasHidrômetro_PRJ02'!$H139)</f>
        <v>7888.704036</v>
      </c>
      <c r="K139" s="14">
        <f t="shared" si="1"/>
        <v>7876.356951</v>
      </c>
      <c r="L139" s="15"/>
      <c r="M139" s="15"/>
      <c r="N139" s="17">
        <f t="shared" si="2"/>
        <v>12.3470852</v>
      </c>
      <c r="O139" s="32" t="s">
        <v>236</v>
      </c>
      <c r="S139" s="19"/>
    </row>
    <row r="140" ht="15.75" customHeight="1">
      <c r="A140" s="10">
        <v>139.0</v>
      </c>
      <c r="B140" s="11" t="s">
        <v>149</v>
      </c>
      <c r="C140" s="12">
        <v>11.0</v>
      </c>
      <c r="D140" s="10" t="s">
        <v>139</v>
      </c>
      <c r="E140" s="10">
        <v>2025.0</v>
      </c>
      <c r="F140" s="10" t="s">
        <v>32</v>
      </c>
      <c r="G140" s="13"/>
      <c r="H140" s="13"/>
      <c r="I140" s="13">
        <f>_xlfn.FORECAST.LINEAR('BD_LeiturasHidrômetro_PRJ02'!$A140,G:G,A:A)</f>
        <v>7901.051121</v>
      </c>
      <c r="J140" s="14">
        <f>IF('BD_LeiturasHidrômetro_PRJ02'!$G140&amp;'BD_LeiturasHidrômetro_PRJ02'!$H140="",'BD_LeiturasHidrômetro_PRJ02'!$I140,'BD_LeiturasHidrômetro_PRJ02'!$G140&amp;'BD_LeiturasHidrômetro_PRJ02'!$H140)</f>
        <v>7901.051121</v>
      </c>
      <c r="K140" s="14">
        <f t="shared" si="1"/>
        <v>7888.704036</v>
      </c>
      <c r="L140" s="15"/>
      <c r="M140" s="15"/>
      <c r="N140" s="17">
        <f t="shared" si="2"/>
        <v>12.3470852</v>
      </c>
      <c r="O140" s="32" t="s">
        <v>236</v>
      </c>
      <c r="S140" s="19"/>
    </row>
    <row r="141" ht="15.75" customHeight="1">
      <c r="A141" s="10">
        <v>140.0</v>
      </c>
      <c r="B141" s="11" t="s">
        <v>150</v>
      </c>
      <c r="C141" s="12">
        <v>12.0</v>
      </c>
      <c r="D141" s="10" t="s">
        <v>139</v>
      </c>
      <c r="E141" s="10">
        <v>2025.0</v>
      </c>
      <c r="F141" s="10" t="s">
        <v>34</v>
      </c>
      <c r="G141" s="13"/>
      <c r="H141" s="13"/>
      <c r="I141" s="13">
        <f>_xlfn.FORECAST.LINEAR('BD_LeiturasHidrômetro_PRJ02'!$A141,G:G,A:A)</f>
        <v>7913.398206</v>
      </c>
      <c r="J141" s="14">
        <f>IF('BD_LeiturasHidrômetro_PRJ02'!$G141&amp;'BD_LeiturasHidrômetro_PRJ02'!$H141="",'BD_LeiturasHidrômetro_PRJ02'!$I141,'BD_LeiturasHidrômetro_PRJ02'!$G141&amp;'BD_LeiturasHidrômetro_PRJ02'!$H141)</f>
        <v>7913.398206</v>
      </c>
      <c r="K141" s="14">
        <f t="shared" si="1"/>
        <v>7901.051121</v>
      </c>
      <c r="L141" s="15"/>
      <c r="M141" s="15"/>
      <c r="N141" s="17">
        <f t="shared" si="2"/>
        <v>12.3470852</v>
      </c>
      <c r="O141" s="32" t="s">
        <v>236</v>
      </c>
      <c r="S141" s="19"/>
    </row>
    <row r="142" ht="15.75" customHeight="1">
      <c r="A142" s="10">
        <v>141.0</v>
      </c>
      <c r="B142" s="11" t="s">
        <v>151</v>
      </c>
      <c r="C142" s="12">
        <v>13.0</v>
      </c>
      <c r="D142" s="10" t="s">
        <v>139</v>
      </c>
      <c r="E142" s="10">
        <v>2025.0</v>
      </c>
      <c r="F142" s="10" t="s">
        <v>19</v>
      </c>
      <c r="G142" s="13"/>
      <c r="H142" s="13"/>
      <c r="I142" s="13">
        <f>_xlfn.FORECAST.LINEAR('BD_LeiturasHidrômetro_PRJ02'!$A142,G:G,A:A)</f>
        <v>7925.745291</v>
      </c>
      <c r="J142" s="14">
        <f>IF('BD_LeiturasHidrômetro_PRJ02'!$G142&amp;'BD_LeiturasHidrômetro_PRJ02'!$H142="",'BD_LeiturasHidrômetro_PRJ02'!$I142,'BD_LeiturasHidrômetro_PRJ02'!$G142&amp;'BD_LeiturasHidrômetro_PRJ02'!$H142)</f>
        <v>7925.745291</v>
      </c>
      <c r="K142" s="14">
        <f t="shared" si="1"/>
        <v>7913.398206</v>
      </c>
      <c r="L142" s="15"/>
      <c r="M142" s="15"/>
      <c r="N142" s="17">
        <f t="shared" si="2"/>
        <v>12.3470852</v>
      </c>
      <c r="O142" s="32" t="s">
        <v>236</v>
      </c>
      <c r="S142" s="19"/>
    </row>
    <row r="143" ht="15.75" customHeight="1">
      <c r="A143" s="10">
        <v>142.0</v>
      </c>
      <c r="B143" s="11" t="s">
        <v>152</v>
      </c>
      <c r="C143" s="12">
        <v>14.0</v>
      </c>
      <c r="D143" s="10" t="s">
        <v>139</v>
      </c>
      <c r="E143" s="10">
        <v>2025.0</v>
      </c>
      <c r="F143" s="10" t="s">
        <v>23</v>
      </c>
      <c r="G143" s="13"/>
      <c r="H143" s="13"/>
      <c r="I143" s="14">
        <f>_xlfn.FORECAST.LINEAR('BD_LeiturasHidrômetro_PRJ02'!$A143,G:G,A:A)</f>
        <v>7938.092377</v>
      </c>
      <c r="J143" s="14">
        <f>IF('BD_LeiturasHidrômetro_PRJ02'!$G143&amp;'BD_LeiturasHidrômetro_PRJ02'!$H143="",'BD_LeiturasHidrômetro_PRJ02'!$I143,'BD_LeiturasHidrômetro_PRJ02'!$G143&amp;'BD_LeiturasHidrômetro_PRJ02'!$H143)</f>
        <v>7938.092377</v>
      </c>
      <c r="K143" s="14">
        <f t="shared" si="1"/>
        <v>7925.745291</v>
      </c>
      <c r="L143" s="15"/>
      <c r="M143" s="15"/>
      <c r="N143" s="17">
        <f t="shared" si="2"/>
        <v>12.3470852</v>
      </c>
      <c r="O143" s="32" t="s">
        <v>236</v>
      </c>
      <c r="S143" s="19"/>
    </row>
    <row r="144" ht="15.75" customHeight="1">
      <c r="A144" s="10">
        <v>143.0</v>
      </c>
      <c r="B144" s="11" t="s">
        <v>153</v>
      </c>
      <c r="C144" s="12">
        <v>15.0</v>
      </c>
      <c r="D144" s="10" t="s">
        <v>139</v>
      </c>
      <c r="E144" s="10">
        <v>2025.0</v>
      </c>
      <c r="F144" s="10" t="s">
        <v>26</v>
      </c>
      <c r="G144" s="13"/>
      <c r="H144" s="13"/>
      <c r="I144" s="14">
        <f>_xlfn.FORECAST.LINEAR('BD_LeiturasHidrômetro_PRJ02'!$A144,G:G,A:A)</f>
        <v>7950.439462</v>
      </c>
      <c r="J144" s="14">
        <f>IF('BD_LeiturasHidrômetro_PRJ02'!$G144&amp;'BD_LeiturasHidrômetro_PRJ02'!$H144="",'BD_LeiturasHidrômetro_PRJ02'!$I144,'BD_LeiturasHidrômetro_PRJ02'!$G144&amp;'BD_LeiturasHidrômetro_PRJ02'!$H144)</f>
        <v>7950.439462</v>
      </c>
      <c r="K144" s="14">
        <f t="shared" si="1"/>
        <v>7938.092377</v>
      </c>
      <c r="L144" s="15"/>
      <c r="M144" s="15"/>
      <c r="N144" s="17">
        <f t="shared" si="2"/>
        <v>12.3470852</v>
      </c>
      <c r="O144" s="32" t="s">
        <v>236</v>
      </c>
      <c r="S144" s="19"/>
    </row>
    <row r="145" ht="15.75" customHeight="1">
      <c r="A145" s="10">
        <v>144.0</v>
      </c>
      <c r="B145" s="11" t="s">
        <v>154</v>
      </c>
      <c r="C145" s="12">
        <v>16.0</v>
      </c>
      <c r="D145" s="10" t="s">
        <v>139</v>
      </c>
      <c r="E145" s="10">
        <v>2025.0</v>
      </c>
      <c r="F145" s="10" t="s">
        <v>28</v>
      </c>
      <c r="G145" s="13"/>
      <c r="H145" s="13"/>
      <c r="I145" s="14">
        <f>_xlfn.FORECAST.LINEAR('BD_LeiturasHidrômetro_PRJ02'!$A145,G:G,A:A)</f>
        <v>7962.786547</v>
      </c>
      <c r="J145" s="14">
        <f>IF('BD_LeiturasHidrômetro_PRJ02'!$G145&amp;'BD_LeiturasHidrômetro_PRJ02'!$H145="",'BD_LeiturasHidrômetro_PRJ02'!$I145,'BD_LeiturasHidrômetro_PRJ02'!$G145&amp;'BD_LeiturasHidrômetro_PRJ02'!$H145)</f>
        <v>7962.786547</v>
      </c>
      <c r="K145" s="14">
        <f t="shared" si="1"/>
        <v>7950.439462</v>
      </c>
      <c r="L145" s="15"/>
      <c r="M145" s="15"/>
      <c r="N145" s="17">
        <f t="shared" si="2"/>
        <v>12.3470852</v>
      </c>
      <c r="O145" s="32" t="s">
        <v>236</v>
      </c>
      <c r="S145" s="19"/>
    </row>
    <row r="146" ht="15.75" customHeight="1">
      <c r="A146" s="10">
        <v>145.0</v>
      </c>
      <c r="B146" s="11" t="s">
        <v>155</v>
      </c>
      <c r="C146" s="12">
        <v>17.0</v>
      </c>
      <c r="D146" s="10" t="s">
        <v>139</v>
      </c>
      <c r="E146" s="10">
        <v>2025.0</v>
      </c>
      <c r="F146" s="10" t="s">
        <v>30</v>
      </c>
      <c r="G146" s="13"/>
      <c r="H146" s="13"/>
      <c r="I146" s="14">
        <f>_xlfn.FORECAST.LINEAR('BD_LeiturasHidrômetro_PRJ02'!$A146,G:G,A:A)</f>
        <v>7975.133632</v>
      </c>
      <c r="J146" s="14">
        <f>IF('BD_LeiturasHidrômetro_PRJ02'!$G146&amp;'BD_LeiturasHidrômetro_PRJ02'!$H146="",'BD_LeiturasHidrômetro_PRJ02'!$I146,'BD_LeiturasHidrômetro_PRJ02'!$G146&amp;'BD_LeiturasHidrômetro_PRJ02'!$H146)</f>
        <v>7975.133632</v>
      </c>
      <c r="K146" s="14">
        <f t="shared" si="1"/>
        <v>7962.786547</v>
      </c>
      <c r="L146" s="15"/>
      <c r="M146" s="15"/>
      <c r="N146" s="17">
        <f t="shared" si="2"/>
        <v>12.3470852</v>
      </c>
      <c r="O146" s="32" t="s">
        <v>236</v>
      </c>
      <c r="S146" s="19"/>
    </row>
    <row r="147" ht="15.75" customHeight="1">
      <c r="A147" s="10">
        <v>146.0</v>
      </c>
      <c r="B147" s="11" t="s">
        <v>156</v>
      </c>
      <c r="C147" s="12">
        <v>18.0</v>
      </c>
      <c r="D147" s="10" t="s">
        <v>139</v>
      </c>
      <c r="E147" s="10">
        <v>2025.0</v>
      </c>
      <c r="F147" s="10" t="s">
        <v>32</v>
      </c>
      <c r="G147" s="13"/>
      <c r="H147" s="13"/>
      <c r="I147" s="13">
        <f>_xlfn.FORECAST.LINEAR('BD_LeiturasHidrômetro_PRJ02'!$A147,G:G,A:A)</f>
        <v>7987.480717</v>
      </c>
      <c r="J147" s="14">
        <f>IF('BD_LeiturasHidrômetro_PRJ02'!$G147&amp;'BD_LeiturasHidrômetro_PRJ02'!$H147="",'BD_LeiturasHidrômetro_PRJ02'!$I147,'BD_LeiturasHidrômetro_PRJ02'!$G147&amp;'BD_LeiturasHidrômetro_PRJ02'!$H147)</f>
        <v>7987.480717</v>
      </c>
      <c r="K147" s="14">
        <f t="shared" si="1"/>
        <v>7975.133632</v>
      </c>
      <c r="L147" s="15"/>
      <c r="M147" s="15"/>
      <c r="N147" s="17">
        <f t="shared" si="2"/>
        <v>12.3470852</v>
      </c>
      <c r="O147" s="32" t="s">
        <v>236</v>
      </c>
      <c r="S147" s="19"/>
    </row>
    <row r="148" ht="15.75" customHeight="1">
      <c r="A148" s="10">
        <v>147.0</v>
      </c>
      <c r="B148" s="11" t="s">
        <v>157</v>
      </c>
      <c r="C148" s="12">
        <v>19.0</v>
      </c>
      <c r="D148" s="10" t="s">
        <v>139</v>
      </c>
      <c r="E148" s="10">
        <v>2025.0</v>
      </c>
      <c r="F148" s="10" t="s">
        <v>34</v>
      </c>
      <c r="G148" s="13"/>
      <c r="H148" s="13"/>
      <c r="I148" s="13">
        <f>_xlfn.FORECAST.LINEAR('BD_LeiturasHidrômetro_PRJ02'!$A148,G:G,A:A)</f>
        <v>7999.827803</v>
      </c>
      <c r="J148" s="14">
        <f>IF('BD_LeiturasHidrômetro_PRJ02'!$G148&amp;'BD_LeiturasHidrômetro_PRJ02'!$H148="",'BD_LeiturasHidrômetro_PRJ02'!$I148,'BD_LeiturasHidrômetro_PRJ02'!$G148&amp;'BD_LeiturasHidrômetro_PRJ02'!$H148)</f>
        <v>7999.827803</v>
      </c>
      <c r="K148" s="14">
        <f t="shared" si="1"/>
        <v>7987.480717</v>
      </c>
      <c r="L148" s="15"/>
      <c r="M148" s="15"/>
      <c r="N148" s="17">
        <f t="shared" si="2"/>
        <v>12.3470852</v>
      </c>
      <c r="O148" s="32" t="s">
        <v>236</v>
      </c>
      <c r="S148" s="19"/>
    </row>
    <row r="149" ht="15.75" customHeight="1">
      <c r="A149" s="10">
        <v>148.0</v>
      </c>
      <c r="B149" s="11" t="s">
        <v>158</v>
      </c>
      <c r="C149" s="12">
        <v>20.0</v>
      </c>
      <c r="D149" s="10" t="s">
        <v>139</v>
      </c>
      <c r="E149" s="10">
        <v>2025.0</v>
      </c>
      <c r="F149" s="10" t="s">
        <v>19</v>
      </c>
      <c r="G149" s="13"/>
      <c r="H149" s="13"/>
      <c r="I149" s="13">
        <f>_xlfn.FORECAST.LINEAR('BD_LeiturasHidrômetro_PRJ02'!$A149,G:G,A:A)</f>
        <v>8012.174888</v>
      </c>
      <c r="J149" s="14">
        <f>IF('BD_LeiturasHidrômetro_PRJ02'!$G149&amp;'BD_LeiturasHidrômetro_PRJ02'!$H149="",'BD_LeiturasHidrômetro_PRJ02'!$I149,'BD_LeiturasHidrômetro_PRJ02'!$G149&amp;'BD_LeiturasHidrômetro_PRJ02'!$H149)</f>
        <v>8012.174888</v>
      </c>
      <c r="K149" s="14">
        <f t="shared" si="1"/>
        <v>7999.827803</v>
      </c>
      <c r="L149" s="15"/>
      <c r="M149" s="15"/>
      <c r="N149" s="17">
        <f t="shared" si="2"/>
        <v>12.3470852</v>
      </c>
      <c r="O149" s="32" t="s">
        <v>236</v>
      </c>
      <c r="S149" s="19"/>
    </row>
    <row r="150" ht="15.75" customHeight="1">
      <c r="A150" s="10">
        <v>149.0</v>
      </c>
      <c r="B150" s="11" t="s">
        <v>159</v>
      </c>
      <c r="C150" s="12">
        <v>21.0</v>
      </c>
      <c r="D150" s="10" t="s">
        <v>139</v>
      </c>
      <c r="E150" s="10">
        <v>2025.0</v>
      </c>
      <c r="F150" s="10" t="s">
        <v>23</v>
      </c>
      <c r="G150" s="13"/>
      <c r="H150" s="13"/>
      <c r="I150" s="14">
        <f>_xlfn.FORECAST.LINEAR('BD_LeiturasHidrômetro_PRJ02'!$A150,G:G,A:A)</f>
        <v>8024.521973</v>
      </c>
      <c r="J150" s="14">
        <f>IF('BD_LeiturasHidrômetro_PRJ02'!$G150&amp;'BD_LeiturasHidrômetro_PRJ02'!$H150="",'BD_LeiturasHidrômetro_PRJ02'!$I150,'BD_LeiturasHidrômetro_PRJ02'!$G150&amp;'BD_LeiturasHidrômetro_PRJ02'!$H150)</f>
        <v>8024.521973</v>
      </c>
      <c r="K150" s="14">
        <f t="shared" si="1"/>
        <v>8012.174888</v>
      </c>
      <c r="L150" s="15"/>
      <c r="M150" s="15"/>
      <c r="N150" s="17">
        <f t="shared" si="2"/>
        <v>12.3470852</v>
      </c>
      <c r="O150" s="32" t="s">
        <v>236</v>
      </c>
      <c r="S150" s="19"/>
    </row>
    <row r="151" ht="15.75" customHeight="1">
      <c r="A151" s="10">
        <v>150.0</v>
      </c>
      <c r="B151" s="11" t="s">
        <v>160</v>
      </c>
      <c r="C151" s="12">
        <v>22.0</v>
      </c>
      <c r="D151" s="10" t="s">
        <v>139</v>
      </c>
      <c r="E151" s="10">
        <v>2025.0</v>
      </c>
      <c r="F151" s="10" t="s">
        <v>26</v>
      </c>
      <c r="G151" s="13"/>
      <c r="H151" s="13"/>
      <c r="I151" s="14">
        <f>_xlfn.FORECAST.LINEAR('BD_LeiturasHidrômetro_PRJ02'!$A151,G:G,A:A)</f>
        <v>8036.869058</v>
      </c>
      <c r="J151" s="14">
        <f>IF('BD_LeiturasHidrômetro_PRJ02'!$G151&amp;'BD_LeiturasHidrômetro_PRJ02'!$H151="",'BD_LeiturasHidrômetro_PRJ02'!$I151,'BD_LeiturasHidrômetro_PRJ02'!$G151&amp;'BD_LeiturasHidrômetro_PRJ02'!$H151)</f>
        <v>8036.869058</v>
      </c>
      <c r="K151" s="14">
        <f t="shared" si="1"/>
        <v>8024.521973</v>
      </c>
      <c r="L151" s="15"/>
      <c r="M151" s="15"/>
      <c r="N151" s="17">
        <f t="shared" si="2"/>
        <v>12.3470852</v>
      </c>
      <c r="O151" s="32" t="s">
        <v>236</v>
      </c>
      <c r="S151" s="19"/>
    </row>
    <row r="152" ht="15.75" customHeight="1">
      <c r="A152" s="10">
        <v>151.0</v>
      </c>
      <c r="B152" s="11" t="s">
        <v>161</v>
      </c>
      <c r="C152" s="12">
        <v>23.0</v>
      </c>
      <c r="D152" s="10" t="s">
        <v>139</v>
      </c>
      <c r="E152" s="10">
        <v>2025.0</v>
      </c>
      <c r="F152" s="10" t="s">
        <v>28</v>
      </c>
      <c r="G152" s="13"/>
      <c r="H152" s="13"/>
      <c r="I152" s="14">
        <f>_xlfn.FORECAST.LINEAR('BD_LeiturasHidrômetro_PRJ02'!$A152,G:G,A:A)</f>
        <v>8049.216143</v>
      </c>
      <c r="J152" s="14">
        <f>IF('BD_LeiturasHidrômetro_PRJ02'!$G152&amp;'BD_LeiturasHidrômetro_PRJ02'!$H152="",'BD_LeiturasHidrômetro_PRJ02'!$I152,'BD_LeiturasHidrômetro_PRJ02'!$G152&amp;'BD_LeiturasHidrômetro_PRJ02'!$H152)</f>
        <v>8049.216143</v>
      </c>
      <c r="K152" s="14">
        <f t="shared" si="1"/>
        <v>8036.869058</v>
      </c>
      <c r="L152" s="15"/>
      <c r="M152" s="15"/>
      <c r="N152" s="17">
        <f t="shared" si="2"/>
        <v>12.3470852</v>
      </c>
      <c r="O152" s="32" t="s">
        <v>236</v>
      </c>
      <c r="S152" s="19"/>
    </row>
    <row r="153" ht="15.75" customHeight="1">
      <c r="A153" s="10">
        <v>152.0</v>
      </c>
      <c r="B153" s="11" t="s">
        <v>162</v>
      </c>
      <c r="C153" s="12">
        <v>24.0</v>
      </c>
      <c r="D153" s="10" t="s">
        <v>139</v>
      </c>
      <c r="E153" s="10">
        <v>2025.0</v>
      </c>
      <c r="F153" s="10" t="s">
        <v>30</v>
      </c>
      <c r="G153" s="13"/>
      <c r="H153" s="13"/>
      <c r="I153" s="14">
        <f>_xlfn.FORECAST.LINEAR('BD_LeiturasHidrômetro_PRJ02'!$A153,G:G,A:A)</f>
        <v>8061.563229</v>
      </c>
      <c r="J153" s="14">
        <f>IF('BD_LeiturasHidrômetro_PRJ02'!$G153&amp;'BD_LeiturasHidrômetro_PRJ02'!$H153="",'BD_LeiturasHidrômetro_PRJ02'!$I153,'BD_LeiturasHidrômetro_PRJ02'!$G153&amp;'BD_LeiturasHidrômetro_PRJ02'!$H153)</f>
        <v>8061.563229</v>
      </c>
      <c r="K153" s="14">
        <f t="shared" si="1"/>
        <v>8049.216143</v>
      </c>
      <c r="L153" s="15"/>
      <c r="M153" s="15"/>
      <c r="N153" s="17">
        <f t="shared" si="2"/>
        <v>12.3470852</v>
      </c>
      <c r="O153" s="32" t="s">
        <v>236</v>
      </c>
      <c r="S153" s="19"/>
    </row>
    <row r="154" ht="15.75" customHeight="1">
      <c r="A154" s="10">
        <v>153.0</v>
      </c>
      <c r="B154" s="11" t="s">
        <v>163</v>
      </c>
      <c r="C154" s="12">
        <v>25.0</v>
      </c>
      <c r="D154" s="10" t="s">
        <v>139</v>
      </c>
      <c r="E154" s="10">
        <v>2025.0</v>
      </c>
      <c r="F154" s="10" t="s">
        <v>32</v>
      </c>
      <c r="G154" s="13"/>
      <c r="H154" s="13"/>
      <c r="I154" s="13">
        <f>_xlfn.FORECAST.LINEAR('BD_LeiturasHidrômetro_PRJ02'!$A154,G:G,A:A)</f>
        <v>8073.910314</v>
      </c>
      <c r="J154" s="14">
        <f>IF('BD_LeiturasHidrômetro_PRJ02'!$G154&amp;'BD_LeiturasHidrômetro_PRJ02'!$H154="",'BD_LeiturasHidrômetro_PRJ02'!$I154,'BD_LeiturasHidrômetro_PRJ02'!$G154&amp;'BD_LeiturasHidrômetro_PRJ02'!$H154)</f>
        <v>8073.910314</v>
      </c>
      <c r="K154" s="14">
        <f t="shared" si="1"/>
        <v>8061.563229</v>
      </c>
      <c r="L154" s="15"/>
      <c r="M154" s="15"/>
      <c r="N154" s="17">
        <f t="shared" si="2"/>
        <v>12.3470852</v>
      </c>
      <c r="O154" s="32" t="s">
        <v>236</v>
      </c>
      <c r="S154" s="19"/>
    </row>
    <row r="155" ht="15.75" customHeight="1">
      <c r="A155" s="10">
        <v>154.0</v>
      </c>
      <c r="B155" s="11" t="s">
        <v>164</v>
      </c>
      <c r="C155" s="12">
        <v>26.0</v>
      </c>
      <c r="D155" s="10" t="s">
        <v>139</v>
      </c>
      <c r="E155" s="10">
        <v>2025.0</v>
      </c>
      <c r="F155" s="10" t="s">
        <v>34</v>
      </c>
      <c r="G155" s="13"/>
      <c r="H155" s="13"/>
      <c r="I155" s="13">
        <f>_xlfn.FORECAST.LINEAR('BD_LeiturasHidrômetro_PRJ02'!$A155,G:G,A:A)</f>
        <v>8086.257399</v>
      </c>
      <c r="J155" s="14">
        <f>IF('BD_LeiturasHidrômetro_PRJ02'!$G155&amp;'BD_LeiturasHidrômetro_PRJ02'!$H155="",'BD_LeiturasHidrômetro_PRJ02'!$I155,'BD_LeiturasHidrômetro_PRJ02'!$G155&amp;'BD_LeiturasHidrômetro_PRJ02'!$H155)</f>
        <v>8086.257399</v>
      </c>
      <c r="K155" s="14">
        <f t="shared" si="1"/>
        <v>8073.910314</v>
      </c>
      <c r="L155" s="15"/>
      <c r="M155" s="15"/>
      <c r="N155" s="17">
        <f t="shared" si="2"/>
        <v>12.3470852</v>
      </c>
      <c r="O155" s="32" t="s">
        <v>236</v>
      </c>
      <c r="S155" s="19"/>
    </row>
    <row r="156" ht="15.75" customHeight="1">
      <c r="A156" s="10">
        <v>155.0</v>
      </c>
      <c r="B156" s="11" t="s">
        <v>165</v>
      </c>
      <c r="C156" s="12">
        <v>27.0</v>
      </c>
      <c r="D156" s="10" t="s">
        <v>139</v>
      </c>
      <c r="E156" s="10">
        <v>2025.0</v>
      </c>
      <c r="F156" s="10" t="s">
        <v>19</v>
      </c>
      <c r="G156" s="13"/>
      <c r="H156" s="13"/>
      <c r="I156" s="13">
        <f>_xlfn.FORECAST.LINEAR('BD_LeiturasHidrômetro_PRJ02'!$A156,G:G,A:A)</f>
        <v>8098.604484</v>
      </c>
      <c r="J156" s="14">
        <f>IF('BD_LeiturasHidrômetro_PRJ02'!$G156&amp;'BD_LeiturasHidrômetro_PRJ02'!$H156="",'BD_LeiturasHidrômetro_PRJ02'!$I156,'BD_LeiturasHidrômetro_PRJ02'!$G156&amp;'BD_LeiturasHidrômetro_PRJ02'!$H156)</f>
        <v>8098.604484</v>
      </c>
      <c r="K156" s="14">
        <f t="shared" si="1"/>
        <v>8086.257399</v>
      </c>
      <c r="L156" s="15"/>
      <c r="M156" s="15"/>
      <c r="N156" s="17">
        <f t="shared" si="2"/>
        <v>12.3470852</v>
      </c>
      <c r="O156" s="32" t="s">
        <v>236</v>
      </c>
      <c r="S156" s="19"/>
    </row>
    <row r="157" ht="15.75" customHeight="1">
      <c r="A157" s="10">
        <v>156.0</v>
      </c>
      <c r="B157" s="11" t="s">
        <v>166</v>
      </c>
      <c r="C157" s="12">
        <v>28.0</v>
      </c>
      <c r="D157" s="10" t="s">
        <v>139</v>
      </c>
      <c r="E157" s="10">
        <v>2025.0</v>
      </c>
      <c r="F157" s="10" t="s">
        <v>23</v>
      </c>
      <c r="G157" s="13"/>
      <c r="H157" s="13"/>
      <c r="I157" s="14">
        <f>_xlfn.FORECAST.LINEAR('BD_LeiturasHidrômetro_PRJ02'!$A157,G:G,A:A)</f>
        <v>8110.95157</v>
      </c>
      <c r="J157" s="14">
        <f>IF('BD_LeiturasHidrômetro_PRJ02'!$G157&amp;'BD_LeiturasHidrômetro_PRJ02'!$H157="",'BD_LeiturasHidrômetro_PRJ02'!$I157,'BD_LeiturasHidrômetro_PRJ02'!$G157&amp;'BD_LeiturasHidrômetro_PRJ02'!$H157)</f>
        <v>8110.95157</v>
      </c>
      <c r="K157" s="14">
        <f t="shared" si="1"/>
        <v>8098.604484</v>
      </c>
      <c r="L157" s="15"/>
      <c r="M157" s="15"/>
      <c r="N157" s="17">
        <f t="shared" si="2"/>
        <v>12.3470852</v>
      </c>
      <c r="O157" s="32" t="s">
        <v>236</v>
      </c>
      <c r="S157" s="19"/>
    </row>
    <row r="158" ht="15.75" customHeight="1">
      <c r="A158" s="10">
        <v>157.0</v>
      </c>
      <c r="B158" s="11" t="s">
        <v>167</v>
      </c>
      <c r="C158" s="12">
        <v>29.0</v>
      </c>
      <c r="D158" s="10" t="s">
        <v>139</v>
      </c>
      <c r="E158" s="10">
        <v>2025.0</v>
      </c>
      <c r="F158" s="10" t="s">
        <v>26</v>
      </c>
      <c r="G158" s="13"/>
      <c r="H158" s="13"/>
      <c r="I158" s="14">
        <f>_xlfn.FORECAST.LINEAR('BD_LeiturasHidrômetro_PRJ02'!$A158,G:G,A:A)</f>
        <v>8123.298655</v>
      </c>
      <c r="J158" s="14">
        <f>IF('BD_LeiturasHidrômetro_PRJ02'!$G158&amp;'BD_LeiturasHidrômetro_PRJ02'!$H158="",'BD_LeiturasHidrômetro_PRJ02'!$I158,'BD_LeiturasHidrômetro_PRJ02'!$G158&amp;'BD_LeiturasHidrômetro_PRJ02'!$H158)</f>
        <v>8123.298655</v>
      </c>
      <c r="K158" s="14">
        <f t="shared" si="1"/>
        <v>8110.95157</v>
      </c>
      <c r="L158" s="15"/>
      <c r="M158" s="15"/>
      <c r="N158" s="17">
        <f t="shared" si="2"/>
        <v>12.3470852</v>
      </c>
      <c r="O158" s="32" t="s">
        <v>236</v>
      </c>
      <c r="S158" s="19"/>
    </row>
    <row r="159" ht="15.75" customHeight="1">
      <c r="A159" s="10">
        <v>158.0</v>
      </c>
      <c r="B159" s="11" t="s">
        <v>168</v>
      </c>
      <c r="C159" s="12">
        <v>30.0</v>
      </c>
      <c r="D159" s="10" t="s">
        <v>139</v>
      </c>
      <c r="E159" s="10">
        <v>2025.0</v>
      </c>
      <c r="F159" s="10" t="s">
        <v>28</v>
      </c>
      <c r="G159" s="13"/>
      <c r="H159" s="13"/>
      <c r="I159" s="14">
        <f>_xlfn.FORECAST.LINEAR('BD_LeiturasHidrômetro_PRJ02'!$A159,G:G,A:A)</f>
        <v>8135.64574</v>
      </c>
      <c r="J159" s="14">
        <f>IF('BD_LeiturasHidrômetro_PRJ02'!$G159&amp;'BD_LeiturasHidrômetro_PRJ02'!$H159="",'BD_LeiturasHidrômetro_PRJ02'!$I159,'BD_LeiturasHidrômetro_PRJ02'!$G159&amp;'BD_LeiturasHidrômetro_PRJ02'!$H159)</f>
        <v>8135.64574</v>
      </c>
      <c r="K159" s="14">
        <f t="shared" si="1"/>
        <v>8123.298655</v>
      </c>
      <c r="L159" s="15"/>
      <c r="M159" s="15"/>
      <c r="N159" s="17">
        <f t="shared" si="2"/>
        <v>12.3470852</v>
      </c>
      <c r="O159" s="32" t="s">
        <v>236</v>
      </c>
      <c r="S159" s="19"/>
    </row>
    <row r="160" ht="15.75" customHeight="1">
      <c r="A160" s="10">
        <v>159.0</v>
      </c>
      <c r="B160" s="11" t="s">
        <v>169</v>
      </c>
      <c r="C160" s="12">
        <v>31.0</v>
      </c>
      <c r="D160" s="10" t="s">
        <v>139</v>
      </c>
      <c r="E160" s="10">
        <v>2025.0</v>
      </c>
      <c r="F160" s="10" t="s">
        <v>30</v>
      </c>
      <c r="G160" s="13"/>
      <c r="H160" s="13"/>
      <c r="I160" s="14">
        <f>_xlfn.FORECAST.LINEAR('BD_LeiturasHidrômetro_PRJ02'!$A160,G:G,A:A)</f>
        <v>8147.992825</v>
      </c>
      <c r="J160" s="14">
        <f>IF('BD_LeiturasHidrômetro_PRJ02'!$G160&amp;'BD_LeiturasHidrômetro_PRJ02'!$H160="",'BD_LeiturasHidrômetro_PRJ02'!$I160,'BD_LeiturasHidrômetro_PRJ02'!$G160&amp;'BD_LeiturasHidrômetro_PRJ02'!$H160)</f>
        <v>8147.992825</v>
      </c>
      <c r="K160" s="14">
        <f t="shared" si="1"/>
        <v>8135.64574</v>
      </c>
      <c r="L160" s="15"/>
      <c r="M160" s="15"/>
      <c r="N160" s="17">
        <f t="shared" si="2"/>
        <v>12.3470852</v>
      </c>
      <c r="O160" s="32" t="s">
        <v>236</v>
      </c>
      <c r="S160" s="19"/>
    </row>
    <row r="161" ht="15.75" customHeight="1">
      <c r="A161" s="10">
        <v>160.0</v>
      </c>
      <c r="B161" s="11" t="s">
        <v>170</v>
      </c>
      <c r="C161" s="12">
        <v>1.0</v>
      </c>
      <c r="D161" s="10" t="s">
        <v>171</v>
      </c>
      <c r="E161" s="10">
        <v>2025.0</v>
      </c>
      <c r="F161" s="10" t="s">
        <v>32</v>
      </c>
      <c r="G161" s="13"/>
      <c r="H161" s="13"/>
      <c r="I161" s="13">
        <f>_xlfn.FORECAST.LINEAR('BD_LeiturasHidrômetro_PRJ02'!$A161,G:G,A:A)</f>
        <v>8160.33991</v>
      </c>
      <c r="J161" s="14">
        <f>IF('BD_LeiturasHidrômetro_PRJ02'!$G161&amp;'BD_LeiturasHidrômetro_PRJ02'!$H161="",'BD_LeiturasHidrômetro_PRJ02'!$I161,'BD_LeiturasHidrômetro_PRJ02'!$G161&amp;'BD_LeiturasHidrômetro_PRJ02'!$H161)</f>
        <v>8160.33991</v>
      </c>
      <c r="K161" s="14">
        <f t="shared" si="1"/>
        <v>8147.992825</v>
      </c>
      <c r="L161" s="15"/>
      <c r="M161" s="15"/>
      <c r="N161" s="17">
        <f t="shared" si="2"/>
        <v>12.3470852</v>
      </c>
      <c r="O161" s="32" t="s">
        <v>236</v>
      </c>
      <c r="S161" s="19"/>
    </row>
    <row r="162" ht="15.75" customHeight="1">
      <c r="A162" s="10">
        <v>161.0</v>
      </c>
      <c r="B162" s="11" t="s">
        <v>172</v>
      </c>
      <c r="C162" s="12">
        <v>2.0</v>
      </c>
      <c r="D162" s="10" t="s">
        <v>171</v>
      </c>
      <c r="E162" s="10">
        <v>2025.0</v>
      </c>
      <c r="F162" s="10" t="s">
        <v>34</v>
      </c>
      <c r="G162" s="13"/>
      <c r="H162" s="13"/>
      <c r="I162" s="13">
        <f>_xlfn.FORECAST.LINEAR('BD_LeiturasHidrômetro_PRJ02'!$A162,G:G,A:A)</f>
        <v>8172.686996</v>
      </c>
      <c r="J162" s="14">
        <f>IF('BD_LeiturasHidrômetro_PRJ02'!$G162&amp;'BD_LeiturasHidrômetro_PRJ02'!$H162="",'BD_LeiturasHidrômetro_PRJ02'!$I162,'BD_LeiturasHidrômetro_PRJ02'!$G162&amp;'BD_LeiturasHidrômetro_PRJ02'!$H162)</f>
        <v>8172.686996</v>
      </c>
      <c r="K162" s="14">
        <f t="shared" si="1"/>
        <v>8160.33991</v>
      </c>
      <c r="L162" s="15"/>
      <c r="M162" s="15"/>
      <c r="N162" s="17">
        <f t="shared" si="2"/>
        <v>12.3470852</v>
      </c>
      <c r="O162" s="32" t="s">
        <v>236</v>
      </c>
      <c r="S162" s="19"/>
    </row>
    <row r="163" ht="15.75" customHeight="1">
      <c r="A163" s="10">
        <v>162.0</v>
      </c>
      <c r="B163" s="11" t="s">
        <v>173</v>
      </c>
      <c r="C163" s="12">
        <v>3.0</v>
      </c>
      <c r="D163" s="10" t="s">
        <v>171</v>
      </c>
      <c r="E163" s="10">
        <v>2025.0</v>
      </c>
      <c r="F163" s="10" t="s">
        <v>19</v>
      </c>
      <c r="G163" s="13"/>
      <c r="H163" s="13"/>
      <c r="I163" s="13">
        <f>_xlfn.FORECAST.LINEAR('BD_LeiturasHidrômetro_PRJ02'!$A163,G:G,A:A)</f>
        <v>8185.034081</v>
      </c>
      <c r="J163" s="14">
        <f>IF('BD_LeiturasHidrômetro_PRJ02'!$G163&amp;'BD_LeiturasHidrômetro_PRJ02'!$H163="",'BD_LeiturasHidrômetro_PRJ02'!$I163,'BD_LeiturasHidrômetro_PRJ02'!$G163&amp;'BD_LeiturasHidrômetro_PRJ02'!$H163)</f>
        <v>8185.034081</v>
      </c>
      <c r="K163" s="14">
        <f t="shared" si="1"/>
        <v>8172.686996</v>
      </c>
      <c r="L163" s="15"/>
      <c r="M163" s="15"/>
      <c r="N163" s="17">
        <f t="shared" si="2"/>
        <v>12.3470852</v>
      </c>
      <c r="O163" s="32" t="s">
        <v>236</v>
      </c>
      <c r="S163" s="19"/>
    </row>
    <row r="164" ht="15.75" customHeight="1">
      <c r="A164" s="10">
        <v>163.0</v>
      </c>
      <c r="B164" s="11" t="s">
        <v>174</v>
      </c>
      <c r="C164" s="12">
        <v>4.0</v>
      </c>
      <c r="D164" s="10" t="s">
        <v>171</v>
      </c>
      <c r="E164" s="10">
        <v>2025.0</v>
      </c>
      <c r="F164" s="10" t="s">
        <v>23</v>
      </c>
      <c r="G164" s="13"/>
      <c r="H164" s="13"/>
      <c r="I164" s="14">
        <f>_xlfn.FORECAST.LINEAR('BD_LeiturasHidrômetro_PRJ02'!$A164,G:G,A:A)</f>
        <v>8197.381166</v>
      </c>
      <c r="J164" s="14">
        <f>IF('BD_LeiturasHidrômetro_PRJ02'!$G164&amp;'BD_LeiturasHidrômetro_PRJ02'!$H164="",'BD_LeiturasHidrômetro_PRJ02'!$I164,'BD_LeiturasHidrômetro_PRJ02'!$G164&amp;'BD_LeiturasHidrômetro_PRJ02'!$H164)</f>
        <v>8197.381166</v>
      </c>
      <c r="K164" s="14">
        <f t="shared" si="1"/>
        <v>8185.034081</v>
      </c>
      <c r="L164" s="15"/>
      <c r="M164" s="15"/>
      <c r="N164" s="17">
        <f t="shared" si="2"/>
        <v>12.3470852</v>
      </c>
      <c r="O164" s="32" t="s">
        <v>236</v>
      </c>
      <c r="S164" s="19"/>
    </row>
    <row r="165" ht="15.75" customHeight="1">
      <c r="A165" s="10">
        <v>164.0</v>
      </c>
      <c r="B165" s="11" t="s">
        <v>175</v>
      </c>
      <c r="C165" s="12">
        <v>5.0</v>
      </c>
      <c r="D165" s="10" t="s">
        <v>171</v>
      </c>
      <c r="E165" s="10">
        <v>2025.0</v>
      </c>
      <c r="F165" s="10" t="s">
        <v>26</v>
      </c>
      <c r="G165" s="13"/>
      <c r="H165" s="13"/>
      <c r="I165" s="14">
        <f>_xlfn.FORECAST.LINEAR('BD_LeiturasHidrômetro_PRJ02'!$A165,G:G,A:A)</f>
        <v>8209.728251</v>
      </c>
      <c r="J165" s="14">
        <f>IF('BD_LeiturasHidrômetro_PRJ02'!$G165&amp;'BD_LeiturasHidrômetro_PRJ02'!$H165="",'BD_LeiturasHidrômetro_PRJ02'!$I165,'BD_LeiturasHidrômetro_PRJ02'!$G165&amp;'BD_LeiturasHidrômetro_PRJ02'!$H165)</f>
        <v>8209.728251</v>
      </c>
      <c r="K165" s="14">
        <f t="shared" si="1"/>
        <v>8197.381166</v>
      </c>
      <c r="L165" s="15"/>
      <c r="M165" s="15"/>
      <c r="N165" s="17">
        <f t="shared" si="2"/>
        <v>12.3470852</v>
      </c>
      <c r="O165" s="32" t="s">
        <v>236</v>
      </c>
      <c r="S165" s="19"/>
    </row>
    <row r="166" ht="15.75" customHeight="1">
      <c r="A166" s="10">
        <v>165.0</v>
      </c>
      <c r="B166" s="11" t="s">
        <v>176</v>
      </c>
      <c r="C166" s="12">
        <v>6.0</v>
      </c>
      <c r="D166" s="10" t="s">
        <v>171</v>
      </c>
      <c r="E166" s="10">
        <v>2025.0</v>
      </c>
      <c r="F166" s="10" t="s">
        <v>28</v>
      </c>
      <c r="G166" s="13"/>
      <c r="H166" s="13"/>
      <c r="I166" s="14">
        <f>_xlfn.FORECAST.LINEAR('BD_LeiturasHidrômetro_PRJ02'!$A166,G:G,A:A)</f>
        <v>8222.075336</v>
      </c>
      <c r="J166" s="14">
        <f>IF('BD_LeiturasHidrômetro_PRJ02'!$G166&amp;'BD_LeiturasHidrômetro_PRJ02'!$H166="",'BD_LeiturasHidrômetro_PRJ02'!$I166,'BD_LeiturasHidrômetro_PRJ02'!$G166&amp;'BD_LeiturasHidrômetro_PRJ02'!$H166)</f>
        <v>8222.075336</v>
      </c>
      <c r="K166" s="14">
        <f t="shared" si="1"/>
        <v>8209.728251</v>
      </c>
      <c r="L166" s="15"/>
      <c r="M166" s="15"/>
      <c r="N166" s="17">
        <f t="shared" si="2"/>
        <v>12.3470852</v>
      </c>
      <c r="O166" s="32" t="s">
        <v>236</v>
      </c>
      <c r="S166" s="19"/>
    </row>
    <row r="167" ht="15.75" customHeight="1">
      <c r="A167" s="10">
        <v>166.0</v>
      </c>
      <c r="B167" s="11" t="s">
        <v>177</v>
      </c>
      <c r="C167" s="12">
        <v>7.0</v>
      </c>
      <c r="D167" s="10" t="s">
        <v>171</v>
      </c>
      <c r="E167" s="10">
        <v>2025.0</v>
      </c>
      <c r="F167" s="10" t="s">
        <v>30</v>
      </c>
      <c r="G167" s="13"/>
      <c r="H167" s="13"/>
      <c r="I167" s="14">
        <f>_xlfn.FORECAST.LINEAR('BD_LeiturasHidrômetro_PRJ02'!$A167,G:G,A:A)</f>
        <v>8234.422422</v>
      </c>
      <c r="J167" s="14">
        <f>IF('BD_LeiturasHidrômetro_PRJ02'!$G167&amp;'BD_LeiturasHidrômetro_PRJ02'!$H167="",'BD_LeiturasHidrômetro_PRJ02'!$I167,'BD_LeiturasHidrômetro_PRJ02'!$G167&amp;'BD_LeiturasHidrômetro_PRJ02'!$H167)</f>
        <v>8234.422422</v>
      </c>
      <c r="K167" s="14">
        <f t="shared" si="1"/>
        <v>8222.075336</v>
      </c>
      <c r="L167" s="15"/>
      <c r="M167" s="15"/>
      <c r="N167" s="17">
        <f t="shared" si="2"/>
        <v>12.3470852</v>
      </c>
      <c r="O167" s="32" t="s">
        <v>236</v>
      </c>
      <c r="S167" s="19"/>
    </row>
    <row r="168" ht="15.75" customHeight="1">
      <c r="A168" s="10">
        <v>167.0</v>
      </c>
      <c r="B168" s="11" t="s">
        <v>178</v>
      </c>
      <c r="C168" s="12">
        <v>8.0</v>
      </c>
      <c r="D168" s="10" t="s">
        <v>171</v>
      </c>
      <c r="E168" s="10">
        <v>2025.0</v>
      </c>
      <c r="F168" s="10" t="s">
        <v>32</v>
      </c>
      <c r="G168" s="13"/>
      <c r="H168" s="13"/>
      <c r="I168" s="13">
        <f>_xlfn.FORECAST.LINEAR('BD_LeiturasHidrômetro_PRJ02'!$A168,G:G,A:A)</f>
        <v>8246.769507</v>
      </c>
      <c r="J168" s="14">
        <f>IF('BD_LeiturasHidrômetro_PRJ02'!$G168&amp;'BD_LeiturasHidrômetro_PRJ02'!$H168="",'BD_LeiturasHidrômetro_PRJ02'!$I168,'BD_LeiturasHidrômetro_PRJ02'!$G168&amp;'BD_LeiturasHidrômetro_PRJ02'!$H168)</f>
        <v>8246.769507</v>
      </c>
      <c r="K168" s="14">
        <f t="shared" si="1"/>
        <v>8234.422422</v>
      </c>
      <c r="L168" s="15"/>
      <c r="M168" s="15"/>
      <c r="N168" s="17">
        <f t="shared" si="2"/>
        <v>12.3470852</v>
      </c>
      <c r="O168" s="32" t="s">
        <v>236</v>
      </c>
      <c r="S168" s="19"/>
    </row>
    <row r="169" ht="15.75" customHeight="1">
      <c r="A169" s="10">
        <v>168.0</v>
      </c>
      <c r="B169" s="11" t="s">
        <v>179</v>
      </c>
      <c r="C169" s="12">
        <v>9.0</v>
      </c>
      <c r="D169" s="10" t="s">
        <v>171</v>
      </c>
      <c r="E169" s="10">
        <v>2025.0</v>
      </c>
      <c r="F169" s="10" t="s">
        <v>34</v>
      </c>
      <c r="G169" s="13"/>
      <c r="H169" s="13"/>
      <c r="I169" s="13">
        <f>_xlfn.FORECAST.LINEAR('BD_LeiturasHidrômetro_PRJ02'!$A169,G:G,A:A)</f>
        <v>8259.116592</v>
      </c>
      <c r="J169" s="14">
        <f>IF('BD_LeiturasHidrômetro_PRJ02'!$G169&amp;'BD_LeiturasHidrômetro_PRJ02'!$H169="",'BD_LeiturasHidrômetro_PRJ02'!$I169,'BD_LeiturasHidrômetro_PRJ02'!$G169&amp;'BD_LeiturasHidrômetro_PRJ02'!$H169)</f>
        <v>8259.116592</v>
      </c>
      <c r="K169" s="14">
        <f t="shared" si="1"/>
        <v>8246.769507</v>
      </c>
      <c r="L169" s="15"/>
      <c r="M169" s="15"/>
      <c r="N169" s="17">
        <f t="shared" si="2"/>
        <v>12.3470852</v>
      </c>
      <c r="O169" s="32" t="s">
        <v>236</v>
      </c>
      <c r="S169" s="19"/>
    </row>
    <row r="170" ht="15.75" customHeight="1">
      <c r="A170" s="10">
        <v>169.0</v>
      </c>
      <c r="B170" s="11" t="s">
        <v>180</v>
      </c>
      <c r="C170" s="12">
        <v>10.0</v>
      </c>
      <c r="D170" s="10" t="s">
        <v>171</v>
      </c>
      <c r="E170" s="10">
        <v>2025.0</v>
      </c>
      <c r="F170" s="10" t="s">
        <v>19</v>
      </c>
      <c r="G170" s="13"/>
      <c r="H170" s="13"/>
      <c r="I170" s="13">
        <f>_xlfn.FORECAST.LINEAR('BD_LeiturasHidrômetro_PRJ02'!$A170,G:G,A:A)</f>
        <v>8271.463677</v>
      </c>
      <c r="J170" s="14">
        <f>IF('BD_LeiturasHidrômetro_PRJ02'!$G170&amp;'BD_LeiturasHidrômetro_PRJ02'!$H170="",'BD_LeiturasHidrômetro_PRJ02'!$I170,'BD_LeiturasHidrômetro_PRJ02'!$G170&amp;'BD_LeiturasHidrômetro_PRJ02'!$H170)</f>
        <v>8271.463677</v>
      </c>
      <c r="K170" s="14">
        <f t="shared" si="1"/>
        <v>8259.116592</v>
      </c>
      <c r="L170" s="15"/>
      <c r="M170" s="15"/>
      <c r="N170" s="17">
        <f t="shared" si="2"/>
        <v>12.3470852</v>
      </c>
      <c r="O170" s="32" t="s">
        <v>236</v>
      </c>
      <c r="S170" s="19"/>
    </row>
    <row r="171" ht="15.75" customHeight="1">
      <c r="A171" s="10">
        <v>170.0</v>
      </c>
      <c r="B171" s="11" t="s">
        <v>181</v>
      </c>
      <c r="C171" s="12">
        <v>11.0</v>
      </c>
      <c r="D171" s="10" t="s">
        <v>171</v>
      </c>
      <c r="E171" s="10">
        <v>2025.0</v>
      </c>
      <c r="F171" s="10" t="s">
        <v>23</v>
      </c>
      <c r="G171" s="13"/>
      <c r="H171" s="13"/>
      <c r="I171" s="14">
        <f>_xlfn.FORECAST.LINEAR('BD_LeiturasHidrômetro_PRJ02'!$A171,G:G,A:A)</f>
        <v>8283.810762</v>
      </c>
      <c r="J171" s="14">
        <f>IF('BD_LeiturasHidrômetro_PRJ02'!$G171&amp;'BD_LeiturasHidrômetro_PRJ02'!$H171="",'BD_LeiturasHidrômetro_PRJ02'!$I171,'BD_LeiturasHidrômetro_PRJ02'!$G171&amp;'BD_LeiturasHidrômetro_PRJ02'!$H171)</f>
        <v>8283.810762</v>
      </c>
      <c r="K171" s="14">
        <f t="shared" si="1"/>
        <v>8271.463677</v>
      </c>
      <c r="L171" s="15"/>
      <c r="M171" s="15"/>
      <c r="N171" s="17">
        <f t="shared" si="2"/>
        <v>12.3470852</v>
      </c>
      <c r="O171" s="32" t="s">
        <v>236</v>
      </c>
      <c r="S171" s="19"/>
    </row>
    <row r="172" ht="15.75" customHeight="1">
      <c r="A172" s="10">
        <v>171.0</v>
      </c>
      <c r="B172" s="11" t="s">
        <v>182</v>
      </c>
      <c r="C172" s="12">
        <v>12.0</v>
      </c>
      <c r="D172" s="10" t="s">
        <v>171</v>
      </c>
      <c r="E172" s="10">
        <v>2025.0</v>
      </c>
      <c r="F172" s="10" t="s">
        <v>26</v>
      </c>
      <c r="G172" s="13"/>
      <c r="H172" s="13"/>
      <c r="I172" s="14">
        <f>_xlfn.FORECAST.LINEAR('BD_LeiturasHidrômetro_PRJ02'!$A172,G:G,A:A)</f>
        <v>8296.157848</v>
      </c>
      <c r="J172" s="14">
        <f>IF('BD_LeiturasHidrômetro_PRJ02'!$G172&amp;'BD_LeiturasHidrômetro_PRJ02'!$H172="",'BD_LeiturasHidrômetro_PRJ02'!$I172,'BD_LeiturasHidrômetro_PRJ02'!$G172&amp;'BD_LeiturasHidrômetro_PRJ02'!$H172)</f>
        <v>8296.157848</v>
      </c>
      <c r="K172" s="14">
        <f t="shared" si="1"/>
        <v>8283.810762</v>
      </c>
      <c r="L172" s="15"/>
      <c r="M172" s="15"/>
      <c r="N172" s="17">
        <f t="shared" si="2"/>
        <v>12.3470852</v>
      </c>
      <c r="O172" s="32" t="s">
        <v>236</v>
      </c>
      <c r="S172" s="19"/>
    </row>
    <row r="173" ht="15.75" customHeight="1">
      <c r="A173" s="10">
        <v>172.0</v>
      </c>
      <c r="B173" s="11" t="s">
        <v>183</v>
      </c>
      <c r="C173" s="12">
        <v>13.0</v>
      </c>
      <c r="D173" s="10" t="s">
        <v>171</v>
      </c>
      <c r="E173" s="10">
        <v>2025.0</v>
      </c>
      <c r="F173" s="10" t="s">
        <v>28</v>
      </c>
      <c r="G173" s="13"/>
      <c r="H173" s="13"/>
      <c r="I173" s="14">
        <f>_xlfn.FORECAST.LINEAR('BD_LeiturasHidrômetro_PRJ02'!$A173,G:G,A:A)</f>
        <v>8308.504933</v>
      </c>
      <c r="J173" s="14">
        <f>IF('BD_LeiturasHidrômetro_PRJ02'!$G173&amp;'BD_LeiturasHidrômetro_PRJ02'!$H173="",'BD_LeiturasHidrômetro_PRJ02'!$I173,'BD_LeiturasHidrômetro_PRJ02'!$G173&amp;'BD_LeiturasHidrômetro_PRJ02'!$H173)</f>
        <v>8308.504933</v>
      </c>
      <c r="K173" s="14">
        <f t="shared" si="1"/>
        <v>8296.157848</v>
      </c>
      <c r="L173" s="15"/>
      <c r="M173" s="15"/>
      <c r="N173" s="17">
        <f t="shared" si="2"/>
        <v>12.3470852</v>
      </c>
      <c r="O173" s="32" t="s">
        <v>236</v>
      </c>
      <c r="S173" s="19"/>
    </row>
    <row r="174" ht="15.75" customHeight="1">
      <c r="A174" s="10">
        <v>173.0</v>
      </c>
      <c r="B174" s="11" t="s">
        <v>184</v>
      </c>
      <c r="C174" s="12">
        <v>14.0</v>
      </c>
      <c r="D174" s="10" t="s">
        <v>171</v>
      </c>
      <c r="E174" s="10">
        <v>2025.0</v>
      </c>
      <c r="F174" s="10" t="s">
        <v>30</v>
      </c>
      <c r="G174" s="13"/>
      <c r="H174" s="13"/>
      <c r="I174" s="14">
        <f>_xlfn.FORECAST.LINEAR('BD_LeiturasHidrômetro_PRJ02'!$A174,G:G,A:A)</f>
        <v>8320.852018</v>
      </c>
      <c r="J174" s="14">
        <f>IF('BD_LeiturasHidrômetro_PRJ02'!$G174&amp;'BD_LeiturasHidrômetro_PRJ02'!$H174="",'BD_LeiturasHidrômetro_PRJ02'!$I174,'BD_LeiturasHidrômetro_PRJ02'!$G174&amp;'BD_LeiturasHidrômetro_PRJ02'!$H174)</f>
        <v>8320.852018</v>
      </c>
      <c r="K174" s="14">
        <f t="shared" si="1"/>
        <v>8308.504933</v>
      </c>
      <c r="L174" s="15"/>
      <c r="M174" s="15"/>
      <c r="N174" s="17">
        <f t="shared" si="2"/>
        <v>12.3470852</v>
      </c>
      <c r="O174" s="32" t="s">
        <v>236</v>
      </c>
      <c r="S174" s="19"/>
    </row>
    <row r="175" ht="15.75" customHeight="1">
      <c r="A175" s="10">
        <v>174.0</v>
      </c>
      <c r="B175" s="11" t="s">
        <v>185</v>
      </c>
      <c r="C175" s="12">
        <v>15.0</v>
      </c>
      <c r="D175" s="10" t="s">
        <v>171</v>
      </c>
      <c r="E175" s="10">
        <v>2025.0</v>
      </c>
      <c r="F175" s="10" t="s">
        <v>32</v>
      </c>
      <c r="G175" s="13"/>
      <c r="H175" s="13"/>
      <c r="I175" s="13">
        <f>_xlfn.FORECAST.LINEAR('BD_LeiturasHidrômetro_PRJ02'!$A175,G:G,A:A)</f>
        <v>8333.199103</v>
      </c>
      <c r="J175" s="14">
        <f>IF('BD_LeiturasHidrômetro_PRJ02'!$G175&amp;'BD_LeiturasHidrômetro_PRJ02'!$H175="",'BD_LeiturasHidrômetro_PRJ02'!$I175,'BD_LeiturasHidrômetro_PRJ02'!$G175&amp;'BD_LeiturasHidrômetro_PRJ02'!$H175)</f>
        <v>8333.199103</v>
      </c>
      <c r="K175" s="14">
        <f t="shared" si="1"/>
        <v>8320.852018</v>
      </c>
      <c r="L175" s="15"/>
      <c r="M175" s="15"/>
      <c r="N175" s="17">
        <f t="shared" si="2"/>
        <v>12.3470852</v>
      </c>
      <c r="O175" s="32" t="s">
        <v>236</v>
      </c>
      <c r="S175" s="19"/>
    </row>
    <row r="176" ht="15.75" customHeight="1">
      <c r="A176" s="10">
        <v>175.0</v>
      </c>
      <c r="B176" s="11" t="s">
        <v>186</v>
      </c>
      <c r="C176" s="12">
        <v>16.0</v>
      </c>
      <c r="D176" s="10" t="s">
        <v>171</v>
      </c>
      <c r="E176" s="10">
        <v>2025.0</v>
      </c>
      <c r="F176" s="10" t="s">
        <v>34</v>
      </c>
      <c r="G176" s="13"/>
      <c r="H176" s="13"/>
      <c r="I176" s="13">
        <f>_xlfn.FORECAST.LINEAR('BD_LeiturasHidrômetro_PRJ02'!$A176,G:G,A:A)</f>
        <v>8345.546188</v>
      </c>
      <c r="J176" s="14">
        <f>IF('BD_LeiturasHidrômetro_PRJ02'!$G176&amp;'BD_LeiturasHidrômetro_PRJ02'!$H176="",'BD_LeiturasHidrômetro_PRJ02'!$I176,'BD_LeiturasHidrômetro_PRJ02'!$G176&amp;'BD_LeiturasHidrômetro_PRJ02'!$H176)</f>
        <v>8345.546188</v>
      </c>
      <c r="K176" s="14">
        <f t="shared" si="1"/>
        <v>8333.199103</v>
      </c>
      <c r="L176" s="15"/>
      <c r="M176" s="15"/>
      <c r="N176" s="17">
        <f t="shared" si="2"/>
        <v>12.3470852</v>
      </c>
      <c r="O176" s="32" t="s">
        <v>236</v>
      </c>
      <c r="S176" s="19"/>
    </row>
    <row r="177" ht="15.75" customHeight="1">
      <c r="A177" s="10">
        <v>176.0</v>
      </c>
      <c r="B177" s="11" t="s">
        <v>187</v>
      </c>
      <c r="C177" s="12">
        <v>17.0</v>
      </c>
      <c r="D177" s="10" t="s">
        <v>171</v>
      </c>
      <c r="E177" s="10">
        <v>2025.0</v>
      </c>
      <c r="F177" s="10" t="s">
        <v>19</v>
      </c>
      <c r="G177" s="13"/>
      <c r="H177" s="13"/>
      <c r="I177" s="13">
        <f>_xlfn.FORECAST.LINEAR('BD_LeiturasHidrômetro_PRJ02'!$A177,G:G,A:A)</f>
        <v>8357.893274</v>
      </c>
      <c r="J177" s="14">
        <f>IF('BD_LeiturasHidrômetro_PRJ02'!$G177&amp;'BD_LeiturasHidrômetro_PRJ02'!$H177="",'BD_LeiturasHidrômetro_PRJ02'!$I177,'BD_LeiturasHidrômetro_PRJ02'!$G177&amp;'BD_LeiturasHidrômetro_PRJ02'!$H177)</f>
        <v>8357.893274</v>
      </c>
      <c r="K177" s="14">
        <f t="shared" si="1"/>
        <v>8345.546188</v>
      </c>
      <c r="L177" s="15"/>
      <c r="M177" s="15"/>
      <c r="N177" s="17">
        <f t="shared" si="2"/>
        <v>12.3470852</v>
      </c>
      <c r="O177" s="32" t="s">
        <v>236</v>
      </c>
      <c r="S177" s="19"/>
    </row>
    <row r="178" ht="15.75" customHeight="1">
      <c r="A178" s="10">
        <v>177.0</v>
      </c>
      <c r="B178" s="11" t="s">
        <v>188</v>
      </c>
      <c r="C178" s="12">
        <v>18.0</v>
      </c>
      <c r="D178" s="10" t="s">
        <v>171</v>
      </c>
      <c r="E178" s="10">
        <v>2025.0</v>
      </c>
      <c r="F178" s="10" t="s">
        <v>23</v>
      </c>
      <c r="G178" s="13"/>
      <c r="H178" s="13"/>
      <c r="I178" s="14">
        <f>_xlfn.FORECAST.LINEAR('BD_LeiturasHidrômetro_PRJ02'!$A178,G:G,A:A)</f>
        <v>8370.240359</v>
      </c>
      <c r="J178" s="14">
        <f>IF('BD_LeiturasHidrômetro_PRJ02'!$G178&amp;'BD_LeiturasHidrômetro_PRJ02'!$H178="",'BD_LeiturasHidrômetro_PRJ02'!$I178,'BD_LeiturasHidrômetro_PRJ02'!$G178&amp;'BD_LeiturasHidrômetro_PRJ02'!$H178)</f>
        <v>8370.240359</v>
      </c>
      <c r="K178" s="14">
        <f t="shared" si="1"/>
        <v>8357.893274</v>
      </c>
      <c r="L178" s="15"/>
      <c r="M178" s="15"/>
      <c r="N178" s="17">
        <f t="shared" si="2"/>
        <v>12.3470852</v>
      </c>
      <c r="O178" s="32" t="s">
        <v>236</v>
      </c>
      <c r="S178" s="19"/>
    </row>
    <row r="179" ht="15.75" customHeight="1">
      <c r="A179" s="10">
        <v>178.0</v>
      </c>
      <c r="B179" s="11" t="s">
        <v>189</v>
      </c>
      <c r="C179" s="12">
        <v>19.0</v>
      </c>
      <c r="D179" s="10" t="s">
        <v>171</v>
      </c>
      <c r="E179" s="10">
        <v>2025.0</v>
      </c>
      <c r="F179" s="10" t="s">
        <v>26</v>
      </c>
      <c r="G179" s="13"/>
      <c r="H179" s="13"/>
      <c r="I179" s="14">
        <f>_xlfn.FORECAST.LINEAR('BD_LeiturasHidrômetro_PRJ02'!$A179,G:G,A:A)</f>
        <v>8382.587444</v>
      </c>
      <c r="J179" s="14">
        <f>IF('BD_LeiturasHidrômetro_PRJ02'!$G179&amp;'BD_LeiturasHidrômetro_PRJ02'!$H179="",'BD_LeiturasHidrômetro_PRJ02'!$I179,'BD_LeiturasHidrômetro_PRJ02'!$G179&amp;'BD_LeiturasHidrômetro_PRJ02'!$H179)</f>
        <v>8382.587444</v>
      </c>
      <c r="K179" s="14">
        <f t="shared" si="1"/>
        <v>8370.240359</v>
      </c>
      <c r="L179" s="15"/>
      <c r="M179" s="15"/>
      <c r="N179" s="17">
        <f t="shared" si="2"/>
        <v>12.3470852</v>
      </c>
      <c r="O179" s="32" t="s">
        <v>236</v>
      </c>
      <c r="S179" s="19"/>
    </row>
    <row r="180" ht="15.75" customHeight="1">
      <c r="A180" s="10">
        <v>179.0</v>
      </c>
      <c r="B180" s="11" t="s">
        <v>190</v>
      </c>
      <c r="C180" s="12">
        <v>20.0</v>
      </c>
      <c r="D180" s="10" t="s">
        <v>171</v>
      </c>
      <c r="E180" s="10">
        <v>2025.0</v>
      </c>
      <c r="F180" s="10" t="s">
        <v>28</v>
      </c>
      <c r="G180" s="13"/>
      <c r="H180" s="13"/>
      <c r="I180" s="14">
        <f>_xlfn.FORECAST.LINEAR('BD_LeiturasHidrômetro_PRJ02'!$A180,G:G,A:A)</f>
        <v>8394.934529</v>
      </c>
      <c r="J180" s="14">
        <f>IF('BD_LeiturasHidrômetro_PRJ02'!$G180&amp;'BD_LeiturasHidrômetro_PRJ02'!$H180="",'BD_LeiturasHidrômetro_PRJ02'!$I180,'BD_LeiturasHidrômetro_PRJ02'!$G180&amp;'BD_LeiturasHidrômetro_PRJ02'!$H180)</f>
        <v>8394.934529</v>
      </c>
      <c r="K180" s="14">
        <f t="shared" si="1"/>
        <v>8382.587444</v>
      </c>
      <c r="L180" s="15"/>
      <c r="M180" s="15"/>
      <c r="N180" s="17">
        <f t="shared" si="2"/>
        <v>12.3470852</v>
      </c>
      <c r="O180" s="32" t="s">
        <v>236</v>
      </c>
      <c r="S180" s="19"/>
    </row>
    <row r="181" ht="15.75" customHeight="1">
      <c r="A181" s="10">
        <v>180.0</v>
      </c>
      <c r="B181" s="11" t="s">
        <v>191</v>
      </c>
      <c r="C181" s="12">
        <v>21.0</v>
      </c>
      <c r="D181" s="10" t="s">
        <v>171</v>
      </c>
      <c r="E181" s="10">
        <v>2025.0</v>
      </c>
      <c r="F181" s="10" t="s">
        <v>30</v>
      </c>
      <c r="G181" s="13"/>
      <c r="H181" s="13"/>
      <c r="I181" s="14">
        <f>_xlfn.FORECAST.LINEAR('BD_LeiturasHidrômetro_PRJ02'!$A181,G:G,A:A)</f>
        <v>8407.281614</v>
      </c>
      <c r="J181" s="14">
        <f>IF('BD_LeiturasHidrômetro_PRJ02'!$G181&amp;'BD_LeiturasHidrômetro_PRJ02'!$H181="",'BD_LeiturasHidrômetro_PRJ02'!$I181,'BD_LeiturasHidrômetro_PRJ02'!$G181&amp;'BD_LeiturasHidrômetro_PRJ02'!$H181)</f>
        <v>8407.281614</v>
      </c>
      <c r="K181" s="14">
        <f t="shared" si="1"/>
        <v>8394.934529</v>
      </c>
      <c r="L181" s="15"/>
      <c r="M181" s="15"/>
      <c r="N181" s="17">
        <f t="shared" si="2"/>
        <v>12.3470852</v>
      </c>
      <c r="O181" s="32" t="s">
        <v>236</v>
      </c>
      <c r="S181" s="19"/>
    </row>
    <row r="182" ht="15.75" customHeight="1">
      <c r="A182" s="10">
        <v>181.0</v>
      </c>
      <c r="B182" s="11" t="s">
        <v>192</v>
      </c>
      <c r="C182" s="12">
        <v>22.0</v>
      </c>
      <c r="D182" s="10" t="s">
        <v>171</v>
      </c>
      <c r="E182" s="10">
        <v>2025.0</v>
      </c>
      <c r="F182" s="10" t="s">
        <v>32</v>
      </c>
      <c r="G182" s="13"/>
      <c r="H182" s="13"/>
      <c r="I182" s="13">
        <f>_xlfn.FORECAST.LINEAR('BD_LeiturasHidrômetro_PRJ02'!$A182,G:G,A:A)</f>
        <v>8419.6287</v>
      </c>
      <c r="J182" s="14">
        <f>IF('BD_LeiturasHidrômetro_PRJ02'!$G182&amp;'BD_LeiturasHidrômetro_PRJ02'!$H182="",'BD_LeiturasHidrômetro_PRJ02'!$I182,'BD_LeiturasHidrômetro_PRJ02'!$G182&amp;'BD_LeiturasHidrômetro_PRJ02'!$H182)</f>
        <v>8419.6287</v>
      </c>
      <c r="K182" s="14">
        <f t="shared" si="1"/>
        <v>8407.281614</v>
      </c>
      <c r="L182" s="15"/>
      <c r="M182" s="15"/>
      <c r="N182" s="17">
        <f t="shared" si="2"/>
        <v>12.3470852</v>
      </c>
      <c r="O182" s="32" t="s">
        <v>236</v>
      </c>
      <c r="S182" s="19"/>
    </row>
    <row r="183" ht="15.75" customHeight="1">
      <c r="A183" s="10">
        <v>182.0</v>
      </c>
      <c r="B183" s="11" t="s">
        <v>193</v>
      </c>
      <c r="C183" s="12">
        <v>23.0</v>
      </c>
      <c r="D183" s="10" t="s">
        <v>171</v>
      </c>
      <c r="E183" s="10">
        <v>2025.0</v>
      </c>
      <c r="F183" s="10" t="s">
        <v>34</v>
      </c>
      <c r="G183" s="13"/>
      <c r="H183" s="13"/>
      <c r="I183" s="13">
        <f>_xlfn.FORECAST.LINEAR('BD_LeiturasHidrômetro_PRJ02'!$A183,G:G,A:A)</f>
        <v>8431.975785</v>
      </c>
      <c r="J183" s="14">
        <f>IF('BD_LeiturasHidrômetro_PRJ02'!$G183&amp;'BD_LeiturasHidrômetro_PRJ02'!$H183="",'BD_LeiturasHidrômetro_PRJ02'!$I183,'BD_LeiturasHidrômetro_PRJ02'!$G183&amp;'BD_LeiturasHidrômetro_PRJ02'!$H183)</f>
        <v>8431.975785</v>
      </c>
      <c r="K183" s="14">
        <f t="shared" si="1"/>
        <v>8419.6287</v>
      </c>
      <c r="L183" s="15"/>
      <c r="M183" s="15"/>
      <c r="N183" s="17">
        <f t="shared" si="2"/>
        <v>12.3470852</v>
      </c>
      <c r="O183" s="32" t="s">
        <v>236</v>
      </c>
      <c r="S183" s="19"/>
    </row>
    <row r="184" ht="15.75" customHeight="1">
      <c r="A184" s="10">
        <v>183.0</v>
      </c>
      <c r="B184" s="11" t="s">
        <v>194</v>
      </c>
      <c r="C184" s="12">
        <v>24.0</v>
      </c>
      <c r="D184" s="10" t="s">
        <v>171</v>
      </c>
      <c r="E184" s="10">
        <v>2025.0</v>
      </c>
      <c r="F184" s="10" t="s">
        <v>19</v>
      </c>
      <c r="G184" s="13"/>
      <c r="H184" s="13"/>
      <c r="I184" s="13">
        <f>_xlfn.FORECAST.LINEAR('BD_LeiturasHidrômetro_PRJ02'!$A184,G:G,A:A)</f>
        <v>8444.32287</v>
      </c>
      <c r="J184" s="14">
        <f>IF('BD_LeiturasHidrômetro_PRJ02'!$G184&amp;'BD_LeiturasHidrômetro_PRJ02'!$H184="",'BD_LeiturasHidrômetro_PRJ02'!$I184,'BD_LeiturasHidrômetro_PRJ02'!$G184&amp;'BD_LeiturasHidrômetro_PRJ02'!$H184)</f>
        <v>8444.32287</v>
      </c>
      <c r="K184" s="14">
        <f t="shared" si="1"/>
        <v>8431.975785</v>
      </c>
      <c r="L184" s="15"/>
      <c r="M184" s="15"/>
      <c r="N184" s="17">
        <f t="shared" si="2"/>
        <v>12.3470852</v>
      </c>
      <c r="O184" s="32" t="s">
        <v>236</v>
      </c>
      <c r="S184" s="19"/>
    </row>
    <row r="185" ht="15.75" customHeight="1">
      <c r="A185" s="10">
        <v>184.0</v>
      </c>
      <c r="B185" s="11" t="s">
        <v>195</v>
      </c>
      <c r="C185" s="12">
        <v>25.0</v>
      </c>
      <c r="D185" s="10" t="s">
        <v>171</v>
      </c>
      <c r="E185" s="10">
        <v>2025.0</v>
      </c>
      <c r="F185" s="10" t="s">
        <v>23</v>
      </c>
      <c r="G185" s="13"/>
      <c r="H185" s="13"/>
      <c r="I185" s="14">
        <f>_xlfn.FORECAST.LINEAR('BD_LeiturasHidrômetro_PRJ02'!$A185,G:G,A:A)</f>
        <v>8456.669955</v>
      </c>
      <c r="J185" s="14">
        <f>IF('BD_LeiturasHidrômetro_PRJ02'!$G185&amp;'BD_LeiturasHidrômetro_PRJ02'!$H185="",'BD_LeiturasHidrômetro_PRJ02'!$I185,'BD_LeiturasHidrômetro_PRJ02'!$G185&amp;'BD_LeiturasHidrômetro_PRJ02'!$H185)</f>
        <v>8456.669955</v>
      </c>
      <c r="K185" s="14">
        <f t="shared" si="1"/>
        <v>8444.32287</v>
      </c>
      <c r="L185" s="15"/>
      <c r="M185" s="15"/>
      <c r="N185" s="17">
        <f t="shared" si="2"/>
        <v>12.3470852</v>
      </c>
      <c r="O185" s="32" t="s">
        <v>236</v>
      </c>
      <c r="S185" s="19"/>
    </row>
    <row r="186" ht="15.75" customHeight="1">
      <c r="A186" s="10">
        <v>185.0</v>
      </c>
      <c r="B186" s="11" t="s">
        <v>196</v>
      </c>
      <c r="C186" s="12">
        <v>26.0</v>
      </c>
      <c r="D186" s="10" t="s">
        <v>171</v>
      </c>
      <c r="E186" s="10">
        <v>2025.0</v>
      </c>
      <c r="F186" s="10" t="s">
        <v>26</v>
      </c>
      <c r="G186" s="13"/>
      <c r="H186" s="13"/>
      <c r="I186" s="14">
        <f>_xlfn.FORECAST.LINEAR('BD_LeiturasHidrômetro_PRJ02'!$A186,G:G,A:A)</f>
        <v>8469.01704</v>
      </c>
      <c r="J186" s="14">
        <f>IF('BD_LeiturasHidrômetro_PRJ02'!$G186&amp;'BD_LeiturasHidrômetro_PRJ02'!$H186="",'BD_LeiturasHidrômetro_PRJ02'!$I186,'BD_LeiturasHidrômetro_PRJ02'!$G186&amp;'BD_LeiturasHidrômetro_PRJ02'!$H186)</f>
        <v>8469.01704</v>
      </c>
      <c r="K186" s="14">
        <f t="shared" si="1"/>
        <v>8456.669955</v>
      </c>
      <c r="L186" s="15"/>
      <c r="M186" s="15"/>
      <c r="N186" s="17">
        <f t="shared" si="2"/>
        <v>12.3470852</v>
      </c>
      <c r="O186" s="32" t="s">
        <v>236</v>
      </c>
      <c r="S186" s="19"/>
    </row>
    <row r="187" ht="15.75" customHeight="1">
      <c r="A187" s="10">
        <v>186.0</v>
      </c>
      <c r="B187" s="11" t="s">
        <v>197</v>
      </c>
      <c r="C187" s="12">
        <v>27.0</v>
      </c>
      <c r="D187" s="10" t="s">
        <v>171</v>
      </c>
      <c r="E187" s="10">
        <v>2025.0</v>
      </c>
      <c r="F187" s="10" t="s">
        <v>28</v>
      </c>
      <c r="G187" s="13"/>
      <c r="H187" s="13"/>
      <c r="I187" s="14">
        <f>_xlfn.FORECAST.LINEAR('BD_LeiturasHidrômetro_PRJ02'!$A187,G:G,A:A)</f>
        <v>8481.364126</v>
      </c>
      <c r="J187" s="14">
        <f>IF('BD_LeiturasHidrômetro_PRJ02'!$G187&amp;'BD_LeiturasHidrômetro_PRJ02'!$H187="",'BD_LeiturasHidrômetro_PRJ02'!$I187,'BD_LeiturasHidrômetro_PRJ02'!$G187&amp;'BD_LeiturasHidrômetro_PRJ02'!$H187)</f>
        <v>8481.364126</v>
      </c>
      <c r="K187" s="14">
        <f t="shared" si="1"/>
        <v>8469.01704</v>
      </c>
      <c r="L187" s="15"/>
      <c r="M187" s="15"/>
      <c r="N187" s="17">
        <f t="shared" si="2"/>
        <v>12.3470852</v>
      </c>
      <c r="O187" s="32" t="s">
        <v>236</v>
      </c>
      <c r="S187" s="19"/>
    </row>
    <row r="188" ht="15.75" customHeight="1">
      <c r="A188" s="10">
        <v>187.0</v>
      </c>
      <c r="B188" s="11" t="s">
        <v>198</v>
      </c>
      <c r="C188" s="12">
        <v>28.0</v>
      </c>
      <c r="D188" s="10" t="s">
        <v>171</v>
      </c>
      <c r="E188" s="10">
        <v>2025.0</v>
      </c>
      <c r="F188" s="10" t="s">
        <v>30</v>
      </c>
      <c r="G188" s="13"/>
      <c r="H188" s="13"/>
      <c r="I188" s="14">
        <f>_xlfn.FORECAST.LINEAR('BD_LeiturasHidrômetro_PRJ02'!$A188,G:G,A:A)</f>
        <v>8493.711211</v>
      </c>
      <c r="J188" s="14">
        <f>IF('BD_LeiturasHidrômetro_PRJ02'!$G188&amp;'BD_LeiturasHidrômetro_PRJ02'!$H188="",'BD_LeiturasHidrômetro_PRJ02'!$I188,'BD_LeiturasHidrômetro_PRJ02'!$G188&amp;'BD_LeiturasHidrômetro_PRJ02'!$H188)</f>
        <v>8493.711211</v>
      </c>
      <c r="K188" s="14">
        <f t="shared" si="1"/>
        <v>8481.364126</v>
      </c>
      <c r="L188" s="15"/>
      <c r="M188" s="15"/>
      <c r="N188" s="17">
        <f t="shared" si="2"/>
        <v>12.3470852</v>
      </c>
      <c r="O188" s="32" t="s">
        <v>236</v>
      </c>
      <c r="S188" s="19"/>
    </row>
    <row r="189" ht="15.75" customHeight="1">
      <c r="A189" s="10">
        <v>188.0</v>
      </c>
      <c r="B189" s="11" t="s">
        <v>199</v>
      </c>
      <c r="C189" s="12">
        <v>29.0</v>
      </c>
      <c r="D189" s="10" t="s">
        <v>171</v>
      </c>
      <c r="E189" s="10">
        <v>2025.0</v>
      </c>
      <c r="F189" s="10" t="s">
        <v>32</v>
      </c>
      <c r="G189" s="13"/>
      <c r="H189" s="13"/>
      <c r="I189" s="13">
        <f>_xlfn.FORECAST.LINEAR('BD_LeiturasHidrômetro_PRJ02'!$A189,G:G,A:A)</f>
        <v>8506.058296</v>
      </c>
      <c r="J189" s="14">
        <f>IF('BD_LeiturasHidrômetro_PRJ02'!$G189&amp;'BD_LeiturasHidrômetro_PRJ02'!$H189="",'BD_LeiturasHidrômetro_PRJ02'!$I189,'BD_LeiturasHidrômetro_PRJ02'!$G189&amp;'BD_LeiturasHidrômetro_PRJ02'!$H189)</f>
        <v>8506.058296</v>
      </c>
      <c r="K189" s="14">
        <f t="shared" si="1"/>
        <v>8493.711211</v>
      </c>
      <c r="L189" s="15"/>
      <c r="M189" s="15"/>
      <c r="N189" s="17">
        <f t="shared" si="2"/>
        <v>12.3470852</v>
      </c>
      <c r="O189" s="32" t="s">
        <v>236</v>
      </c>
      <c r="S189" s="19"/>
    </row>
    <row r="190" ht="15.75" customHeight="1">
      <c r="A190" s="10">
        <v>189.0</v>
      </c>
      <c r="B190" s="11" t="s">
        <v>200</v>
      </c>
      <c r="C190" s="12">
        <v>30.0</v>
      </c>
      <c r="D190" s="10" t="s">
        <v>171</v>
      </c>
      <c r="E190" s="10">
        <v>2025.0</v>
      </c>
      <c r="F190" s="10" t="s">
        <v>34</v>
      </c>
      <c r="G190" s="13"/>
      <c r="H190" s="13"/>
      <c r="I190" s="13">
        <f>_xlfn.FORECAST.LINEAR('BD_LeiturasHidrômetro_PRJ02'!$A190,G:G,A:A)</f>
        <v>8518.405381</v>
      </c>
      <c r="J190" s="14">
        <f>IF('BD_LeiturasHidrômetro_PRJ02'!$G190&amp;'BD_LeiturasHidrômetro_PRJ02'!$H190="",'BD_LeiturasHidrômetro_PRJ02'!$I190,'BD_LeiturasHidrômetro_PRJ02'!$G190&amp;'BD_LeiturasHidrômetro_PRJ02'!$H190)</f>
        <v>8518.405381</v>
      </c>
      <c r="K190" s="14">
        <f t="shared" si="1"/>
        <v>8506.058296</v>
      </c>
      <c r="L190" s="15"/>
      <c r="M190" s="15"/>
      <c r="N190" s="17">
        <f t="shared" si="2"/>
        <v>12.3470852</v>
      </c>
      <c r="O190" s="32" t="s">
        <v>236</v>
      </c>
      <c r="S190" s="19"/>
    </row>
    <row r="191" ht="15.75" customHeight="1">
      <c r="A191" s="10">
        <v>190.0</v>
      </c>
      <c r="B191" s="11" t="s">
        <v>201</v>
      </c>
      <c r="C191" s="12">
        <v>1.0</v>
      </c>
      <c r="D191" s="10" t="s">
        <v>202</v>
      </c>
      <c r="E191" s="10">
        <v>2025.0</v>
      </c>
      <c r="F191" s="10" t="s">
        <v>19</v>
      </c>
      <c r="G191" s="13"/>
      <c r="H191" s="13"/>
      <c r="I191" s="13">
        <f>_xlfn.FORECAST.LINEAR('BD_LeiturasHidrômetro_PRJ02'!$A191,G:G,A:A)</f>
        <v>8530.752466</v>
      </c>
      <c r="J191" s="14">
        <f>IF('BD_LeiturasHidrômetro_PRJ02'!$G191&amp;'BD_LeiturasHidrômetro_PRJ02'!$H191="",'BD_LeiturasHidrômetro_PRJ02'!$I191,'BD_LeiturasHidrômetro_PRJ02'!$G191&amp;'BD_LeiturasHidrômetro_PRJ02'!$H191)</f>
        <v>8530.752466</v>
      </c>
      <c r="K191" s="14">
        <f t="shared" si="1"/>
        <v>8518.405381</v>
      </c>
      <c r="L191" s="15"/>
      <c r="M191" s="15"/>
      <c r="N191" s="17">
        <f t="shared" si="2"/>
        <v>12.3470852</v>
      </c>
      <c r="O191" s="32" t="s">
        <v>236</v>
      </c>
      <c r="S191" s="19"/>
    </row>
    <row r="192" ht="15.75" customHeight="1">
      <c r="A192" s="10">
        <v>191.0</v>
      </c>
      <c r="B192" s="11" t="s">
        <v>203</v>
      </c>
      <c r="C192" s="12">
        <v>2.0</v>
      </c>
      <c r="D192" s="10" t="s">
        <v>202</v>
      </c>
      <c r="E192" s="10">
        <v>2025.0</v>
      </c>
      <c r="F192" s="10" t="s">
        <v>23</v>
      </c>
      <c r="G192" s="13"/>
      <c r="H192" s="13"/>
      <c r="I192" s="14">
        <f>_xlfn.FORECAST.LINEAR('BD_LeiturasHidrômetro_PRJ02'!$A192,G:G,A:A)</f>
        <v>8543.099552</v>
      </c>
      <c r="J192" s="14">
        <f>IF('BD_LeiturasHidrômetro_PRJ02'!$G192&amp;'BD_LeiturasHidrômetro_PRJ02'!$H192="",'BD_LeiturasHidrômetro_PRJ02'!$I192,'BD_LeiturasHidrômetro_PRJ02'!$G192&amp;'BD_LeiturasHidrômetro_PRJ02'!$H192)</f>
        <v>8543.099552</v>
      </c>
      <c r="K192" s="14">
        <f t="shared" si="1"/>
        <v>8530.752466</v>
      </c>
      <c r="L192" s="15"/>
      <c r="M192" s="15"/>
      <c r="N192" s="17">
        <f t="shared" si="2"/>
        <v>12.3470852</v>
      </c>
      <c r="O192" s="32" t="s">
        <v>236</v>
      </c>
      <c r="S192" s="19"/>
    </row>
    <row r="193" ht="15.75" customHeight="1">
      <c r="A193" s="10">
        <v>192.0</v>
      </c>
      <c r="B193" s="11" t="s">
        <v>204</v>
      </c>
      <c r="C193" s="12">
        <v>3.0</v>
      </c>
      <c r="D193" s="10" t="s">
        <v>202</v>
      </c>
      <c r="E193" s="10">
        <v>2025.0</v>
      </c>
      <c r="F193" s="10" t="s">
        <v>26</v>
      </c>
      <c r="G193" s="13"/>
      <c r="H193" s="13"/>
      <c r="I193" s="14">
        <f>_xlfn.FORECAST.LINEAR('BD_LeiturasHidrômetro_PRJ02'!$A193,G:G,A:A)</f>
        <v>8555.446637</v>
      </c>
      <c r="J193" s="14">
        <f>IF('BD_LeiturasHidrômetro_PRJ02'!$G193&amp;'BD_LeiturasHidrômetro_PRJ02'!$H193="",'BD_LeiturasHidrômetro_PRJ02'!$I193,'BD_LeiturasHidrômetro_PRJ02'!$G193&amp;'BD_LeiturasHidrômetro_PRJ02'!$H193)</f>
        <v>8555.446637</v>
      </c>
      <c r="K193" s="14">
        <f t="shared" si="1"/>
        <v>8543.099552</v>
      </c>
      <c r="L193" s="15"/>
      <c r="M193" s="15"/>
      <c r="N193" s="17">
        <f t="shared" si="2"/>
        <v>12.3470852</v>
      </c>
      <c r="O193" s="32" t="s">
        <v>236</v>
      </c>
      <c r="S193" s="19"/>
    </row>
    <row r="194" ht="15.75" customHeight="1">
      <c r="A194" s="10">
        <v>193.0</v>
      </c>
      <c r="B194" s="11" t="s">
        <v>205</v>
      </c>
      <c r="C194" s="12">
        <v>4.0</v>
      </c>
      <c r="D194" s="10" t="s">
        <v>202</v>
      </c>
      <c r="E194" s="10">
        <v>2025.0</v>
      </c>
      <c r="F194" s="10" t="s">
        <v>28</v>
      </c>
      <c r="G194" s="13"/>
      <c r="H194" s="13"/>
      <c r="I194" s="14">
        <f>_xlfn.FORECAST.LINEAR('BD_LeiturasHidrômetro_PRJ02'!$A194,G:G,A:A)</f>
        <v>8567.793722</v>
      </c>
      <c r="J194" s="14">
        <f>IF('BD_LeiturasHidrômetro_PRJ02'!$G194&amp;'BD_LeiturasHidrômetro_PRJ02'!$H194="",'BD_LeiturasHidrômetro_PRJ02'!$I194,'BD_LeiturasHidrômetro_PRJ02'!$G194&amp;'BD_LeiturasHidrômetro_PRJ02'!$H194)</f>
        <v>8567.793722</v>
      </c>
      <c r="K194" s="14">
        <f t="shared" si="1"/>
        <v>8555.446637</v>
      </c>
      <c r="L194" s="15"/>
      <c r="M194" s="15"/>
      <c r="N194" s="17">
        <f t="shared" si="2"/>
        <v>12.3470852</v>
      </c>
      <c r="O194" s="32" t="s">
        <v>236</v>
      </c>
      <c r="S194" s="19"/>
    </row>
    <row r="195" ht="15.75" customHeight="1">
      <c r="A195" s="10">
        <v>194.0</v>
      </c>
      <c r="B195" s="11" t="s">
        <v>206</v>
      </c>
      <c r="C195" s="12">
        <v>5.0</v>
      </c>
      <c r="D195" s="10" t="s">
        <v>202</v>
      </c>
      <c r="E195" s="10">
        <v>2025.0</v>
      </c>
      <c r="F195" s="10" t="s">
        <v>30</v>
      </c>
      <c r="G195" s="13"/>
      <c r="H195" s="13"/>
      <c r="I195" s="14">
        <f>_xlfn.FORECAST.LINEAR('BD_LeiturasHidrômetro_PRJ02'!$A195,G:G,A:A)</f>
        <v>8580.140807</v>
      </c>
      <c r="J195" s="14">
        <f>IF('BD_LeiturasHidrômetro_PRJ02'!$G195&amp;'BD_LeiturasHidrômetro_PRJ02'!$H195="",'BD_LeiturasHidrômetro_PRJ02'!$I195,'BD_LeiturasHidrômetro_PRJ02'!$G195&amp;'BD_LeiturasHidrômetro_PRJ02'!$H195)</f>
        <v>8580.140807</v>
      </c>
      <c r="K195" s="14">
        <f t="shared" si="1"/>
        <v>8567.793722</v>
      </c>
      <c r="L195" s="15"/>
      <c r="M195" s="15"/>
      <c r="N195" s="17">
        <f t="shared" si="2"/>
        <v>12.3470852</v>
      </c>
      <c r="O195" s="32" t="s">
        <v>236</v>
      </c>
      <c r="S195" s="19"/>
    </row>
    <row r="196" ht="15.75" customHeight="1">
      <c r="A196" s="10">
        <v>195.0</v>
      </c>
      <c r="B196" s="11" t="s">
        <v>207</v>
      </c>
      <c r="C196" s="12">
        <v>6.0</v>
      </c>
      <c r="D196" s="10" t="s">
        <v>202</v>
      </c>
      <c r="E196" s="10">
        <v>2025.0</v>
      </c>
      <c r="F196" s="10" t="s">
        <v>32</v>
      </c>
      <c r="G196" s="13"/>
      <c r="H196" s="13"/>
      <c r="I196" s="13">
        <f>_xlfn.FORECAST.LINEAR('BD_LeiturasHidrômetro_PRJ02'!$A196,G:G,A:A)</f>
        <v>8592.487892</v>
      </c>
      <c r="J196" s="14">
        <f>IF('BD_LeiturasHidrômetro_PRJ02'!$G196&amp;'BD_LeiturasHidrômetro_PRJ02'!$H196="",'BD_LeiturasHidrômetro_PRJ02'!$I196,'BD_LeiturasHidrômetro_PRJ02'!$G196&amp;'BD_LeiturasHidrômetro_PRJ02'!$H196)</f>
        <v>8592.487892</v>
      </c>
      <c r="K196" s="14">
        <f t="shared" si="1"/>
        <v>8580.140807</v>
      </c>
      <c r="L196" s="15"/>
      <c r="M196" s="15"/>
      <c r="N196" s="17">
        <f t="shared" si="2"/>
        <v>12.3470852</v>
      </c>
      <c r="O196" s="32" t="s">
        <v>236</v>
      </c>
      <c r="S196" s="19"/>
    </row>
    <row r="197" ht="15.75" customHeight="1">
      <c r="A197" s="10">
        <v>196.0</v>
      </c>
      <c r="B197" s="11" t="s">
        <v>208</v>
      </c>
      <c r="C197" s="12">
        <v>7.0</v>
      </c>
      <c r="D197" s="10" t="s">
        <v>202</v>
      </c>
      <c r="E197" s="10">
        <v>2025.0</v>
      </c>
      <c r="F197" s="10" t="s">
        <v>34</v>
      </c>
      <c r="G197" s="13"/>
      <c r="H197" s="13"/>
      <c r="I197" s="13">
        <f>_xlfn.FORECAST.LINEAR('BD_LeiturasHidrômetro_PRJ02'!$A197,G:G,A:A)</f>
        <v>8604.834978</v>
      </c>
      <c r="J197" s="14">
        <f>IF('BD_LeiturasHidrômetro_PRJ02'!$G197&amp;'BD_LeiturasHidrômetro_PRJ02'!$H197="",'BD_LeiturasHidrômetro_PRJ02'!$I197,'BD_LeiturasHidrômetro_PRJ02'!$G197&amp;'BD_LeiturasHidrômetro_PRJ02'!$H197)</f>
        <v>8604.834978</v>
      </c>
      <c r="K197" s="14">
        <f t="shared" si="1"/>
        <v>8592.487892</v>
      </c>
      <c r="L197" s="15"/>
      <c r="M197" s="15"/>
      <c r="N197" s="17">
        <f t="shared" si="2"/>
        <v>12.3470852</v>
      </c>
      <c r="O197" s="32" t="s">
        <v>236</v>
      </c>
      <c r="S197" s="19"/>
    </row>
    <row r="198" ht="15.75" customHeight="1">
      <c r="A198" s="10">
        <v>197.0</v>
      </c>
      <c r="B198" s="11" t="s">
        <v>209</v>
      </c>
      <c r="C198" s="12">
        <v>8.0</v>
      </c>
      <c r="D198" s="10" t="s">
        <v>202</v>
      </c>
      <c r="E198" s="10">
        <v>2025.0</v>
      </c>
      <c r="F198" s="10" t="s">
        <v>19</v>
      </c>
      <c r="G198" s="13"/>
      <c r="H198" s="13"/>
      <c r="I198" s="13">
        <f>_xlfn.FORECAST.LINEAR('BD_LeiturasHidrômetro_PRJ02'!$A198,G:G,A:A)</f>
        <v>8617.182063</v>
      </c>
      <c r="J198" s="14">
        <f>IF('BD_LeiturasHidrômetro_PRJ02'!$G198&amp;'BD_LeiturasHidrômetro_PRJ02'!$H198="",'BD_LeiturasHidrômetro_PRJ02'!$I198,'BD_LeiturasHidrômetro_PRJ02'!$G198&amp;'BD_LeiturasHidrômetro_PRJ02'!$H198)</f>
        <v>8617.182063</v>
      </c>
      <c r="K198" s="14">
        <f t="shared" si="1"/>
        <v>8604.834978</v>
      </c>
      <c r="L198" s="15"/>
      <c r="M198" s="15"/>
      <c r="N198" s="17">
        <f t="shared" si="2"/>
        <v>12.3470852</v>
      </c>
      <c r="O198" s="32" t="s">
        <v>236</v>
      </c>
      <c r="S198" s="19"/>
    </row>
    <row r="199" ht="15.75" customHeight="1">
      <c r="A199" s="10">
        <v>198.0</v>
      </c>
      <c r="B199" s="11" t="s">
        <v>210</v>
      </c>
      <c r="C199" s="12">
        <v>9.0</v>
      </c>
      <c r="D199" s="10" t="s">
        <v>202</v>
      </c>
      <c r="E199" s="10">
        <v>2025.0</v>
      </c>
      <c r="F199" s="10" t="s">
        <v>23</v>
      </c>
      <c r="G199" s="13"/>
      <c r="H199" s="13"/>
      <c r="I199" s="14">
        <f>_xlfn.FORECAST.LINEAR('BD_LeiturasHidrômetro_PRJ02'!$A199,G:G,A:A)</f>
        <v>8629.529148</v>
      </c>
      <c r="J199" s="14">
        <f>IF('BD_LeiturasHidrômetro_PRJ02'!$G199&amp;'BD_LeiturasHidrômetro_PRJ02'!$H199="",'BD_LeiturasHidrômetro_PRJ02'!$I199,'BD_LeiturasHidrômetro_PRJ02'!$G199&amp;'BD_LeiturasHidrômetro_PRJ02'!$H199)</f>
        <v>8629.529148</v>
      </c>
      <c r="K199" s="14">
        <f t="shared" si="1"/>
        <v>8617.182063</v>
      </c>
      <c r="L199" s="15"/>
      <c r="M199" s="15"/>
      <c r="N199" s="17">
        <f t="shared" si="2"/>
        <v>12.3470852</v>
      </c>
      <c r="O199" s="32" t="s">
        <v>236</v>
      </c>
      <c r="S199" s="19"/>
    </row>
    <row r="200" ht="15.75" customHeight="1">
      <c r="A200" s="10">
        <v>199.0</v>
      </c>
      <c r="B200" s="11" t="s">
        <v>211</v>
      </c>
      <c r="C200" s="12">
        <v>10.0</v>
      </c>
      <c r="D200" s="10" t="s">
        <v>202</v>
      </c>
      <c r="E200" s="10">
        <v>2025.0</v>
      </c>
      <c r="F200" s="10" t="s">
        <v>26</v>
      </c>
      <c r="G200" s="13"/>
      <c r="H200" s="13"/>
      <c r="I200" s="14">
        <f>_xlfn.FORECAST.LINEAR('BD_LeiturasHidrômetro_PRJ02'!$A200,G:G,A:A)</f>
        <v>8641.876233</v>
      </c>
      <c r="J200" s="14">
        <f>IF('BD_LeiturasHidrômetro_PRJ02'!$G200&amp;'BD_LeiturasHidrômetro_PRJ02'!$H200="",'BD_LeiturasHidrômetro_PRJ02'!$I200,'BD_LeiturasHidrômetro_PRJ02'!$G200&amp;'BD_LeiturasHidrômetro_PRJ02'!$H200)</f>
        <v>8641.876233</v>
      </c>
      <c r="K200" s="14">
        <f t="shared" si="1"/>
        <v>8629.529148</v>
      </c>
      <c r="L200" s="15"/>
      <c r="M200" s="15"/>
      <c r="N200" s="17">
        <f t="shared" si="2"/>
        <v>12.3470852</v>
      </c>
      <c r="O200" s="32" t="s">
        <v>236</v>
      </c>
      <c r="S200" s="19"/>
    </row>
    <row r="201" ht="15.75" customHeight="1">
      <c r="A201" s="10">
        <v>200.0</v>
      </c>
      <c r="B201" s="11" t="s">
        <v>212</v>
      </c>
      <c r="C201" s="12">
        <v>11.0</v>
      </c>
      <c r="D201" s="10" t="s">
        <v>202</v>
      </c>
      <c r="E201" s="10">
        <v>2025.0</v>
      </c>
      <c r="F201" s="10" t="s">
        <v>28</v>
      </c>
      <c r="G201" s="13"/>
      <c r="H201" s="13"/>
      <c r="I201" s="14">
        <f>_xlfn.FORECAST.LINEAR('BD_LeiturasHidrômetro_PRJ02'!$A201,G:G,A:A)</f>
        <v>8654.223318</v>
      </c>
      <c r="J201" s="14">
        <f>IF('BD_LeiturasHidrômetro_PRJ02'!$G201&amp;'BD_LeiturasHidrômetro_PRJ02'!$H201="",'BD_LeiturasHidrômetro_PRJ02'!$I201,'BD_LeiturasHidrômetro_PRJ02'!$G201&amp;'BD_LeiturasHidrômetro_PRJ02'!$H201)</f>
        <v>8654.223318</v>
      </c>
      <c r="K201" s="14">
        <f t="shared" si="1"/>
        <v>8641.876233</v>
      </c>
      <c r="L201" s="15"/>
      <c r="M201" s="15"/>
      <c r="N201" s="17">
        <f t="shared" si="2"/>
        <v>12.3470852</v>
      </c>
      <c r="O201" s="32" t="s">
        <v>236</v>
      </c>
      <c r="S201" s="19"/>
    </row>
    <row r="202" ht="15.75" customHeight="1">
      <c r="A202" s="10">
        <v>201.0</v>
      </c>
      <c r="B202" s="11" t="s">
        <v>213</v>
      </c>
      <c r="C202" s="12">
        <v>12.0</v>
      </c>
      <c r="D202" s="10" t="s">
        <v>202</v>
      </c>
      <c r="E202" s="10">
        <v>2025.0</v>
      </c>
      <c r="F202" s="10" t="s">
        <v>30</v>
      </c>
      <c r="G202" s="13"/>
      <c r="H202" s="13"/>
      <c r="I202" s="14">
        <f>_xlfn.FORECAST.LINEAR('BD_LeiturasHidrômetro_PRJ02'!$A202,G:G,A:A)</f>
        <v>8666.570404</v>
      </c>
      <c r="J202" s="14">
        <f>IF('BD_LeiturasHidrômetro_PRJ02'!$G202&amp;'BD_LeiturasHidrômetro_PRJ02'!$H202="",'BD_LeiturasHidrômetro_PRJ02'!$I202,'BD_LeiturasHidrômetro_PRJ02'!$G202&amp;'BD_LeiturasHidrômetro_PRJ02'!$H202)</f>
        <v>8666.570404</v>
      </c>
      <c r="K202" s="14">
        <f t="shared" si="1"/>
        <v>8654.223318</v>
      </c>
      <c r="L202" s="15"/>
      <c r="M202" s="15"/>
      <c r="N202" s="17">
        <f t="shared" si="2"/>
        <v>12.3470852</v>
      </c>
      <c r="O202" s="32" t="s">
        <v>236</v>
      </c>
      <c r="S202" s="19"/>
    </row>
    <row r="203" ht="15.75" customHeight="1">
      <c r="A203" s="10">
        <v>202.0</v>
      </c>
      <c r="B203" s="11" t="s">
        <v>214</v>
      </c>
      <c r="C203" s="12">
        <v>13.0</v>
      </c>
      <c r="D203" s="10" t="s">
        <v>202</v>
      </c>
      <c r="E203" s="10">
        <v>2025.0</v>
      </c>
      <c r="F203" s="10" t="s">
        <v>32</v>
      </c>
      <c r="G203" s="13"/>
      <c r="H203" s="13"/>
      <c r="I203" s="13">
        <f>_xlfn.FORECAST.LINEAR('BD_LeiturasHidrômetro_PRJ02'!$A203,G:G,A:A)</f>
        <v>8678.917489</v>
      </c>
      <c r="J203" s="14">
        <f>IF('BD_LeiturasHidrômetro_PRJ02'!$G203&amp;'BD_LeiturasHidrômetro_PRJ02'!$H203="",'BD_LeiturasHidrômetro_PRJ02'!$I203,'BD_LeiturasHidrômetro_PRJ02'!$G203&amp;'BD_LeiturasHidrômetro_PRJ02'!$H203)</f>
        <v>8678.917489</v>
      </c>
      <c r="K203" s="14">
        <f t="shared" si="1"/>
        <v>8666.570404</v>
      </c>
      <c r="L203" s="15"/>
      <c r="M203" s="15"/>
      <c r="N203" s="17">
        <f t="shared" si="2"/>
        <v>12.3470852</v>
      </c>
      <c r="O203" s="32" t="s">
        <v>236</v>
      </c>
      <c r="S203" s="19"/>
    </row>
    <row r="204" ht="15.75" customHeight="1">
      <c r="A204" s="10">
        <v>203.0</v>
      </c>
      <c r="B204" s="11" t="s">
        <v>215</v>
      </c>
      <c r="C204" s="12">
        <v>14.0</v>
      </c>
      <c r="D204" s="10" t="s">
        <v>202</v>
      </c>
      <c r="E204" s="10">
        <v>2025.0</v>
      </c>
      <c r="F204" s="10" t="s">
        <v>34</v>
      </c>
      <c r="G204" s="13"/>
      <c r="H204" s="13"/>
      <c r="I204" s="13">
        <f>_xlfn.FORECAST.LINEAR('BD_LeiturasHidrômetro_PRJ02'!$A204,G:G,A:A)</f>
        <v>8691.264574</v>
      </c>
      <c r="J204" s="14">
        <f>IF('BD_LeiturasHidrômetro_PRJ02'!$G204&amp;'BD_LeiturasHidrômetro_PRJ02'!$H204="",'BD_LeiturasHidrômetro_PRJ02'!$I204,'BD_LeiturasHidrômetro_PRJ02'!$G204&amp;'BD_LeiturasHidrômetro_PRJ02'!$H204)</f>
        <v>8691.264574</v>
      </c>
      <c r="K204" s="14">
        <f t="shared" si="1"/>
        <v>8678.917489</v>
      </c>
      <c r="L204" s="15"/>
      <c r="M204" s="15"/>
      <c r="N204" s="17">
        <f t="shared" si="2"/>
        <v>12.3470852</v>
      </c>
      <c r="O204" s="32" t="s">
        <v>236</v>
      </c>
      <c r="S204" s="19"/>
    </row>
    <row r="205" ht="15.75" customHeight="1">
      <c r="A205" s="10">
        <v>204.0</v>
      </c>
      <c r="B205" s="11" t="s">
        <v>216</v>
      </c>
      <c r="C205" s="12">
        <v>15.0</v>
      </c>
      <c r="D205" s="10" t="s">
        <v>202</v>
      </c>
      <c r="E205" s="10">
        <v>2025.0</v>
      </c>
      <c r="F205" s="10" t="s">
        <v>19</v>
      </c>
      <c r="G205" s="13"/>
      <c r="H205" s="13"/>
      <c r="I205" s="13">
        <f>_xlfn.FORECAST.LINEAR('BD_LeiturasHidrômetro_PRJ02'!$A205,G:G,A:A)</f>
        <v>8703.611659</v>
      </c>
      <c r="J205" s="14">
        <f>IF('BD_LeiturasHidrômetro_PRJ02'!$G205&amp;'BD_LeiturasHidrômetro_PRJ02'!$H205="",'BD_LeiturasHidrômetro_PRJ02'!$I205,'BD_LeiturasHidrômetro_PRJ02'!$G205&amp;'BD_LeiturasHidrômetro_PRJ02'!$H205)</f>
        <v>8703.611659</v>
      </c>
      <c r="K205" s="14">
        <f t="shared" si="1"/>
        <v>8691.264574</v>
      </c>
      <c r="L205" s="15"/>
      <c r="M205" s="15"/>
      <c r="N205" s="17">
        <f t="shared" si="2"/>
        <v>12.3470852</v>
      </c>
      <c r="O205" s="32" t="s">
        <v>236</v>
      </c>
      <c r="S205" s="19"/>
    </row>
    <row r="206" ht="15.75" customHeight="1">
      <c r="A206" s="10">
        <v>205.0</v>
      </c>
      <c r="B206" s="11" t="s">
        <v>217</v>
      </c>
      <c r="C206" s="12">
        <v>16.0</v>
      </c>
      <c r="D206" s="10" t="s">
        <v>202</v>
      </c>
      <c r="E206" s="10">
        <v>2025.0</v>
      </c>
      <c r="F206" s="10" t="s">
        <v>23</v>
      </c>
      <c r="G206" s="13"/>
      <c r="H206" s="13"/>
      <c r="I206" s="14">
        <f>_xlfn.FORECAST.LINEAR('BD_LeiturasHidrômetro_PRJ02'!$A206,G:G,A:A)</f>
        <v>8715.958744</v>
      </c>
      <c r="J206" s="14">
        <f>IF('BD_LeiturasHidrômetro_PRJ02'!$G206&amp;'BD_LeiturasHidrômetro_PRJ02'!$H206="",'BD_LeiturasHidrômetro_PRJ02'!$I206,'BD_LeiturasHidrômetro_PRJ02'!$G206&amp;'BD_LeiturasHidrômetro_PRJ02'!$H206)</f>
        <v>8715.958744</v>
      </c>
      <c r="K206" s="14">
        <f t="shared" si="1"/>
        <v>8703.611659</v>
      </c>
      <c r="L206" s="15"/>
      <c r="M206" s="15"/>
      <c r="N206" s="17">
        <f t="shared" si="2"/>
        <v>12.3470852</v>
      </c>
      <c r="O206" s="32" t="s">
        <v>236</v>
      </c>
      <c r="S206" s="19"/>
    </row>
    <row r="207" ht="15.75" customHeight="1">
      <c r="A207" s="10">
        <v>206.0</v>
      </c>
      <c r="B207" s="11" t="s">
        <v>218</v>
      </c>
      <c r="C207" s="12">
        <v>17.0</v>
      </c>
      <c r="D207" s="10" t="s">
        <v>202</v>
      </c>
      <c r="E207" s="10">
        <v>2025.0</v>
      </c>
      <c r="F207" s="10" t="s">
        <v>26</v>
      </c>
      <c r="G207" s="13"/>
      <c r="H207" s="13"/>
      <c r="I207" s="14">
        <f>_xlfn.FORECAST.LINEAR('BD_LeiturasHidrômetro_PRJ02'!$A207,G:G,A:A)</f>
        <v>8728.30583</v>
      </c>
      <c r="J207" s="14">
        <f>IF('BD_LeiturasHidrômetro_PRJ02'!$G207&amp;'BD_LeiturasHidrômetro_PRJ02'!$H207="",'BD_LeiturasHidrômetro_PRJ02'!$I207,'BD_LeiturasHidrômetro_PRJ02'!$G207&amp;'BD_LeiturasHidrômetro_PRJ02'!$H207)</f>
        <v>8728.30583</v>
      </c>
      <c r="K207" s="14">
        <f t="shared" si="1"/>
        <v>8715.958744</v>
      </c>
      <c r="L207" s="15"/>
      <c r="M207" s="15"/>
      <c r="N207" s="17">
        <f t="shared" si="2"/>
        <v>12.3470852</v>
      </c>
      <c r="O207" s="32" t="s">
        <v>236</v>
      </c>
      <c r="S207" s="19"/>
    </row>
    <row r="208" ht="15.75" customHeight="1">
      <c r="A208" s="10">
        <v>207.0</v>
      </c>
      <c r="B208" s="11" t="s">
        <v>219</v>
      </c>
      <c r="C208" s="12">
        <v>18.0</v>
      </c>
      <c r="D208" s="10" t="s">
        <v>202</v>
      </c>
      <c r="E208" s="10">
        <v>2025.0</v>
      </c>
      <c r="F208" s="10" t="s">
        <v>28</v>
      </c>
      <c r="G208" s="13"/>
      <c r="H208" s="13"/>
      <c r="I208" s="14">
        <f>_xlfn.FORECAST.LINEAR('BD_LeiturasHidrômetro_PRJ02'!$A208,G:G,A:A)</f>
        <v>8740.652915</v>
      </c>
      <c r="J208" s="14">
        <f>IF('BD_LeiturasHidrômetro_PRJ02'!$G208&amp;'BD_LeiturasHidrômetro_PRJ02'!$H208="",'BD_LeiturasHidrômetro_PRJ02'!$I208,'BD_LeiturasHidrômetro_PRJ02'!$G208&amp;'BD_LeiturasHidrômetro_PRJ02'!$H208)</f>
        <v>8740.652915</v>
      </c>
      <c r="K208" s="14">
        <f t="shared" si="1"/>
        <v>8728.30583</v>
      </c>
      <c r="L208" s="15"/>
      <c r="M208" s="15"/>
      <c r="N208" s="17">
        <f t="shared" si="2"/>
        <v>12.3470852</v>
      </c>
      <c r="O208" s="32" t="s">
        <v>236</v>
      </c>
      <c r="S208" s="19"/>
    </row>
    <row r="209" ht="15.75" customHeight="1">
      <c r="A209" s="10">
        <v>208.0</v>
      </c>
      <c r="B209" s="11" t="s">
        <v>220</v>
      </c>
      <c r="C209" s="12">
        <v>19.0</v>
      </c>
      <c r="D209" s="10" t="s">
        <v>202</v>
      </c>
      <c r="E209" s="10">
        <v>2025.0</v>
      </c>
      <c r="F209" s="10" t="s">
        <v>30</v>
      </c>
      <c r="G209" s="13"/>
      <c r="H209" s="13"/>
      <c r="I209" s="14">
        <f>_xlfn.FORECAST.LINEAR('BD_LeiturasHidrômetro_PRJ02'!$A209,G:G,A:A)</f>
        <v>8753</v>
      </c>
      <c r="J209" s="14">
        <f>IF('BD_LeiturasHidrômetro_PRJ02'!$G209&amp;'BD_LeiturasHidrômetro_PRJ02'!$H209="",'BD_LeiturasHidrômetro_PRJ02'!$I209,'BD_LeiturasHidrômetro_PRJ02'!$G209&amp;'BD_LeiturasHidrômetro_PRJ02'!$H209)</f>
        <v>8753</v>
      </c>
      <c r="K209" s="14">
        <f t="shared" si="1"/>
        <v>8740.652915</v>
      </c>
      <c r="L209" s="15"/>
      <c r="M209" s="15"/>
      <c r="N209" s="17">
        <f t="shared" si="2"/>
        <v>12.3470852</v>
      </c>
      <c r="O209" s="32" t="s">
        <v>236</v>
      </c>
      <c r="S209" s="19"/>
    </row>
    <row r="210" ht="15.75" customHeight="1">
      <c r="A210" s="10">
        <v>209.0</v>
      </c>
      <c r="B210" s="11" t="s">
        <v>221</v>
      </c>
      <c r="C210" s="12">
        <v>20.0</v>
      </c>
      <c r="D210" s="10" t="s">
        <v>202</v>
      </c>
      <c r="E210" s="10">
        <v>2025.0</v>
      </c>
      <c r="F210" s="10" t="s">
        <v>32</v>
      </c>
      <c r="G210" s="13"/>
      <c r="H210" s="13"/>
      <c r="I210" s="13">
        <f>_xlfn.FORECAST.LINEAR('BD_LeiturasHidrômetro_PRJ02'!$A210,G:G,A:A)</f>
        <v>8765.347085</v>
      </c>
      <c r="J210" s="14">
        <f>IF('BD_LeiturasHidrômetro_PRJ02'!$G210&amp;'BD_LeiturasHidrômetro_PRJ02'!$H210="",'BD_LeiturasHidrômetro_PRJ02'!$I210,'BD_LeiturasHidrômetro_PRJ02'!$G210&amp;'BD_LeiturasHidrômetro_PRJ02'!$H210)</f>
        <v>8765.347085</v>
      </c>
      <c r="K210" s="14">
        <f t="shared" si="1"/>
        <v>8753</v>
      </c>
      <c r="L210" s="15"/>
      <c r="M210" s="15"/>
      <c r="N210" s="17">
        <f t="shared" si="2"/>
        <v>12.3470852</v>
      </c>
      <c r="O210" s="32" t="s">
        <v>236</v>
      </c>
      <c r="S210" s="19"/>
    </row>
    <row r="211" ht="15.75" customHeight="1">
      <c r="A211" s="10">
        <v>210.0</v>
      </c>
      <c r="B211" s="11" t="s">
        <v>222</v>
      </c>
      <c r="C211" s="12">
        <v>21.0</v>
      </c>
      <c r="D211" s="10" t="s">
        <v>202</v>
      </c>
      <c r="E211" s="10">
        <v>2025.0</v>
      </c>
      <c r="F211" s="10" t="s">
        <v>34</v>
      </c>
      <c r="G211" s="13"/>
      <c r="H211" s="13"/>
      <c r="I211" s="13">
        <f>_xlfn.FORECAST.LINEAR('BD_LeiturasHidrômetro_PRJ02'!$A211,G:G,A:A)</f>
        <v>8777.69417</v>
      </c>
      <c r="J211" s="14">
        <f>IF('BD_LeiturasHidrômetro_PRJ02'!$G211&amp;'BD_LeiturasHidrômetro_PRJ02'!$H211="",'BD_LeiturasHidrômetro_PRJ02'!$I211,'BD_LeiturasHidrômetro_PRJ02'!$G211&amp;'BD_LeiturasHidrômetro_PRJ02'!$H211)</f>
        <v>8777.69417</v>
      </c>
      <c r="K211" s="14">
        <f t="shared" si="1"/>
        <v>8765.347085</v>
      </c>
      <c r="L211" s="15"/>
      <c r="M211" s="15"/>
      <c r="N211" s="17">
        <f t="shared" si="2"/>
        <v>12.3470852</v>
      </c>
      <c r="O211" s="32" t="s">
        <v>236</v>
      </c>
      <c r="S211" s="19"/>
    </row>
    <row r="212" ht="15.75" customHeight="1">
      <c r="A212" s="10">
        <v>211.0</v>
      </c>
      <c r="B212" s="11" t="s">
        <v>223</v>
      </c>
      <c r="C212" s="12">
        <v>22.0</v>
      </c>
      <c r="D212" s="10" t="s">
        <v>202</v>
      </c>
      <c r="E212" s="10">
        <v>2025.0</v>
      </c>
      <c r="F212" s="10" t="s">
        <v>19</v>
      </c>
      <c r="G212" s="13"/>
      <c r="H212" s="13"/>
      <c r="I212" s="13">
        <f>_xlfn.FORECAST.LINEAR('BD_LeiturasHidrômetro_PRJ02'!$A212,G:G,A:A)</f>
        <v>8790.041256</v>
      </c>
      <c r="J212" s="14">
        <f>IF('BD_LeiturasHidrômetro_PRJ02'!$G212&amp;'BD_LeiturasHidrômetro_PRJ02'!$H212="",'BD_LeiturasHidrômetro_PRJ02'!$I212,'BD_LeiturasHidrômetro_PRJ02'!$G212&amp;'BD_LeiturasHidrômetro_PRJ02'!$H212)</f>
        <v>8790.041256</v>
      </c>
      <c r="K212" s="14">
        <f t="shared" si="1"/>
        <v>8777.69417</v>
      </c>
      <c r="L212" s="15"/>
      <c r="M212" s="15"/>
      <c r="N212" s="17">
        <f t="shared" si="2"/>
        <v>12.3470852</v>
      </c>
      <c r="O212" s="32" t="s">
        <v>236</v>
      </c>
      <c r="S212" s="19"/>
    </row>
    <row r="213" ht="15.75" customHeight="1">
      <c r="A213" s="10">
        <v>212.0</v>
      </c>
      <c r="B213" s="11" t="s">
        <v>224</v>
      </c>
      <c r="C213" s="12">
        <v>23.0</v>
      </c>
      <c r="D213" s="10" t="s">
        <v>202</v>
      </c>
      <c r="E213" s="10">
        <v>2025.0</v>
      </c>
      <c r="F213" s="10" t="s">
        <v>23</v>
      </c>
      <c r="G213" s="13"/>
      <c r="H213" s="13"/>
      <c r="I213" s="14">
        <f>_xlfn.FORECAST.LINEAR('BD_LeiturasHidrômetro_PRJ02'!$A213,G:G,A:A)</f>
        <v>8802.388341</v>
      </c>
      <c r="J213" s="14">
        <f>IF('BD_LeiturasHidrômetro_PRJ02'!$G213&amp;'BD_LeiturasHidrômetro_PRJ02'!$H213="",'BD_LeiturasHidrômetro_PRJ02'!$I213,'BD_LeiturasHidrômetro_PRJ02'!$G213&amp;'BD_LeiturasHidrômetro_PRJ02'!$H213)</f>
        <v>8802.388341</v>
      </c>
      <c r="K213" s="14">
        <f t="shared" si="1"/>
        <v>8790.041256</v>
      </c>
      <c r="L213" s="15"/>
      <c r="M213" s="15"/>
      <c r="N213" s="17">
        <f t="shared" si="2"/>
        <v>12.3470852</v>
      </c>
      <c r="O213" s="32" t="s">
        <v>236</v>
      </c>
      <c r="S213" s="19"/>
    </row>
    <row r="214" ht="15.75" customHeight="1">
      <c r="A214" s="10">
        <v>213.0</v>
      </c>
      <c r="B214" s="11" t="s">
        <v>225</v>
      </c>
      <c r="C214" s="12">
        <v>24.0</v>
      </c>
      <c r="D214" s="10" t="s">
        <v>202</v>
      </c>
      <c r="E214" s="10">
        <v>2025.0</v>
      </c>
      <c r="F214" s="10" t="s">
        <v>26</v>
      </c>
      <c r="G214" s="13"/>
      <c r="H214" s="13"/>
      <c r="I214" s="14">
        <f>_xlfn.FORECAST.LINEAR('BD_LeiturasHidrômetro_PRJ02'!$A214,G:G,A:A)</f>
        <v>8814.735426</v>
      </c>
      <c r="J214" s="14">
        <f>IF('BD_LeiturasHidrômetro_PRJ02'!$G214&amp;'BD_LeiturasHidrômetro_PRJ02'!$H214="",'BD_LeiturasHidrômetro_PRJ02'!$I214,'BD_LeiturasHidrômetro_PRJ02'!$G214&amp;'BD_LeiturasHidrômetro_PRJ02'!$H214)</f>
        <v>8814.735426</v>
      </c>
      <c r="K214" s="14">
        <f t="shared" si="1"/>
        <v>8802.388341</v>
      </c>
      <c r="L214" s="15"/>
      <c r="M214" s="15"/>
      <c r="N214" s="17">
        <f t="shared" si="2"/>
        <v>12.3470852</v>
      </c>
      <c r="O214" s="32" t="s">
        <v>236</v>
      </c>
      <c r="S214" s="19"/>
    </row>
    <row r="215" ht="15.75" customHeight="1">
      <c r="A215" s="10">
        <v>214.0</v>
      </c>
      <c r="B215" s="11" t="s">
        <v>226</v>
      </c>
      <c r="C215" s="12">
        <v>25.0</v>
      </c>
      <c r="D215" s="10" t="s">
        <v>202</v>
      </c>
      <c r="E215" s="10">
        <v>2025.0</v>
      </c>
      <c r="F215" s="10" t="s">
        <v>28</v>
      </c>
      <c r="G215" s="13"/>
      <c r="H215" s="13"/>
      <c r="I215" s="14">
        <f>_xlfn.FORECAST.LINEAR('BD_LeiturasHidrômetro_PRJ02'!$A215,G:G,A:A)</f>
        <v>8827.082511</v>
      </c>
      <c r="J215" s="14">
        <f>IF('BD_LeiturasHidrômetro_PRJ02'!$G215&amp;'BD_LeiturasHidrômetro_PRJ02'!$H215="",'BD_LeiturasHidrômetro_PRJ02'!$I215,'BD_LeiturasHidrômetro_PRJ02'!$G215&amp;'BD_LeiturasHidrômetro_PRJ02'!$H215)</f>
        <v>8827.082511</v>
      </c>
      <c r="K215" s="14">
        <f t="shared" si="1"/>
        <v>8814.735426</v>
      </c>
      <c r="L215" s="15"/>
      <c r="M215" s="15"/>
      <c r="N215" s="17">
        <f t="shared" si="2"/>
        <v>12.3470852</v>
      </c>
      <c r="O215" s="32" t="s">
        <v>236</v>
      </c>
      <c r="S215" s="19"/>
    </row>
    <row r="216" ht="15.75" customHeight="1">
      <c r="A216" s="10">
        <v>215.0</v>
      </c>
      <c r="B216" s="11" t="s">
        <v>227</v>
      </c>
      <c r="C216" s="12">
        <v>26.0</v>
      </c>
      <c r="D216" s="10" t="s">
        <v>202</v>
      </c>
      <c r="E216" s="10">
        <v>2025.0</v>
      </c>
      <c r="F216" s="10" t="s">
        <v>30</v>
      </c>
      <c r="G216" s="13"/>
      <c r="H216" s="13"/>
      <c r="I216" s="14">
        <f>_xlfn.FORECAST.LINEAR('BD_LeiturasHidrômetro_PRJ02'!$A216,G:G,A:A)</f>
        <v>8839.429596</v>
      </c>
      <c r="J216" s="14">
        <f>IF('BD_LeiturasHidrômetro_PRJ02'!$G216&amp;'BD_LeiturasHidrômetro_PRJ02'!$H216="",'BD_LeiturasHidrômetro_PRJ02'!$I216,'BD_LeiturasHidrômetro_PRJ02'!$G216&amp;'BD_LeiturasHidrômetro_PRJ02'!$H216)</f>
        <v>8839.429596</v>
      </c>
      <c r="K216" s="14">
        <f t="shared" si="1"/>
        <v>8827.082511</v>
      </c>
      <c r="L216" s="15"/>
      <c r="M216" s="15"/>
      <c r="N216" s="17">
        <f t="shared" si="2"/>
        <v>12.3470852</v>
      </c>
      <c r="O216" s="32" t="s">
        <v>236</v>
      </c>
      <c r="S216" s="19"/>
    </row>
    <row r="217" ht="15.75" customHeight="1">
      <c r="A217" s="10">
        <v>216.0</v>
      </c>
      <c r="B217" s="11" t="s">
        <v>228</v>
      </c>
      <c r="C217" s="12">
        <v>27.0</v>
      </c>
      <c r="D217" s="10" t="s">
        <v>202</v>
      </c>
      <c r="E217" s="10">
        <v>2025.0</v>
      </c>
      <c r="F217" s="10" t="s">
        <v>32</v>
      </c>
      <c r="G217" s="13"/>
      <c r="H217" s="13"/>
      <c r="I217" s="13">
        <f>_xlfn.FORECAST.LINEAR('BD_LeiturasHidrômetro_PRJ02'!$A217,G:G,A:A)</f>
        <v>8851.776682</v>
      </c>
      <c r="J217" s="14">
        <f>IF('BD_LeiturasHidrômetro_PRJ02'!$G217&amp;'BD_LeiturasHidrômetro_PRJ02'!$H217="",'BD_LeiturasHidrômetro_PRJ02'!$I217,'BD_LeiturasHidrômetro_PRJ02'!$G217&amp;'BD_LeiturasHidrômetro_PRJ02'!$H217)</f>
        <v>8851.776682</v>
      </c>
      <c r="K217" s="14">
        <f t="shared" si="1"/>
        <v>8839.429596</v>
      </c>
      <c r="L217" s="15"/>
      <c r="M217" s="15"/>
      <c r="N217" s="17">
        <f t="shared" si="2"/>
        <v>12.3470852</v>
      </c>
      <c r="O217" s="32" t="s">
        <v>236</v>
      </c>
      <c r="S217" s="19"/>
    </row>
    <row r="218" ht="15.75" customHeight="1">
      <c r="A218" s="10">
        <v>217.0</v>
      </c>
      <c r="B218" s="11" t="s">
        <v>229</v>
      </c>
      <c r="C218" s="12">
        <v>28.0</v>
      </c>
      <c r="D218" s="10" t="s">
        <v>202</v>
      </c>
      <c r="E218" s="10">
        <v>2025.0</v>
      </c>
      <c r="F218" s="10" t="s">
        <v>34</v>
      </c>
      <c r="G218" s="13"/>
      <c r="H218" s="13"/>
      <c r="I218" s="13">
        <f>_xlfn.FORECAST.LINEAR('BD_LeiturasHidrômetro_PRJ02'!$A218,G:G,A:A)</f>
        <v>8864.123767</v>
      </c>
      <c r="J218" s="14">
        <f>IF('BD_LeiturasHidrômetro_PRJ02'!$G218&amp;'BD_LeiturasHidrômetro_PRJ02'!$H218="",'BD_LeiturasHidrômetro_PRJ02'!$I218,'BD_LeiturasHidrômetro_PRJ02'!$G218&amp;'BD_LeiturasHidrômetro_PRJ02'!$H218)</f>
        <v>8864.123767</v>
      </c>
      <c r="K218" s="14">
        <f t="shared" si="1"/>
        <v>8851.776682</v>
      </c>
      <c r="L218" s="15"/>
      <c r="M218" s="15"/>
      <c r="N218" s="17">
        <f t="shared" si="2"/>
        <v>12.3470852</v>
      </c>
      <c r="O218" s="32" t="s">
        <v>236</v>
      </c>
      <c r="S218" s="19"/>
    </row>
    <row r="219" ht="15.75" customHeight="1">
      <c r="A219" s="10">
        <v>218.0</v>
      </c>
      <c r="B219" s="11" t="s">
        <v>230</v>
      </c>
      <c r="C219" s="12">
        <v>29.0</v>
      </c>
      <c r="D219" s="10" t="s">
        <v>202</v>
      </c>
      <c r="E219" s="10">
        <v>2025.0</v>
      </c>
      <c r="F219" s="10" t="s">
        <v>19</v>
      </c>
      <c r="G219" s="13"/>
      <c r="H219" s="13"/>
      <c r="I219" s="13">
        <f>_xlfn.FORECAST.LINEAR('BD_LeiturasHidrômetro_PRJ02'!$A219,G:G,A:A)</f>
        <v>8876.470852</v>
      </c>
      <c r="J219" s="14">
        <f>IF('BD_LeiturasHidrômetro_PRJ02'!$G219&amp;'BD_LeiturasHidrômetro_PRJ02'!$H219="",'BD_LeiturasHidrômetro_PRJ02'!$I219,'BD_LeiturasHidrômetro_PRJ02'!$G219&amp;'BD_LeiturasHidrômetro_PRJ02'!$H219)</f>
        <v>8876.470852</v>
      </c>
      <c r="K219" s="14">
        <f t="shared" si="1"/>
        <v>8864.123767</v>
      </c>
      <c r="L219" s="15"/>
      <c r="M219" s="15"/>
      <c r="N219" s="17">
        <f t="shared" si="2"/>
        <v>12.3470852</v>
      </c>
      <c r="O219" s="32" t="s">
        <v>236</v>
      </c>
      <c r="S219" s="19"/>
    </row>
    <row r="220" ht="15.75" customHeight="1">
      <c r="A220" s="10">
        <v>219.0</v>
      </c>
      <c r="B220" s="11" t="s">
        <v>231</v>
      </c>
      <c r="C220" s="12">
        <v>30.0</v>
      </c>
      <c r="D220" s="10" t="s">
        <v>202</v>
      </c>
      <c r="E220" s="10">
        <v>2025.0</v>
      </c>
      <c r="F220" s="10" t="s">
        <v>23</v>
      </c>
      <c r="G220" s="13"/>
      <c r="H220" s="13"/>
      <c r="I220" s="14">
        <f>_xlfn.FORECAST.LINEAR('BD_LeiturasHidrômetro_PRJ02'!$A220,G:G,A:A)</f>
        <v>8888.817937</v>
      </c>
      <c r="J220" s="14">
        <f>IF('BD_LeiturasHidrômetro_PRJ02'!$G220&amp;'BD_LeiturasHidrômetro_PRJ02'!$H220="",'BD_LeiturasHidrômetro_PRJ02'!$I220,'BD_LeiturasHidrômetro_PRJ02'!$G220&amp;'BD_LeiturasHidrômetro_PRJ02'!$H220)</f>
        <v>8888.817937</v>
      </c>
      <c r="K220" s="14">
        <f t="shared" si="1"/>
        <v>8876.470852</v>
      </c>
      <c r="L220" s="15"/>
      <c r="M220" s="15"/>
      <c r="N220" s="17">
        <f t="shared" si="2"/>
        <v>12.3470852</v>
      </c>
      <c r="O220" s="32" t="s">
        <v>236</v>
      </c>
      <c r="S220" s="19"/>
    </row>
    <row r="221" ht="15.75" customHeight="1">
      <c r="A221" s="10">
        <v>220.0</v>
      </c>
      <c r="B221" s="11" t="s">
        <v>232</v>
      </c>
      <c r="C221" s="12">
        <v>31.0</v>
      </c>
      <c r="D221" s="10" t="s">
        <v>202</v>
      </c>
      <c r="E221" s="10">
        <v>2025.0</v>
      </c>
      <c r="F221" s="10" t="s">
        <v>26</v>
      </c>
      <c r="G221" s="13"/>
      <c r="H221" s="13"/>
      <c r="I221" s="14">
        <f>_xlfn.FORECAST.LINEAR('BD_LeiturasHidrômetro_PRJ02'!$A221,G:G,A:A)</f>
        <v>8901.165022</v>
      </c>
      <c r="J221" s="14">
        <f>IF('BD_LeiturasHidrômetro_PRJ02'!$G221&amp;'BD_LeiturasHidrômetro_PRJ02'!$H221="",'BD_LeiturasHidrômetro_PRJ02'!$I221,'BD_LeiturasHidrômetro_PRJ02'!$G221&amp;'BD_LeiturasHidrômetro_PRJ02'!$H221)</f>
        <v>8901.165022</v>
      </c>
      <c r="K221" s="14">
        <f t="shared" si="1"/>
        <v>8888.817937</v>
      </c>
      <c r="L221" s="15"/>
      <c r="M221" s="15"/>
      <c r="N221" s="17">
        <f t="shared" si="2"/>
        <v>12.3470852</v>
      </c>
      <c r="O221" s="32" t="s">
        <v>236</v>
      </c>
      <c r="S221" s="22"/>
    </row>
    <row r="222" ht="15.75" customHeight="1">
      <c r="A222" s="23"/>
      <c r="B222" s="24"/>
      <c r="C222" s="25"/>
      <c r="D222" s="26"/>
      <c r="E222" s="26"/>
      <c r="F222" s="26"/>
      <c r="G222" s="27"/>
      <c r="H222" s="27"/>
      <c r="I222" s="27"/>
      <c r="J222" s="27"/>
      <c r="K222" s="27"/>
      <c r="L222" s="23"/>
      <c r="M222" s="23"/>
      <c r="P222" s="22"/>
    </row>
    <row r="223" ht="15.75" customHeight="1">
      <c r="A223" s="23"/>
      <c r="B223" s="24"/>
      <c r="C223" s="25"/>
      <c r="D223" s="26"/>
      <c r="E223" s="26"/>
      <c r="F223" s="26"/>
      <c r="G223" s="27"/>
      <c r="H223" s="27"/>
      <c r="I223" s="27"/>
      <c r="J223" s="27"/>
      <c r="K223" s="27"/>
      <c r="L223" s="23"/>
      <c r="M223" s="23"/>
      <c r="P223" s="22"/>
    </row>
    <row r="224" ht="15.75" customHeight="1">
      <c r="A224" s="23"/>
      <c r="B224" s="24"/>
      <c r="C224" s="25"/>
      <c r="D224" s="26"/>
      <c r="E224" s="26"/>
      <c r="F224" s="26"/>
      <c r="G224" s="27"/>
      <c r="H224" s="27"/>
      <c r="I224" s="27"/>
      <c r="J224" s="27"/>
      <c r="K224" s="27"/>
      <c r="L224" s="23"/>
      <c r="M224" s="23"/>
      <c r="P224" s="22"/>
    </row>
    <row r="225" ht="15.75" customHeight="1">
      <c r="A225" s="23"/>
      <c r="B225" s="24"/>
      <c r="C225" s="25"/>
      <c r="D225" s="26"/>
      <c r="E225" s="26"/>
      <c r="F225" s="26"/>
      <c r="G225" s="27"/>
      <c r="H225" s="27"/>
      <c r="I225" s="27"/>
      <c r="J225" s="27"/>
      <c r="K225" s="27"/>
      <c r="L225" s="23"/>
      <c r="M225" s="23"/>
      <c r="P225" s="22"/>
    </row>
    <row r="226" ht="15.75" customHeight="1">
      <c r="A226" s="23"/>
      <c r="B226" s="24"/>
      <c r="C226" s="25"/>
      <c r="D226" s="26"/>
      <c r="E226" s="26"/>
      <c r="F226" s="26"/>
      <c r="G226" s="27"/>
      <c r="H226" s="27"/>
      <c r="I226" s="27"/>
      <c r="J226" s="27"/>
      <c r="K226" s="27"/>
      <c r="L226" s="23"/>
      <c r="M226" s="23"/>
      <c r="P226" s="22"/>
    </row>
    <row r="227" ht="15.75" customHeight="1">
      <c r="A227" s="23"/>
      <c r="B227" s="24"/>
      <c r="C227" s="25"/>
      <c r="D227" s="26"/>
      <c r="E227" s="26"/>
      <c r="F227" s="26"/>
      <c r="G227" s="27"/>
      <c r="H227" s="27"/>
      <c r="I227" s="27"/>
      <c r="J227" s="27"/>
      <c r="K227" s="27"/>
      <c r="L227" s="23"/>
      <c r="M227" s="23"/>
      <c r="P227" s="22"/>
    </row>
    <row r="228" ht="15.75" customHeight="1">
      <c r="A228" s="23"/>
      <c r="B228" s="24"/>
      <c r="C228" s="25"/>
      <c r="D228" s="26"/>
      <c r="E228" s="26"/>
      <c r="F228" s="26"/>
      <c r="G228" s="27"/>
      <c r="H228" s="27"/>
      <c r="I228" s="27"/>
      <c r="J228" s="27"/>
      <c r="K228" s="27"/>
      <c r="L228" s="23"/>
      <c r="M228" s="23"/>
      <c r="P228" s="22"/>
    </row>
    <row r="229" ht="15.75" customHeight="1">
      <c r="A229" s="23"/>
      <c r="B229" s="24"/>
      <c r="C229" s="25"/>
      <c r="D229" s="26"/>
      <c r="E229" s="26"/>
      <c r="F229" s="26"/>
      <c r="G229" s="27"/>
      <c r="H229" s="27"/>
      <c r="I229" s="27"/>
      <c r="J229" s="27"/>
      <c r="K229" s="27"/>
      <c r="L229" s="23"/>
      <c r="M229" s="23"/>
      <c r="P229" s="22"/>
    </row>
    <row r="230" ht="15.75" customHeight="1">
      <c r="A230" s="23"/>
      <c r="B230" s="24"/>
      <c r="C230" s="25"/>
      <c r="D230" s="26"/>
      <c r="E230" s="26"/>
      <c r="F230" s="26"/>
      <c r="G230" s="27"/>
      <c r="H230" s="27"/>
      <c r="I230" s="27"/>
      <c r="J230" s="27"/>
      <c r="K230" s="27"/>
      <c r="L230" s="23"/>
      <c r="M230" s="23"/>
      <c r="P230" s="22"/>
    </row>
    <row r="231" ht="15.75" customHeight="1">
      <c r="A231" s="23"/>
      <c r="B231" s="24"/>
      <c r="C231" s="25"/>
      <c r="D231" s="26"/>
      <c r="E231" s="26"/>
      <c r="F231" s="26"/>
      <c r="G231" s="27"/>
      <c r="H231" s="27"/>
      <c r="I231" s="27"/>
      <c r="J231" s="27"/>
      <c r="K231" s="27"/>
      <c r="L231" s="23"/>
      <c r="M231" s="23"/>
      <c r="P231" s="22"/>
    </row>
    <row r="232" ht="15.75" customHeight="1">
      <c r="A232" s="23"/>
      <c r="B232" s="24"/>
      <c r="C232" s="25"/>
      <c r="D232" s="26"/>
      <c r="E232" s="26"/>
      <c r="F232" s="26"/>
      <c r="G232" s="27"/>
      <c r="H232" s="27"/>
      <c r="I232" s="27"/>
      <c r="J232" s="27"/>
      <c r="K232" s="27"/>
      <c r="L232" s="23"/>
      <c r="M232" s="23"/>
      <c r="P232" s="22"/>
    </row>
    <row r="233" ht="15.75" customHeight="1">
      <c r="A233" s="23"/>
      <c r="B233" s="24"/>
      <c r="C233" s="25"/>
      <c r="D233" s="26"/>
      <c r="E233" s="26"/>
      <c r="F233" s="26"/>
      <c r="G233" s="27"/>
      <c r="H233" s="27"/>
      <c r="I233" s="27"/>
      <c r="J233" s="27"/>
      <c r="K233" s="27"/>
      <c r="L233" s="23"/>
      <c r="M233" s="23"/>
      <c r="P233" s="22"/>
    </row>
    <row r="234" ht="15.75" customHeight="1">
      <c r="A234" s="23"/>
      <c r="B234" s="24"/>
      <c r="C234" s="25"/>
      <c r="D234" s="26"/>
      <c r="E234" s="26"/>
      <c r="F234" s="26"/>
      <c r="G234" s="27"/>
      <c r="H234" s="27"/>
      <c r="I234" s="27"/>
      <c r="J234" s="27"/>
      <c r="K234" s="27"/>
      <c r="L234" s="23"/>
      <c r="M234" s="23"/>
      <c r="P234" s="22"/>
    </row>
    <row r="235" ht="15.75" customHeight="1">
      <c r="A235" s="23"/>
      <c r="B235" s="24"/>
      <c r="C235" s="25"/>
      <c r="D235" s="26"/>
      <c r="E235" s="26"/>
      <c r="F235" s="26"/>
      <c r="G235" s="27"/>
      <c r="H235" s="27"/>
      <c r="I235" s="27"/>
      <c r="J235" s="27"/>
      <c r="K235" s="27"/>
      <c r="L235" s="23"/>
      <c r="M235" s="23"/>
      <c r="P235" s="22"/>
    </row>
    <row r="236" ht="15.75" customHeight="1">
      <c r="A236" s="23"/>
      <c r="B236" s="24"/>
      <c r="C236" s="25"/>
      <c r="D236" s="26"/>
      <c r="E236" s="26"/>
      <c r="F236" s="26"/>
      <c r="G236" s="27"/>
      <c r="H236" s="27"/>
      <c r="I236" s="27"/>
      <c r="J236" s="27"/>
      <c r="K236" s="27"/>
      <c r="L236" s="23"/>
      <c r="M236" s="23"/>
      <c r="P236" s="22"/>
    </row>
    <row r="237" ht="15.75" customHeight="1">
      <c r="A237" s="23"/>
      <c r="B237" s="24"/>
      <c r="C237" s="25"/>
      <c r="D237" s="26"/>
      <c r="E237" s="26"/>
      <c r="F237" s="26"/>
      <c r="G237" s="27"/>
      <c r="H237" s="27"/>
      <c r="I237" s="27"/>
      <c r="J237" s="27"/>
      <c r="K237" s="27"/>
      <c r="L237" s="23"/>
      <c r="M237" s="23"/>
      <c r="P237" s="22"/>
    </row>
    <row r="238" ht="15.75" customHeight="1">
      <c r="A238" s="23"/>
      <c r="B238" s="24"/>
      <c r="C238" s="25"/>
      <c r="D238" s="26"/>
      <c r="E238" s="26"/>
      <c r="F238" s="26"/>
      <c r="G238" s="27"/>
      <c r="H238" s="27"/>
      <c r="I238" s="27"/>
      <c r="J238" s="27"/>
      <c r="K238" s="27"/>
      <c r="L238" s="23"/>
      <c r="M238" s="23"/>
      <c r="P238" s="22"/>
    </row>
    <row r="239" ht="15.75" customHeight="1">
      <c r="A239" s="23"/>
      <c r="B239" s="24"/>
      <c r="C239" s="25"/>
      <c r="D239" s="26"/>
      <c r="E239" s="26"/>
      <c r="F239" s="26"/>
      <c r="G239" s="27"/>
      <c r="H239" s="27"/>
      <c r="I239" s="27"/>
      <c r="J239" s="27"/>
      <c r="K239" s="27"/>
      <c r="L239" s="23"/>
      <c r="M239" s="23"/>
      <c r="P239" s="22"/>
    </row>
    <row r="240" ht="15.75" customHeight="1">
      <c r="A240" s="23"/>
      <c r="B240" s="24"/>
      <c r="C240" s="25"/>
      <c r="D240" s="26"/>
      <c r="E240" s="26"/>
      <c r="F240" s="26"/>
      <c r="G240" s="27"/>
      <c r="H240" s="27"/>
      <c r="I240" s="27"/>
      <c r="J240" s="27"/>
      <c r="K240" s="27"/>
      <c r="L240" s="23"/>
      <c r="M240" s="23"/>
      <c r="P240" s="22"/>
    </row>
    <row r="241" ht="15.75" customHeight="1">
      <c r="A241" s="23"/>
      <c r="B241" s="24"/>
      <c r="C241" s="25"/>
      <c r="D241" s="26"/>
      <c r="E241" s="26"/>
      <c r="F241" s="26"/>
      <c r="G241" s="27"/>
      <c r="H241" s="27"/>
      <c r="I241" s="27"/>
      <c r="J241" s="27"/>
      <c r="K241" s="27"/>
      <c r="L241" s="23"/>
      <c r="M241" s="23"/>
      <c r="P241" s="22"/>
    </row>
    <row r="242" ht="15.75" customHeight="1">
      <c r="A242" s="23"/>
      <c r="B242" s="24"/>
      <c r="C242" s="25"/>
      <c r="D242" s="26"/>
      <c r="E242" s="26"/>
      <c r="F242" s="26"/>
      <c r="G242" s="27"/>
      <c r="H242" s="27"/>
      <c r="I242" s="27"/>
      <c r="J242" s="27"/>
      <c r="K242" s="27"/>
      <c r="L242" s="23"/>
      <c r="M242" s="23"/>
      <c r="P242" s="22"/>
    </row>
    <row r="243" ht="15.75" customHeight="1">
      <c r="A243" s="23"/>
      <c r="B243" s="24"/>
      <c r="C243" s="25"/>
      <c r="D243" s="26"/>
      <c r="E243" s="26"/>
      <c r="F243" s="26"/>
      <c r="G243" s="27"/>
      <c r="H243" s="27"/>
      <c r="I243" s="27"/>
      <c r="J243" s="27"/>
      <c r="K243" s="27"/>
      <c r="L243" s="23"/>
      <c r="M243" s="23"/>
      <c r="P243" s="22"/>
    </row>
    <row r="244" ht="15.75" customHeight="1">
      <c r="A244" s="23"/>
      <c r="B244" s="24"/>
      <c r="C244" s="25"/>
      <c r="D244" s="26"/>
      <c r="E244" s="26"/>
      <c r="F244" s="26"/>
      <c r="G244" s="27"/>
      <c r="H244" s="27"/>
      <c r="I244" s="27"/>
      <c r="J244" s="27"/>
      <c r="K244" s="27"/>
      <c r="L244" s="23"/>
      <c r="M244" s="23"/>
      <c r="P244" s="22"/>
    </row>
    <row r="245" ht="15.75" customHeight="1">
      <c r="A245" s="23"/>
      <c r="B245" s="24"/>
      <c r="C245" s="25"/>
      <c r="D245" s="26"/>
      <c r="E245" s="26"/>
      <c r="F245" s="26"/>
      <c r="G245" s="27"/>
      <c r="H245" s="27"/>
      <c r="I245" s="27"/>
      <c r="J245" s="27"/>
      <c r="K245" s="27"/>
      <c r="L245" s="23"/>
      <c r="M245" s="23"/>
      <c r="P245" s="22"/>
    </row>
    <row r="246" ht="15.75" customHeight="1">
      <c r="A246" s="23"/>
      <c r="B246" s="24"/>
      <c r="C246" s="25"/>
      <c r="D246" s="26"/>
      <c r="E246" s="26"/>
      <c r="F246" s="26"/>
      <c r="G246" s="27"/>
      <c r="H246" s="27"/>
      <c r="I246" s="27"/>
      <c r="J246" s="27"/>
      <c r="K246" s="27"/>
      <c r="L246" s="23"/>
      <c r="M246" s="23"/>
      <c r="P246" s="22"/>
    </row>
    <row r="247" ht="15.75" customHeight="1">
      <c r="A247" s="23"/>
      <c r="B247" s="24"/>
      <c r="C247" s="25"/>
      <c r="D247" s="26"/>
      <c r="E247" s="26"/>
      <c r="F247" s="26"/>
      <c r="G247" s="27"/>
      <c r="H247" s="27"/>
      <c r="I247" s="27"/>
      <c r="J247" s="27"/>
      <c r="K247" s="27"/>
      <c r="L247" s="23"/>
      <c r="M247" s="23"/>
      <c r="P247" s="22"/>
    </row>
    <row r="248" ht="15.75" customHeight="1">
      <c r="A248" s="23"/>
      <c r="B248" s="24"/>
      <c r="C248" s="25"/>
      <c r="D248" s="26"/>
      <c r="E248" s="26"/>
      <c r="F248" s="26"/>
      <c r="G248" s="27"/>
      <c r="H248" s="27"/>
      <c r="I248" s="27"/>
      <c r="J248" s="27"/>
      <c r="K248" s="27"/>
      <c r="L248" s="23"/>
      <c r="M248" s="23"/>
      <c r="P248" s="22"/>
    </row>
    <row r="249" ht="15.75" customHeight="1">
      <c r="A249" s="23"/>
      <c r="B249" s="24"/>
      <c r="C249" s="25"/>
      <c r="D249" s="26"/>
      <c r="E249" s="26"/>
      <c r="F249" s="26"/>
      <c r="G249" s="27"/>
      <c r="H249" s="27"/>
      <c r="I249" s="27"/>
      <c r="J249" s="27"/>
      <c r="K249" s="27"/>
      <c r="L249" s="23"/>
      <c r="M249" s="23"/>
      <c r="P249" s="22"/>
    </row>
    <row r="250" ht="15.75" customHeight="1">
      <c r="A250" s="23"/>
      <c r="B250" s="24"/>
      <c r="C250" s="25"/>
      <c r="D250" s="26"/>
      <c r="E250" s="26"/>
      <c r="F250" s="26"/>
      <c r="G250" s="27"/>
      <c r="H250" s="27"/>
      <c r="I250" s="27"/>
      <c r="J250" s="27"/>
      <c r="K250" s="27"/>
      <c r="L250" s="23"/>
      <c r="M250" s="23"/>
      <c r="P250" s="22"/>
    </row>
    <row r="251" ht="15.75" customHeight="1">
      <c r="A251" s="23"/>
      <c r="B251" s="24"/>
      <c r="C251" s="25"/>
      <c r="D251" s="26"/>
      <c r="E251" s="26"/>
      <c r="F251" s="26"/>
      <c r="G251" s="27"/>
      <c r="H251" s="27"/>
      <c r="I251" s="27"/>
      <c r="J251" s="27"/>
      <c r="K251" s="27"/>
      <c r="L251" s="23"/>
      <c r="M251" s="23"/>
      <c r="P251" s="22"/>
    </row>
    <row r="252" ht="15.75" customHeight="1">
      <c r="A252" s="23"/>
      <c r="B252" s="24"/>
      <c r="C252" s="25"/>
      <c r="D252" s="26"/>
      <c r="E252" s="26"/>
      <c r="F252" s="26"/>
      <c r="G252" s="27"/>
      <c r="H252" s="27"/>
      <c r="I252" s="27"/>
      <c r="J252" s="27"/>
      <c r="K252" s="27"/>
      <c r="L252" s="23"/>
      <c r="M252" s="23"/>
      <c r="P252" s="22"/>
    </row>
    <row r="253" ht="15.75" customHeight="1">
      <c r="A253" s="23"/>
      <c r="B253" s="24"/>
      <c r="C253" s="25"/>
      <c r="D253" s="26"/>
      <c r="E253" s="26"/>
      <c r="F253" s="26"/>
      <c r="G253" s="27"/>
      <c r="H253" s="27"/>
      <c r="I253" s="27"/>
      <c r="J253" s="27"/>
      <c r="K253" s="27"/>
      <c r="L253" s="23"/>
      <c r="M253" s="23"/>
      <c r="P253" s="22"/>
    </row>
    <row r="254" ht="15.75" customHeight="1">
      <c r="A254" s="23"/>
      <c r="B254" s="24"/>
      <c r="C254" s="25"/>
      <c r="D254" s="26"/>
      <c r="E254" s="26"/>
      <c r="F254" s="26"/>
      <c r="G254" s="27"/>
      <c r="H254" s="27"/>
      <c r="I254" s="27"/>
      <c r="J254" s="27"/>
      <c r="K254" s="27"/>
      <c r="L254" s="23"/>
      <c r="M254" s="23"/>
      <c r="P254" s="22"/>
    </row>
    <row r="255" ht="15.75" customHeight="1">
      <c r="A255" s="23"/>
      <c r="B255" s="24"/>
      <c r="C255" s="25"/>
      <c r="D255" s="26"/>
      <c r="E255" s="26"/>
      <c r="F255" s="26"/>
      <c r="G255" s="27"/>
      <c r="H255" s="27"/>
      <c r="I255" s="27"/>
      <c r="J255" s="27"/>
      <c r="K255" s="27"/>
      <c r="L255" s="23"/>
      <c r="M255" s="23"/>
      <c r="P255" s="22"/>
    </row>
    <row r="256" ht="15.75" customHeight="1">
      <c r="A256" s="23"/>
      <c r="B256" s="24"/>
      <c r="C256" s="25"/>
      <c r="D256" s="26"/>
      <c r="E256" s="26"/>
      <c r="F256" s="26"/>
      <c r="G256" s="27"/>
      <c r="H256" s="27"/>
      <c r="I256" s="27"/>
      <c r="J256" s="27"/>
      <c r="K256" s="27"/>
      <c r="L256" s="23"/>
      <c r="M256" s="23"/>
      <c r="P256" s="22"/>
    </row>
    <row r="257" ht="15.75" customHeight="1">
      <c r="A257" s="23"/>
      <c r="B257" s="24"/>
      <c r="C257" s="25"/>
      <c r="D257" s="26"/>
      <c r="E257" s="26"/>
      <c r="F257" s="26"/>
      <c r="G257" s="27"/>
      <c r="H257" s="27"/>
      <c r="I257" s="27"/>
      <c r="J257" s="27"/>
      <c r="K257" s="27"/>
      <c r="L257" s="23"/>
      <c r="M257" s="23"/>
      <c r="P257" s="22"/>
    </row>
    <row r="258" ht="15.75" customHeight="1">
      <c r="A258" s="23"/>
      <c r="B258" s="24"/>
      <c r="C258" s="25"/>
      <c r="D258" s="26"/>
      <c r="E258" s="26"/>
      <c r="F258" s="26"/>
      <c r="G258" s="27"/>
      <c r="H258" s="27"/>
      <c r="I258" s="27"/>
      <c r="J258" s="27"/>
      <c r="K258" s="27"/>
      <c r="L258" s="23"/>
      <c r="M258" s="23"/>
      <c r="P258" s="22"/>
    </row>
    <row r="259" ht="15.75" customHeight="1">
      <c r="A259" s="23"/>
      <c r="B259" s="24"/>
      <c r="C259" s="25"/>
      <c r="D259" s="26"/>
      <c r="E259" s="26"/>
      <c r="F259" s="26"/>
      <c r="G259" s="27"/>
      <c r="H259" s="27"/>
      <c r="I259" s="27"/>
      <c r="J259" s="27"/>
      <c r="K259" s="27"/>
      <c r="L259" s="23"/>
      <c r="M259" s="23"/>
      <c r="P259" s="22"/>
    </row>
    <row r="260" ht="15.75" customHeight="1">
      <c r="A260" s="23"/>
      <c r="B260" s="24"/>
      <c r="C260" s="25"/>
      <c r="D260" s="26"/>
      <c r="E260" s="26"/>
      <c r="F260" s="26"/>
      <c r="G260" s="27"/>
      <c r="H260" s="27"/>
      <c r="I260" s="27"/>
      <c r="J260" s="27"/>
      <c r="K260" s="27"/>
      <c r="L260" s="23"/>
      <c r="M260" s="23"/>
      <c r="P260" s="22"/>
    </row>
    <row r="261" ht="15.75" customHeight="1">
      <c r="A261" s="23"/>
      <c r="B261" s="24"/>
      <c r="C261" s="25"/>
      <c r="D261" s="26"/>
      <c r="E261" s="26"/>
      <c r="F261" s="26"/>
      <c r="G261" s="27"/>
      <c r="H261" s="27"/>
      <c r="I261" s="27"/>
      <c r="J261" s="27"/>
      <c r="K261" s="27"/>
      <c r="L261" s="23"/>
      <c r="M261" s="23"/>
      <c r="P261" s="22"/>
    </row>
    <row r="262" ht="15.75" customHeight="1">
      <c r="A262" s="23"/>
      <c r="B262" s="24"/>
      <c r="C262" s="25"/>
      <c r="D262" s="26"/>
      <c r="E262" s="26"/>
      <c r="F262" s="26"/>
      <c r="G262" s="27"/>
      <c r="H262" s="27"/>
      <c r="I262" s="27"/>
      <c r="J262" s="27"/>
      <c r="K262" s="27"/>
      <c r="L262" s="23"/>
      <c r="M262" s="23"/>
      <c r="P262" s="22"/>
    </row>
    <row r="263" ht="15.75" customHeight="1">
      <c r="A263" s="23"/>
      <c r="B263" s="24"/>
      <c r="C263" s="25"/>
      <c r="D263" s="26"/>
      <c r="E263" s="26"/>
      <c r="F263" s="26"/>
      <c r="G263" s="27"/>
      <c r="H263" s="27"/>
      <c r="I263" s="27"/>
      <c r="J263" s="27"/>
      <c r="K263" s="27"/>
      <c r="L263" s="23"/>
      <c r="M263" s="23"/>
      <c r="P263" s="22"/>
    </row>
    <row r="264" ht="15.75" customHeight="1">
      <c r="A264" s="23"/>
      <c r="B264" s="24"/>
      <c r="C264" s="25"/>
      <c r="D264" s="26"/>
      <c r="E264" s="26"/>
      <c r="F264" s="26"/>
      <c r="G264" s="27"/>
      <c r="H264" s="27"/>
      <c r="I264" s="27"/>
      <c r="J264" s="27"/>
      <c r="K264" s="27"/>
      <c r="L264" s="23"/>
      <c r="M264" s="23"/>
      <c r="P264" s="22"/>
    </row>
    <row r="265" ht="15.75" customHeight="1">
      <c r="A265" s="23"/>
      <c r="B265" s="24"/>
      <c r="C265" s="25"/>
      <c r="D265" s="26"/>
      <c r="E265" s="26"/>
      <c r="F265" s="26"/>
      <c r="G265" s="27"/>
      <c r="H265" s="27"/>
      <c r="I265" s="27"/>
      <c r="J265" s="27"/>
      <c r="K265" s="27"/>
      <c r="L265" s="23"/>
      <c r="M265" s="23"/>
      <c r="P265" s="22"/>
    </row>
    <row r="266" ht="15.75" customHeight="1">
      <c r="A266" s="23"/>
      <c r="B266" s="24"/>
      <c r="C266" s="25"/>
      <c r="D266" s="26"/>
      <c r="E266" s="26"/>
      <c r="F266" s="26"/>
      <c r="G266" s="27"/>
      <c r="H266" s="27"/>
      <c r="I266" s="27"/>
      <c r="J266" s="27"/>
      <c r="K266" s="27"/>
      <c r="L266" s="23"/>
      <c r="M266" s="23"/>
      <c r="P266" s="22"/>
    </row>
    <row r="267" ht="15.75" customHeight="1">
      <c r="A267" s="23"/>
      <c r="B267" s="24"/>
      <c r="C267" s="25"/>
      <c r="D267" s="26"/>
      <c r="E267" s="26"/>
      <c r="F267" s="26"/>
      <c r="G267" s="27"/>
      <c r="H267" s="27"/>
      <c r="I267" s="27"/>
      <c r="J267" s="27"/>
      <c r="K267" s="27"/>
      <c r="L267" s="23"/>
      <c r="M267" s="23"/>
      <c r="P267" s="22"/>
    </row>
    <row r="268" ht="15.75" customHeight="1">
      <c r="A268" s="23"/>
      <c r="B268" s="24"/>
      <c r="C268" s="25"/>
      <c r="D268" s="26"/>
      <c r="E268" s="26"/>
      <c r="F268" s="26"/>
      <c r="G268" s="27"/>
      <c r="H268" s="27"/>
      <c r="I268" s="27"/>
      <c r="J268" s="27"/>
      <c r="K268" s="27"/>
      <c r="L268" s="23"/>
      <c r="M268" s="23"/>
      <c r="P268" s="22"/>
    </row>
    <row r="269" ht="15.75" customHeight="1">
      <c r="A269" s="23"/>
      <c r="B269" s="24"/>
      <c r="C269" s="25"/>
      <c r="D269" s="26"/>
      <c r="E269" s="26"/>
      <c r="F269" s="26"/>
      <c r="G269" s="27"/>
      <c r="H269" s="27"/>
      <c r="I269" s="27"/>
      <c r="J269" s="27"/>
      <c r="K269" s="27"/>
      <c r="L269" s="23"/>
      <c r="M269" s="23"/>
      <c r="P269" s="22"/>
    </row>
    <row r="270" ht="15.75" customHeight="1">
      <c r="A270" s="23"/>
      <c r="B270" s="24"/>
      <c r="C270" s="25"/>
      <c r="D270" s="26"/>
      <c r="E270" s="26"/>
      <c r="F270" s="26"/>
      <c r="G270" s="27"/>
      <c r="H270" s="27"/>
      <c r="I270" s="27"/>
      <c r="J270" s="27"/>
      <c r="K270" s="27"/>
      <c r="L270" s="23"/>
      <c r="M270" s="23"/>
      <c r="P270" s="22"/>
    </row>
    <row r="271" ht="15.75" customHeight="1">
      <c r="A271" s="23"/>
      <c r="B271" s="24"/>
      <c r="C271" s="25"/>
      <c r="D271" s="26"/>
      <c r="E271" s="26"/>
      <c r="F271" s="26"/>
      <c r="G271" s="27"/>
      <c r="H271" s="27"/>
      <c r="I271" s="27"/>
      <c r="J271" s="27"/>
      <c r="K271" s="27"/>
      <c r="L271" s="23"/>
      <c r="M271" s="23"/>
      <c r="P271" s="22"/>
    </row>
    <row r="272" ht="15.75" customHeight="1">
      <c r="A272" s="23"/>
      <c r="B272" s="24"/>
      <c r="C272" s="25"/>
      <c r="D272" s="26"/>
      <c r="E272" s="26"/>
      <c r="F272" s="26"/>
      <c r="G272" s="27"/>
      <c r="H272" s="27"/>
      <c r="I272" s="27"/>
      <c r="J272" s="27"/>
      <c r="K272" s="27"/>
      <c r="L272" s="23"/>
      <c r="M272" s="23"/>
      <c r="P272" s="22"/>
    </row>
    <row r="273" ht="15.75" customHeight="1">
      <c r="A273" s="23"/>
      <c r="B273" s="24"/>
      <c r="C273" s="25"/>
      <c r="D273" s="26"/>
      <c r="E273" s="26"/>
      <c r="F273" s="26"/>
      <c r="G273" s="27"/>
      <c r="H273" s="27"/>
      <c r="I273" s="27"/>
      <c r="J273" s="27"/>
      <c r="K273" s="27"/>
      <c r="L273" s="23"/>
      <c r="M273" s="23"/>
      <c r="P273" s="22"/>
    </row>
    <row r="274" ht="15.75" customHeight="1">
      <c r="A274" s="23"/>
      <c r="B274" s="24"/>
      <c r="C274" s="25"/>
      <c r="D274" s="26"/>
      <c r="E274" s="26"/>
      <c r="F274" s="26"/>
      <c r="G274" s="27"/>
      <c r="H274" s="27"/>
      <c r="I274" s="27"/>
      <c r="J274" s="27"/>
      <c r="K274" s="27"/>
      <c r="L274" s="23"/>
      <c r="M274" s="23"/>
      <c r="P274" s="22"/>
    </row>
    <row r="275" ht="15.75" customHeight="1">
      <c r="A275" s="23"/>
      <c r="B275" s="24"/>
      <c r="C275" s="25"/>
      <c r="D275" s="26"/>
      <c r="E275" s="26"/>
      <c r="F275" s="26"/>
      <c r="G275" s="27"/>
      <c r="H275" s="27"/>
      <c r="I275" s="27"/>
      <c r="J275" s="27"/>
      <c r="K275" s="27"/>
      <c r="L275" s="23"/>
      <c r="M275" s="23"/>
      <c r="P275" s="22"/>
    </row>
    <row r="276" ht="15.75" customHeight="1">
      <c r="A276" s="23"/>
      <c r="B276" s="24"/>
      <c r="C276" s="25"/>
      <c r="D276" s="26"/>
      <c r="E276" s="26"/>
      <c r="F276" s="26"/>
      <c r="G276" s="27"/>
      <c r="H276" s="27"/>
      <c r="I276" s="27"/>
      <c r="J276" s="27"/>
      <c r="K276" s="27"/>
      <c r="L276" s="23"/>
      <c r="M276" s="23"/>
      <c r="P276" s="22"/>
    </row>
    <row r="277" ht="15.75" customHeight="1">
      <c r="A277" s="23"/>
      <c r="B277" s="24"/>
      <c r="C277" s="25"/>
      <c r="D277" s="26"/>
      <c r="E277" s="26"/>
      <c r="F277" s="26"/>
      <c r="G277" s="27"/>
      <c r="H277" s="27"/>
      <c r="I277" s="27"/>
      <c r="J277" s="27"/>
      <c r="K277" s="27"/>
      <c r="L277" s="23"/>
      <c r="M277" s="23"/>
      <c r="P277" s="22"/>
    </row>
    <row r="278" ht="15.75" customHeight="1">
      <c r="A278" s="23"/>
      <c r="B278" s="24"/>
      <c r="C278" s="25"/>
      <c r="D278" s="26"/>
      <c r="E278" s="26"/>
      <c r="F278" s="26"/>
      <c r="G278" s="27"/>
      <c r="H278" s="27"/>
      <c r="I278" s="27"/>
      <c r="J278" s="27"/>
      <c r="K278" s="27"/>
      <c r="L278" s="23"/>
      <c r="M278" s="23"/>
      <c r="P278" s="22"/>
    </row>
    <row r="279" ht="15.75" customHeight="1">
      <c r="A279" s="23"/>
      <c r="B279" s="24"/>
      <c r="C279" s="25"/>
      <c r="D279" s="26"/>
      <c r="E279" s="26"/>
      <c r="F279" s="26"/>
      <c r="G279" s="27"/>
      <c r="H279" s="27"/>
      <c r="I279" s="27"/>
      <c r="J279" s="27"/>
      <c r="K279" s="27"/>
      <c r="L279" s="23"/>
      <c r="M279" s="23"/>
      <c r="P279" s="22"/>
    </row>
    <row r="280" ht="15.75" customHeight="1">
      <c r="A280" s="23"/>
      <c r="B280" s="24"/>
      <c r="C280" s="25"/>
      <c r="D280" s="26"/>
      <c r="E280" s="26"/>
      <c r="F280" s="26"/>
      <c r="G280" s="27"/>
      <c r="H280" s="27"/>
      <c r="I280" s="27"/>
      <c r="J280" s="27"/>
      <c r="K280" s="27"/>
      <c r="L280" s="23"/>
      <c r="M280" s="23"/>
      <c r="P280" s="22"/>
    </row>
    <row r="281" ht="15.75" customHeight="1">
      <c r="A281" s="23"/>
      <c r="B281" s="24"/>
      <c r="C281" s="25"/>
      <c r="D281" s="26"/>
      <c r="E281" s="26"/>
      <c r="F281" s="26"/>
      <c r="G281" s="27"/>
      <c r="H281" s="27"/>
      <c r="I281" s="27"/>
      <c r="J281" s="27"/>
      <c r="K281" s="27"/>
      <c r="L281" s="23"/>
      <c r="M281" s="23"/>
      <c r="P281" s="22"/>
    </row>
    <row r="282" ht="15.75" customHeight="1">
      <c r="A282" s="23"/>
      <c r="B282" s="24"/>
      <c r="C282" s="25"/>
      <c r="D282" s="26"/>
      <c r="E282" s="26"/>
      <c r="F282" s="26"/>
      <c r="G282" s="27"/>
      <c r="H282" s="27"/>
      <c r="I282" s="27"/>
      <c r="J282" s="27"/>
      <c r="K282" s="27"/>
      <c r="L282" s="23"/>
      <c r="M282" s="23"/>
      <c r="P282" s="22"/>
    </row>
    <row r="283" ht="15.75" customHeight="1">
      <c r="A283" s="23"/>
      <c r="B283" s="24"/>
      <c r="C283" s="25"/>
      <c r="D283" s="26"/>
      <c r="E283" s="26"/>
      <c r="F283" s="26"/>
      <c r="G283" s="27"/>
      <c r="H283" s="27"/>
      <c r="I283" s="27"/>
      <c r="J283" s="27"/>
      <c r="K283" s="27"/>
      <c r="L283" s="23"/>
      <c r="M283" s="23"/>
      <c r="P283" s="22"/>
    </row>
    <row r="284" ht="15.75" customHeight="1">
      <c r="A284" s="23"/>
      <c r="B284" s="24"/>
      <c r="C284" s="25"/>
      <c r="D284" s="26"/>
      <c r="E284" s="26"/>
      <c r="F284" s="26"/>
      <c r="G284" s="27"/>
      <c r="H284" s="27"/>
      <c r="I284" s="27"/>
      <c r="J284" s="27"/>
      <c r="K284" s="27"/>
      <c r="L284" s="23"/>
      <c r="M284" s="23"/>
      <c r="P284" s="22"/>
    </row>
    <row r="285" ht="15.75" customHeight="1">
      <c r="A285" s="23"/>
      <c r="B285" s="24"/>
      <c r="C285" s="25"/>
      <c r="D285" s="26"/>
      <c r="E285" s="26"/>
      <c r="F285" s="26"/>
      <c r="G285" s="27"/>
      <c r="H285" s="27"/>
      <c r="I285" s="27"/>
      <c r="J285" s="27"/>
      <c r="K285" s="27"/>
      <c r="L285" s="23"/>
      <c r="M285" s="23"/>
      <c r="P285" s="22"/>
    </row>
    <row r="286" ht="15.75" customHeight="1">
      <c r="A286" s="23"/>
      <c r="B286" s="24"/>
      <c r="C286" s="25"/>
      <c r="D286" s="26"/>
      <c r="E286" s="26"/>
      <c r="F286" s="26"/>
      <c r="G286" s="27"/>
      <c r="H286" s="27"/>
      <c r="I286" s="27"/>
      <c r="J286" s="27"/>
      <c r="K286" s="27"/>
      <c r="L286" s="23"/>
      <c r="M286" s="23"/>
      <c r="P286" s="22"/>
    </row>
    <row r="287" ht="15.75" customHeight="1">
      <c r="A287" s="23"/>
      <c r="B287" s="24"/>
      <c r="C287" s="25"/>
      <c r="D287" s="26"/>
      <c r="E287" s="26"/>
      <c r="F287" s="26"/>
      <c r="G287" s="27"/>
      <c r="H287" s="27"/>
      <c r="I287" s="27"/>
      <c r="J287" s="27"/>
      <c r="K287" s="27"/>
      <c r="L287" s="23"/>
      <c r="M287" s="23"/>
      <c r="P287" s="22"/>
    </row>
    <row r="288" ht="15.75" customHeight="1">
      <c r="A288" s="23"/>
      <c r="B288" s="24"/>
      <c r="C288" s="25"/>
      <c r="D288" s="26"/>
      <c r="E288" s="26"/>
      <c r="F288" s="26"/>
      <c r="G288" s="27"/>
      <c r="H288" s="27"/>
      <c r="I288" s="27"/>
      <c r="J288" s="27"/>
      <c r="K288" s="27"/>
      <c r="L288" s="23"/>
      <c r="M288" s="23"/>
      <c r="P288" s="22"/>
    </row>
    <row r="289" ht="15.75" customHeight="1">
      <c r="A289" s="23"/>
      <c r="B289" s="24"/>
      <c r="C289" s="25"/>
      <c r="D289" s="26"/>
      <c r="E289" s="26"/>
      <c r="F289" s="26"/>
      <c r="G289" s="27"/>
      <c r="H289" s="27"/>
      <c r="I289" s="27"/>
      <c r="J289" s="27"/>
      <c r="K289" s="27"/>
      <c r="L289" s="23"/>
      <c r="M289" s="23"/>
      <c r="P289" s="22"/>
    </row>
    <row r="290" ht="15.75" customHeight="1">
      <c r="A290" s="23"/>
      <c r="B290" s="24"/>
      <c r="C290" s="25"/>
      <c r="D290" s="26"/>
      <c r="E290" s="26"/>
      <c r="F290" s="26"/>
      <c r="G290" s="27"/>
      <c r="H290" s="27"/>
      <c r="I290" s="27"/>
      <c r="J290" s="27"/>
      <c r="K290" s="27"/>
      <c r="L290" s="23"/>
      <c r="M290" s="23"/>
      <c r="P290" s="22"/>
    </row>
    <row r="291" ht="15.75" customHeight="1">
      <c r="A291" s="23"/>
      <c r="B291" s="24"/>
      <c r="C291" s="25"/>
      <c r="D291" s="26"/>
      <c r="E291" s="26"/>
      <c r="F291" s="26"/>
      <c r="G291" s="27"/>
      <c r="H291" s="27"/>
      <c r="I291" s="27"/>
      <c r="J291" s="27"/>
      <c r="K291" s="27"/>
      <c r="L291" s="23"/>
      <c r="M291" s="23"/>
      <c r="P291" s="22"/>
    </row>
    <row r="292" ht="15.75" customHeight="1">
      <c r="A292" s="23"/>
      <c r="B292" s="24"/>
      <c r="C292" s="25"/>
      <c r="D292" s="26"/>
      <c r="E292" s="26"/>
      <c r="F292" s="26"/>
      <c r="G292" s="27"/>
      <c r="H292" s="27"/>
      <c r="I292" s="27"/>
      <c r="J292" s="27"/>
      <c r="K292" s="27"/>
      <c r="L292" s="23"/>
      <c r="M292" s="23"/>
      <c r="P292" s="22"/>
    </row>
    <row r="293" ht="15.75" customHeight="1">
      <c r="A293" s="23"/>
      <c r="B293" s="24"/>
      <c r="C293" s="25"/>
      <c r="D293" s="26"/>
      <c r="E293" s="26"/>
      <c r="F293" s="26"/>
      <c r="G293" s="27"/>
      <c r="H293" s="27"/>
      <c r="I293" s="27"/>
      <c r="J293" s="27"/>
      <c r="K293" s="27"/>
      <c r="L293" s="23"/>
      <c r="M293" s="23"/>
      <c r="P293" s="22"/>
    </row>
    <row r="294" ht="15.75" customHeight="1">
      <c r="A294" s="23"/>
      <c r="B294" s="24"/>
      <c r="C294" s="25"/>
      <c r="D294" s="26"/>
      <c r="E294" s="26"/>
      <c r="F294" s="26"/>
      <c r="G294" s="27"/>
      <c r="H294" s="27"/>
      <c r="I294" s="27"/>
      <c r="J294" s="27"/>
      <c r="K294" s="27"/>
      <c r="L294" s="23"/>
      <c r="M294" s="23"/>
      <c r="P294" s="22"/>
    </row>
    <row r="295" ht="15.75" customHeight="1">
      <c r="A295" s="23"/>
      <c r="B295" s="24"/>
      <c r="C295" s="25"/>
      <c r="D295" s="26"/>
      <c r="E295" s="26"/>
      <c r="F295" s="26"/>
      <c r="G295" s="27"/>
      <c r="H295" s="27"/>
      <c r="I295" s="27"/>
      <c r="J295" s="27"/>
      <c r="K295" s="27"/>
      <c r="L295" s="23"/>
      <c r="M295" s="23"/>
      <c r="P295" s="22"/>
    </row>
    <row r="296" ht="15.75" customHeight="1">
      <c r="A296" s="23"/>
      <c r="B296" s="24"/>
      <c r="C296" s="25"/>
      <c r="D296" s="26"/>
      <c r="E296" s="26"/>
      <c r="F296" s="26"/>
      <c r="G296" s="27"/>
      <c r="H296" s="27"/>
      <c r="I296" s="27"/>
      <c r="J296" s="27"/>
      <c r="K296" s="27"/>
      <c r="L296" s="23"/>
      <c r="M296" s="23"/>
      <c r="P296" s="22"/>
    </row>
    <row r="297" ht="15.75" customHeight="1">
      <c r="A297" s="23"/>
      <c r="B297" s="24"/>
      <c r="C297" s="25"/>
      <c r="D297" s="26"/>
      <c r="E297" s="26"/>
      <c r="F297" s="26"/>
      <c r="G297" s="27"/>
      <c r="H297" s="27"/>
      <c r="I297" s="27"/>
      <c r="J297" s="27"/>
      <c r="K297" s="27"/>
      <c r="L297" s="23"/>
      <c r="M297" s="23"/>
      <c r="P297" s="22"/>
    </row>
    <row r="298" ht="15.75" customHeight="1">
      <c r="A298" s="23"/>
      <c r="B298" s="24"/>
      <c r="C298" s="25"/>
      <c r="D298" s="26"/>
      <c r="E298" s="26"/>
      <c r="F298" s="26"/>
      <c r="G298" s="27"/>
      <c r="H298" s="27"/>
      <c r="I298" s="27"/>
      <c r="J298" s="27"/>
      <c r="K298" s="27"/>
      <c r="L298" s="23"/>
      <c r="M298" s="23"/>
      <c r="P298" s="22"/>
    </row>
    <row r="299" ht="15.75" customHeight="1">
      <c r="A299" s="23"/>
      <c r="B299" s="24"/>
      <c r="C299" s="25"/>
      <c r="D299" s="26"/>
      <c r="E299" s="26"/>
      <c r="F299" s="26"/>
      <c r="G299" s="27"/>
      <c r="H299" s="27"/>
      <c r="I299" s="27"/>
      <c r="J299" s="27"/>
      <c r="K299" s="27"/>
      <c r="L299" s="23"/>
      <c r="M299" s="23"/>
      <c r="P299" s="22"/>
    </row>
    <row r="300" ht="15.75" customHeight="1">
      <c r="A300" s="23"/>
      <c r="B300" s="24"/>
      <c r="C300" s="25"/>
      <c r="D300" s="26"/>
      <c r="E300" s="26"/>
      <c r="F300" s="26"/>
      <c r="G300" s="27"/>
      <c r="H300" s="27"/>
      <c r="I300" s="27"/>
      <c r="J300" s="27"/>
      <c r="K300" s="27"/>
      <c r="L300" s="23"/>
      <c r="M300" s="23"/>
      <c r="P300" s="22"/>
    </row>
    <row r="301" ht="15.75" customHeight="1">
      <c r="A301" s="23"/>
      <c r="B301" s="24"/>
      <c r="C301" s="25"/>
      <c r="D301" s="26"/>
      <c r="E301" s="26"/>
      <c r="F301" s="26"/>
      <c r="G301" s="27"/>
      <c r="H301" s="27"/>
      <c r="I301" s="27"/>
      <c r="J301" s="27"/>
      <c r="K301" s="27"/>
      <c r="L301" s="23"/>
      <c r="M301" s="23"/>
      <c r="P301" s="22"/>
    </row>
    <row r="302" ht="15.75" customHeight="1">
      <c r="A302" s="23"/>
      <c r="B302" s="24"/>
      <c r="C302" s="25"/>
      <c r="D302" s="26"/>
      <c r="E302" s="26"/>
      <c r="F302" s="26"/>
      <c r="G302" s="27"/>
      <c r="H302" s="27"/>
      <c r="I302" s="27"/>
      <c r="J302" s="27"/>
      <c r="K302" s="27"/>
      <c r="L302" s="23"/>
      <c r="M302" s="23"/>
      <c r="P302" s="22"/>
    </row>
    <row r="303" ht="15.75" customHeight="1">
      <c r="A303" s="23"/>
      <c r="B303" s="24"/>
      <c r="C303" s="25"/>
      <c r="D303" s="26"/>
      <c r="E303" s="26"/>
      <c r="F303" s="26"/>
      <c r="G303" s="27"/>
      <c r="H303" s="27"/>
      <c r="I303" s="27"/>
      <c r="J303" s="27"/>
      <c r="K303" s="27"/>
      <c r="L303" s="23"/>
      <c r="M303" s="23"/>
      <c r="P303" s="22"/>
    </row>
    <row r="304" ht="15.75" customHeight="1">
      <c r="A304" s="23"/>
      <c r="B304" s="24"/>
      <c r="C304" s="25"/>
      <c r="D304" s="26"/>
      <c r="E304" s="26"/>
      <c r="F304" s="26"/>
      <c r="G304" s="27"/>
      <c r="H304" s="27"/>
      <c r="I304" s="27"/>
      <c r="J304" s="27"/>
      <c r="K304" s="27"/>
      <c r="L304" s="23"/>
      <c r="M304" s="23"/>
      <c r="P304" s="22"/>
    </row>
    <row r="305" ht="15.75" customHeight="1">
      <c r="A305" s="23"/>
      <c r="B305" s="24"/>
      <c r="C305" s="25"/>
      <c r="D305" s="26"/>
      <c r="E305" s="26"/>
      <c r="F305" s="26"/>
      <c r="G305" s="27"/>
      <c r="H305" s="27"/>
      <c r="I305" s="27"/>
      <c r="J305" s="27"/>
      <c r="K305" s="27"/>
      <c r="L305" s="23"/>
      <c r="M305" s="23"/>
      <c r="P305" s="22"/>
    </row>
    <row r="306" ht="15.75" customHeight="1">
      <c r="A306" s="23"/>
      <c r="B306" s="24"/>
      <c r="C306" s="25"/>
      <c r="D306" s="26"/>
      <c r="E306" s="26"/>
      <c r="F306" s="26"/>
      <c r="G306" s="27"/>
      <c r="H306" s="27"/>
      <c r="I306" s="27"/>
      <c r="J306" s="27"/>
      <c r="K306" s="27"/>
      <c r="L306" s="23"/>
      <c r="M306" s="23"/>
      <c r="P306" s="22"/>
    </row>
    <row r="307" ht="15.75" customHeight="1">
      <c r="A307" s="23"/>
      <c r="B307" s="24"/>
      <c r="C307" s="25"/>
      <c r="D307" s="26"/>
      <c r="E307" s="26"/>
      <c r="F307" s="26"/>
      <c r="G307" s="27"/>
      <c r="H307" s="27"/>
      <c r="I307" s="27"/>
      <c r="J307" s="27"/>
      <c r="K307" s="27"/>
      <c r="L307" s="23"/>
      <c r="M307" s="23"/>
      <c r="P307" s="22"/>
    </row>
    <row r="308" ht="15.75" customHeight="1">
      <c r="A308" s="23"/>
      <c r="B308" s="24"/>
      <c r="C308" s="25"/>
      <c r="D308" s="26"/>
      <c r="E308" s="26"/>
      <c r="F308" s="26"/>
      <c r="G308" s="27"/>
      <c r="H308" s="27"/>
      <c r="I308" s="27"/>
      <c r="J308" s="27"/>
      <c r="K308" s="27"/>
      <c r="L308" s="23"/>
      <c r="M308" s="23"/>
      <c r="P308" s="22"/>
    </row>
    <row r="309" ht="15.75" customHeight="1">
      <c r="A309" s="23"/>
      <c r="B309" s="24"/>
      <c r="C309" s="25"/>
      <c r="D309" s="26"/>
      <c r="E309" s="26"/>
      <c r="F309" s="26"/>
      <c r="G309" s="27"/>
      <c r="H309" s="27"/>
      <c r="I309" s="27"/>
      <c r="J309" s="27"/>
      <c r="K309" s="27"/>
      <c r="L309" s="23"/>
      <c r="M309" s="23"/>
      <c r="P309" s="22"/>
    </row>
    <row r="310" ht="15.75" customHeight="1">
      <c r="A310" s="23"/>
      <c r="B310" s="24"/>
      <c r="C310" s="25"/>
      <c r="D310" s="26"/>
      <c r="E310" s="26"/>
      <c r="F310" s="26"/>
      <c r="G310" s="27"/>
      <c r="H310" s="27"/>
      <c r="I310" s="27"/>
      <c r="J310" s="27"/>
      <c r="K310" s="27"/>
      <c r="L310" s="23"/>
      <c r="M310" s="23"/>
      <c r="P310" s="22"/>
    </row>
    <row r="311" ht="15.75" customHeight="1">
      <c r="A311" s="23"/>
      <c r="B311" s="24"/>
      <c r="C311" s="25"/>
      <c r="D311" s="26"/>
      <c r="E311" s="26"/>
      <c r="F311" s="26"/>
      <c r="G311" s="27"/>
      <c r="H311" s="27"/>
      <c r="I311" s="27"/>
      <c r="J311" s="27"/>
      <c r="K311" s="27"/>
      <c r="L311" s="23"/>
      <c r="M311" s="23"/>
      <c r="P311" s="22"/>
    </row>
    <row r="312" ht="15.75" customHeight="1">
      <c r="A312" s="23"/>
      <c r="B312" s="24"/>
      <c r="C312" s="25"/>
      <c r="D312" s="26"/>
      <c r="E312" s="26"/>
      <c r="F312" s="26"/>
      <c r="G312" s="27"/>
      <c r="H312" s="27"/>
      <c r="I312" s="27"/>
      <c r="J312" s="27"/>
      <c r="K312" s="27"/>
      <c r="L312" s="23"/>
      <c r="M312" s="23"/>
      <c r="P312" s="22"/>
    </row>
    <row r="313" ht="15.75" customHeight="1">
      <c r="A313" s="23"/>
      <c r="B313" s="24"/>
      <c r="C313" s="25"/>
      <c r="D313" s="26"/>
      <c r="E313" s="26"/>
      <c r="F313" s="26"/>
      <c r="G313" s="27"/>
      <c r="H313" s="27"/>
      <c r="I313" s="27"/>
      <c r="J313" s="27"/>
      <c r="K313" s="27"/>
      <c r="L313" s="23"/>
      <c r="M313" s="23"/>
      <c r="P313" s="22"/>
    </row>
    <row r="314" ht="15.75" customHeight="1">
      <c r="A314" s="23"/>
      <c r="B314" s="24"/>
      <c r="C314" s="25"/>
      <c r="D314" s="26"/>
      <c r="E314" s="26"/>
      <c r="F314" s="26"/>
      <c r="G314" s="27"/>
      <c r="H314" s="27"/>
      <c r="I314" s="27"/>
      <c r="J314" s="27"/>
      <c r="K314" s="27"/>
      <c r="L314" s="23"/>
      <c r="M314" s="23"/>
      <c r="P314" s="22"/>
    </row>
    <row r="315" ht="15.75" customHeight="1">
      <c r="A315" s="23"/>
      <c r="B315" s="24"/>
      <c r="C315" s="25"/>
      <c r="D315" s="26"/>
      <c r="E315" s="26"/>
      <c r="F315" s="26"/>
      <c r="G315" s="27"/>
      <c r="H315" s="27"/>
      <c r="I315" s="27"/>
      <c r="J315" s="27"/>
      <c r="K315" s="27"/>
      <c r="L315" s="23"/>
      <c r="M315" s="23"/>
      <c r="P315" s="22"/>
    </row>
    <row r="316" ht="15.75" customHeight="1">
      <c r="A316" s="23"/>
      <c r="B316" s="24"/>
      <c r="C316" s="25"/>
      <c r="D316" s="26"/>
      <c r="E316" s="26"/>
      <c r="F316" s="26"/>
      <c r="G316" s="27"/>
      <c r="H316" s="27"/>
      <c r="I316" s="27"/>
      <c r="J316" s="27"/>
      <c r="K316" s="27"/>
      <c r="L316" s="23"/>
      <c r="M316" s="23"/>
      <c r="P316" s="22"/>
    </row>
    <row r="317" ht="15.75" customHeight="1">
      <c r="A317" s="23"/>
      <c r="B317" s="24"/>
      <c r="C317" s="25"/>
      <c r="D317" s="26"/>
      <c r="E317" s="26"/>
      <c r="F317" s="26"/>
      <c r="G317" s="27"/>
      <c r="H317" s="27"/>
      <c r="I317" s="27"/>
      <c r="J317" s="27"/>
      <c r="K317" s="27"/>
      <c r="L317" s="23"/>
      <c r="M317" s="23"/>
      <c r="P317" s="22"/>
    </row>
    <row r="318" ht="15.75" customHeight="1">
      <c r="A318" s="23"/>
      <c r="B318" s="24"/>
      <c r="C318" s="25"/>
      <c r="D318" s="26"/>
      <c r="E318" s="26"/>
      <c r="F318" s="26"/>
      <c r="G318" s="27"/>
      <c r="H318" s="27"/>
      <c r="I318" s="27"/>
      <c r="J318" s="27"/>
      <c r="K318" s="27"/>
      <c r="L318" s="23"/>
      <c r="M318" s="23"/>
      <c r="P318" s="22"/>
    </row>
    <row r="319" ht="15.75" customHeight="1">
      <c r="A319" s="23"/>
      <c r="B319" s="24"/>
      <c r="C319" s="25"/>
      <c r="D319" s="26"/>
      <c r="E319" s="26"/>
      <c r="F319" s="26"/>
      <c r="G319" s="27"/>
      <c r="H319" s="27"/>
      <c r="I319" s="27"/>
      <c r="J319" s="27"/>
      <c r="K319" s="27"/>
      <c r="L319" s="23"/>
      <c r="M319" s="23"/>
      <c r="P319" s="22"/>
    </row>
    <row r="320" ht="15.75" customHeight="1">
      <c r="A320" s="23"/>
      <c r="B320" s="24"/>
      <c r="C320" s="25"/>
      <c r="D320" s="26"/>
      <c r="E320" s="26"/>
      <c r="F320" s="26"/>
      <c r="G320" s="27"/>
      <c r="H320" s="27"/>
      <c r="I320" s="27"/>
      <c r="J320" s="27"/>
      <c r="K320" s="27"/>
      <c r="L320" s="23"/>
      <c r="M320" s="23"/>
      <c r="P320" s="22"/>
    </row>
    <row r="321" ht="15.75" customHeight="1">
      <c r="A321" s="23"/>
      <c r="B321" s="24"/>
      <c r="C321" s="25"/>
      <c r="D321" s="26"/>
      <c r="E321" s="26"/>
      <c r="F321" s="26"/>
      <c r="G321" s="27"/>
      <c r="H321" s="27"/>
      <c r="I321" s="27"/>
      <c r="J321" s="27"/>
      <c r="K321" s="27"/>
      <c r="L321" s="23"/>
      <c r="M321" s="23"/>
      <c r="P321" s="22"/>
    </row>
    <row r="322" ht="15.75" customHeight="1">
      <c r="A322" s="23"/>
      <c r="B322" s="24"/>
      <c r="C322" s="25"/>
      <c r="D322" s="26"/>
      <c r="E322" s="26"/>
      <c r="F322" s="26"/>
      <c r="G322" s="27"/>
      <c r="H322" s="27"/>
      <c r="I322" s="27"/>
      <c r="J322" s="27"/>
      <c r="K322" s="27"/>
      <c r="L322" s="23"/>
      <c r="M322" s="23"/>
      <c r="P322" s="22"/>
    </row>
    <row r="323" ht="15.75" customHeight="1">
      <c r="A323" s="23"/>
      <c r="B323" s="24"/>
      <c r="C323" s="25"/>
      <c r="D323" s="26"/>
      <c r="E323" s="26"/>
      <c r="F323" s="26"/>
      <c r="G323" s="27"/>
      <c r="H323" s="27"/>
      <c r="I323" s="27"/>
      <c r="J323" s="27"/>
      <c r="K323" s="27"/>
      <c r="L323" s="23"/>
      <c r="M323" s="23"/>
      <c r="P323" s="22"/>
    </row>
    <row r="324" ht="15.75" customHeight="1">
      <c r="A324" s="23"/>
      <c r="B324" s="24"/>
      <c r="C324" s="25"/>
      <c r="D324" s="26"/>
      <c r="E324" s="26"/>
      <c r="F324" s="26"/>
      <c r="G324" s="27"/>
      <c r="H324" s="27"/>
      <c r="I324" s="27"/>
      <c r="J324" s="27"/>
      <c r="K324" s="27"/>
      <c r="L324" s="23"/>
      <c r="M324" s="23"/>
      <c r="P324" s="22"/>
    </row>
    <row r="325" ht="15.75" customHeight="1">
      <c r="A325" s="23"/>
      <c r="B325" s="24"/>
      <c r="C325" s="25"/>
      <c r="D325" s="26"/>
      <c r="E325" s="26"/>
      <c r="F325" s="26"/>
      <c r="G325" s="27"/>
      <c r="H325" s="27"/>
      <c r="I325" s="27"/>
      <c r="J325" s="27"/>
      <c r="K325" s="27"/>
      <c r="L325" s="23"/>
      <c r="M325" s="23"/>
      <c r="P325" s="22"/>
    </row>
    <row r="326" ht="15.75" customHeight="1">
      <c r="A326" s="23"/>
      <c r="B326" s="24"/>
      <c r="C326" s="25"/>
      <c r="D326" s="26"/>
      <c r="E326" s="26"/>
      <c r="F326" s="26"/>
      <c r="G326" s="27"/>
      <c r="H326" s="27"/>
      <c r="I326" s="27"/>
      <c r="J326" s="27"/>
      <c r="K326" s="27"/>
      <c r="L326" s="23"/>
      <c r="M326" s="23"/>
      <c r="P326" s="22"/>
    </row>
    <row r="327" ht="15.75" customHeight="1">
      <c r="A327" s="23"/>
      <c r="B327" s="24"/>
      <c r="C327" s="25"/>
      <c r="D327" s="26"/>
      <c r="E327" s="26"/>
      <c r="F327" s="26"/>
      <c r="G327" s="27"/>
      <c r="H327" s="27"/>
      <c r="I327" s="27"/>
      <c r="J327" s="27"/>
      <c r="K327" s="27"/>
      <c r="L327" s="23"/>
      <c r="M327" s="23"/>
      <c r="P327" s="22"/>
    </row>
    <row r="328" ht="15.75" customHeight="1">
      <c r="A328" s="23"/>
      <c r="B328" s="24"/>
      <c r="C328" s="25"/>
      <c r="D328" s="26"/>
      <c r="E328" s="26"/>
      <c r="F328" s="26"/>
      <c r="G328" s="27"/>
      <c r="H328" s="27"/>
      <c r="I328" s="27"/>
      <c r="J328" s="27"/>
      <c r="K328" s="27"/>
      <c r="L328" s="23"/>
      <c r="M328" s="23"/>
      <c r="P328" s="22"/>
    </row>
    <row r="329" ht="15.75" customHeight="1">
      <c r="A329" s="23"/>
      <c r="B329" s="24"/>
      <c r="C329" s="25"/>
      <c r="D329" s="26"/>
      <c r="E329" s="26"/>
      <c r="F329" s="26"/>
      <c r="G329" s="27"/>
      <c r="H329" s="27"/>
      <c r="I329" s="27"/>
      <c r="J329" s="27"/>
      <c r="K329" s="27"/>
      <c r="L329" s="23"/>
      <c r="M329" s="23"/>
      <c r="P329" s="22"/>
    </row>
    <row r="330" ht="15.75" customHeight="1">
      <c r="A330" s="23"/>
      <c r="B330" s="24"/>
      <c r="C330" s="25"/>
      <c r="D330" s="26"/>
      <c r="E330" s="26"/>
      <c r="F330" s="26"/>
      <c r="G330" s="27"/>
      <c r="H330" s="27"/>
      <c r="I330" s="27"/>
      <c r="J330" s="27"/>
      <c r="K330" s="27"/>
      <c r="L330" s="23"/>
      <c r="M330" s="23"/>
      <c r="P330" s="22"/>
    </row>
    <row r="331" ht="15.75" customHeight="1">
      <c r="A331" s="23"/>
      <c r="B331" s="24"/>
      <c r="C331" s="25"/>
      <c r="D331" s="26"/>
      <c r="E331" s="26"/>
      <c r="F331" s="26"/>
      <c r="G331" s="27"/>
      <c r="H331" s="27"/>
      <c r="I331" s="27"/>
      <c r="J331" s="27"/>
      <c r="K331" s="27"/>
      <c r="L331" s="23"/>
      <c r="M331" s="23"/>
      <c r="P331" s="22"/>
    </row>
    <row r="332" ht="15.75" customHeight="1">
      <c r="A332" s="23"/>
      <c r="B332" s="24"/>
      <c r="C332" s="25"/>
      <c r="D332" s="26"/>
      <c r="E332" s="26"/>
      <c r="F332" s="26"/>
      <c r="G332" s="27"/>
      <c r="H332" s="27"/>
      <c r="I332" s="27"/>
      <c r="J332" s="27"/>
      <c r="K332" s="27"/>
      <c r="L332" s="23"/>
      <c r="M332" s="23"/>
      <c r="P332" s="22"/>
    </row>
    <row r="333" ht="15.75" customHeight="1">
      <c r="A333" s="23"/>
      <c r="B333" s="24"/>
      <c r="C333" s="25"/>
      <c r="D333" s="26"/>
      <c r="E333" s="26"/>
      <c r="F333" s="26"/>
      <c r="G333" s="27"/>
      <c r="H333" s="27"/>
      <c r="I333" s="27"/>
      <c r="J333" s="27"/>
      <c r="K333" s="27"/>
      <c r="L333" s="23"/>
      <c r="M333" s="23"/>
      <c r="P333" s="22"/>
    </row>
    <row r="334" ht="15.75" customHeight="1">
      <c r="A334" s="23"/>
      <c r="B334" s="24"/>
      <c r="C334" s="25"/>
      <c r="D334" s="26"/>
      <c r="E334" s="26"/>
      <c r="F334" s="26"/>
      <c r="G334" s="27"/>
      <c r="H334" s="27"/>
      <c r="I334" s="27"/>
      <c r="J334" s="27"/>
      <c r="K334" s="27"/>
      <c r="L334" s="23"/>
      <c r="M334" s="23"/>
      <c r="P334" s="22"/>
    </row>
    <row r="335" ht="15.75" customHeight="1">
      <c r="A335" s="23"/>
      <c r="B335" s="24"/>
      <c r="C335" s="25"/>
      <c r="D335" s="26"/>
      <c r="E335" s="26"/>
      <c r="F335" s="26"/>
      <c r="G335" s="27"/>
      <c r="H335" s="27"/>
      <c r="I335" s="27"/>
      <c r="J335" s="27"/>
      <c r="K335" s="27"/>
      <c r="L335" s="23"/>
      <c r="M335" s="23"/>
      <c r="P335" s="22"/>
    </row>
    <row r="336" ht="15.75" customHeight="1">
      <c r="A336" s="23"/>
      <c r="B336" s="24"/>
      <c r="C336" s="25"/>
      <c r="D336" s="26"/>
      <c r="E336" s="26"/>
      <c r="F336" s="26"/>
      <c r="G336" s="27"/>
      <c r="H336" s="27"/>
      <c r="I336" s="27"/>
      <c r="J336" s="27"/>
      <c r="K336" s="27"/>
      <c r="L336" s="23"/>
      <c r="M336" s="23"/>
      <c r="P336" s="22"/>
    </row>
    <row r="337" ht="15.75" customHeight="1">
      <c r="A337" s="23"/>
      <c r="B337" s="24"/>
      <c r="C337" s="25"/>
      <c r="D337" s="26"/>
      <c r="E337" s="26"/>
      <c r="F337" s="26"/>
      <c r="G337" s="27"/>
      <c r="H337" s="27"/>
      <c r="I337" s="27"/>
      <c r="J337" s="27"/>
      <c r="K337" s="27"/>
      <c r="L337" s="23"/>
      <c r="M337" s="23"/>
      <c r="P337" s="22"/>
    </row>
    <row r="338" ht="15.75" customHeight="1">
      <c r="A338" s="23"/>
      <c r="B338" s="24"/>
      <c r="C338" s="25"/>
      <c r="D338" s="26"/>
      <c r="E338" s="26"/>
      <c r="F338" s="26"/>
      <c r="G338" s="27"/>
      <c r="H338" s="27"/>
      <c r="I338" s="27"/>
      <c r="J338" s="27"/>
      <c r="K338" s="27"/>
      <c r="L338" s="23"/>
      <c r="M338" s="23"/>
      <c r="P338" s="22"/>
    </row>
    <row r="339" ht="15.75" customHeight="1">
      <c r="A339" s="23"/>
      <c r="B339" s="24"/>
      <c r="C339" s="25"/>
      <c r="D339" s="26"/>
      <c r="E339" s="26"/>
      <c r="F339" s="26"/>
      <c r="G339" s="27"/>
      <c r="H339" s="27"/>
      <c r="I339" s="27"/>
      <c r="J339" s="27"/>
      <c r="K339" s="27"/>
      <c r="L339" s="23"/>
      <c r="M339" s="23"/>
      <c r="P339" s="22"/>
    </row>
    <row r="340" ht="15.75" customHeight="1">
      <c r="A340" s="23"/>
      <c r="B340" s="24"/>
      <c r="C340" s="25"/>
      <c r="D340" s="26"/>
      <c r="E340" s="26"/>
      <c r="F340" s="26"/>
      <c r="G340" s="27"/>
      <c r="H340" s="27"/>
      <c r="I340" s="27"/>
      <c r="J340" s="27"/>
      <c r="K340" s="27"/>
      <c r="L340" s="23"/>
      <c r="M340" s="23"/>
      <c r="P340" s="22"/>
    </row>
    <row r="341" ht="15.75" customHeight="1">
      <c r="A341" s="23"/>
      <c r="B341" s="24"/>
      <c r="C341" s="25"/>
      <c r="D341" s="26"/>
      <c r="E341" s="26"/>
      <c r="F341" s="26"/>
      <c r="G341" s="27"/>
      <c r="H341" s="27"/>
      <c r="I341" s="27"/>
      <c r="J341" s="27"/>
      <c r="K341" s="27"/>
      <c r="L341" s="23"/>
      <c r="M341" s="23"/>
      <c r="P341" s="22"/>
    </row>
    <row r="342" ht="15.75" customHeight="1">
      <c r="A342" s="23"/>
      <c r="B342" s="24"/>
      <c r="C342" s="25"/>
      <c r="D342" s="26"/>
      <c r="E342" s="26"/>
      <c r="F342" s="26"/>
      <c r="G342" s="27"/>
      <c r="H342" s="27"/>
      <c r="I342" s="27"/>
      <c r="J342" s="27"/>
      <c r="K342" s="27"/>
      <c r="L342" s="23"/>
      <c r="M342" s="23"/>
      <c r="P342" s="22"/>
    </row>
    <row r="343" ht="15.75" customHeight="1">
      <c r="A343" s="23"/>
      <c r="B343" s="24"/>
      <c r="C343" s="25"/>
      <c r="D343" s="26"/>
      <c r="E343" s="26"/>
      <c r="F343" s="26"/>
      <c r="G343" s="27"/>
      <c r="H343" s="27"/>
      <c r="I343" s="27"/>
      <c r="J343" s="27"/>
      <c r="K343" s="27"/>
      <c r="L343" s="23"/>
      <c r="M343" s="23"/>
      <c r="P343" s="22"/>
    </row>
    <row r="344" ht="15.75" customHeight="1">
      <c r="A344" s="23"/>
      <c r="B344" s="24"/>
      <c r="C344" s="25"/>
      <c r="D344" s="26"/>
      <c r="E344" s="26"/>
      <c r="F344" s="26"/>
      <c r="G344" s="27"/>
      <c r="H344" s="27"/>
      <c r="I344" s="27"/>
      <c r="J344" s="27"/>
      <c r="K344" s="27"/>
      <c r="L344" s="23"/>
      <c r="M344" s="23"/>
      <c r="P344" s="22"/>
    </row>
    <row r="345" ht="15.75" customHeight="1">
      <c r="A345" s="23"/>
      <c r="B345" s="24"/>
      <c r="C345" s="25"/>
      <c r="D345" s="26"/>
      <c r="E345" s="26"/>
      <c r="F345" s="26"/>
      <c r="G345" s="27"/>
      <c r="H345" s="27"/>
      <c r="I345" s="27"/>
      <c r="J345" s="27"/>
      <c r="K345" s="27"/>
      <c r="L345" s="23"/>
      <c r="M345" s="23"/>
      <c r="P345" s="22"/>
    </row>
    <row r="346" ht="15.75" customHeight="1">
      <c r="A346" s="23"/>
      <c r="B346" s="24"/>
      <c r="C346" s="25"/>
      <c r="D346" s="26"/>
      <c r="E346" s="26"/>
      <c r="F346" s="26"/>
      <c r="G346" s="27"/>
      <c r="H346" s="27"/>
      <c r="I346" s="27"/>
      <c r="J346" s="27"/>
      <c r="K346" s="27"/>
      <c r="L346" s="23"/>
      <c r="M346" s="23"/>
      <c r="P346" s="22"/>
    </row>
    <row r="347" ht="15.75" customHeight="1">
      <c r="A347" s="23"/>
      <c r="B347" s="24"/>
      <c r="C347" s="25"/>
      <c r="D347" s="26"/>
      <c r="E347" s="26"/>
      <c r="F347" s="26"/>
      <c r="G347" s="27"/>
      <c r="H347" s="27"/>
      <c r="I347" s="27"/>
      <c r="J347" s="27"/>
      <c r="K347" s="27"/>
      <c r="L347" s="23"/>
      <c r="M347" s="23"/>
      <c r="P347" s="22"/>
    </row>
    <row r="348" ht="15.75" customHeight="1">
      <c r="A348" s="23"/>
      <c r="B348" s="24"/>
      <c r="C348" s="25"/>
      <c r="D348" s="26"/>
      <c r="E348" s="26"/>
      <c r="F348" s="26"/>
      <c r="G348" s="27"/>
      <c r="H348" s="27"/>
      <c r="I348" s="27"/>
      <c r="J348" s="27"/>
      <c r="K348" s="27"/>
      <c r="L348" s="23"/>
      <c r="M348" s="23"/>
      <c r="P348" s="22"/>
    </row>
    <row r="349" ht="15.75" customHeight="1">
      <c r="A349" s="23"/>
      <c r="B349" s="24"/>
      <c r="C349" s="25"/>
      <c r="D349" s="26"/>
      <c r="E349" s="26"/>
      <c r="F349" s="26"/>
      <c r="G349" s="27"/>
      <c r="H349" s="27"/>
      <c r="I349" s="27"/>
      <c r="J349" s="27"/>
      <c r="K349" s="27"/>
      <c r="L349" s="23"/>
      <c r="M349" s="23"/>
      <c r="P349" s="22"/>
    </row>
    <row r="350" ht="15.75" customHeight="1">
      <c r="A350" s="23"/>
      <c r="B350" s="24"/>
      <c r="C350" s="25"/>
      <c r="D350" s="26"/>
      <c r="E350" s="26"/>
      <c r="F350" s="26"/>
      <c r="G350" s="27"/>
      <c r="H350" s="27"/>
      <c r="I350" s="27"/>
      <c r="J350" s="27"/>
      <c r="K350" s="27"/>
      <c r="L350" s="23"/>
      <c r="M350" s="23"/>
      <c r="P350" s="22"/>
    </row>
    <row r="351" ht="15.75" customHeight="1">
      <c r="A351" s="23"/>
      <c r="B351" s="24"/>
      <c r="C351" s="25"/>
      <c r="D351" s="26"/>
      <c r="E351" s="26"/>
      <c r="F351" s="26"/>
      <c r="G351" s="27"/>
      <c r="H351" s="27"/>
      <c r="I351" s="27"/>
      <c r="J351" s="27"/>
      <c r="K351" s="27"/>
      <c r="L351" s="23"/>
      <c r="M351" s="23"/>
      <c r="P351" s="22"/>
    </row>
    <row r="352" ht="15.75" customHeight="1">
      <c r="A352" s="23"/>
      <c r="B352" s="24"/>
      <c r="C352" s="25"/>
      <c r="D352" s="26"/>
      <c r="E352" s="26"/>
      <c r="F352" s="26"/>
      <c r="G352" s="27"/>
      <c r="H352" s="27"/>
      <c r="I352" s="27"/>
      <c r="J352" s="27"/>
      <c r="K352" s="27"/>
      <c r="L352" s="23"/>
      <c r="M352" s="23"/>
      <c r="P352" s="22"/>
    </row>
    <row r="353" ht="15.75" customHeight="1">
      <c r="A353" s="23"/>
      <c r="B353" s="24"/>
      <c r="C353" s="25"/>
      <c r="D353" s="26"/>
      <c r="E353" s="26"/>
      <c r="F353" s="26"/>
      <c r="G353" s="27"/>
      <c r="H353" s="27"/>
      <c r="I353" s="27"/>
      <c r="J353" s="27"/>
      <c r="K353" s="27"/>
      <c r="L353" s="23"/>
      <c r="M353" s="23"/>
      <c r="P353" s="22"/>
    </row>
    <row r="354" ht="15.75" customHeight="1">
      <c r="A354" s="23"/>
      <c r="B354" s="24"/>
      <c r="C354" s="25"/>
      <c r="D354" s="26"/>
      <c r="E354" s="26"/>
      <c r="F354" s="26"/>
      <c r="G354" s="27"/>
      <c r="H354" s="27"/>
      <c r="I354" s="27"/>
      <c r="J354" s="27"/>
      <c r="K354" s="27"/>
      <c r="L354" s="23"/>
      <c r="M354" s="23"/>
      <c r="P354" s="22"/>
    </row>
    <row r="355" ht="15.75" customHeight="1">
      <c r="A355" s="23"/>
      <c r="B355" s="24"/>
      <c r="C355" s="25"/>
      <c r="D355" s="26"/>
      <c r="E355" s="26"/>
      <c r="F355" s="26"/>
      <c r="G355" s="27"/>
      <c r="H355" s="27"/>
      <c r="I355" s="27"/>
      <c r="J355" s="27"/>
      <c r="K355" s="27"/>
      <c r="L355" s="23"/>
      <c r="M355" s="23"/>
      <c r="P355" s="22"/>
    </row>
    <row r="356" ht="15.75" customHeight="1">
      <c r="A356" s="23"/>
      <c r="B356" s="24"/>
      <c r="C356" s="25"/>
      <c r="D356" s="26"/>
      <c r="E356" s="26"/>
      <c r="F356" s="26"/>
      <c r="G356" s="27"/>
      <c r="H356" s="27"/>
      <c r="I356" s="27"/>
      <c r="J356" s="27"/>
      <c r="K356" s="27"/>
      <c r="L356" s="23"/>
      <c r="M356" s="23"/>
      <c r="P356" s="22"/>
    </row>
    <row r="357" ht="15.75" customHeight="1">
      <c r="A357" s="23"/>
      <c r="B357" s="24"/>
      <c r="C357" s="25"/>
      <c r="D357" s="26"/>
      <c r="E357" s="26"/>
      <c r="F357" s="26"/>
      <c r="G357" s="27"/>
      <c r="H357" s="27"/>
      <c r="I357" s="27"/>
      <c r="J357" s="27"/>
      <c r="K357" s="27"/>
      <c r="L357" s="23"/>
      <c r="M357" s="23"/>
      <c r="P357" s="22"/>
    </row>
    <row r="358" ht="15.75" customHeight="1">
      <c r="A358" s="23"/>
      <c r="B358" s="24"/>
      <c r="C358" s="25"/>
      <c r="D358" s="26"/>
      <c r="E358" s="26"/>
      <c r="F358" s="26"/>
      <c r="G358" s="27"/>
      <c r="H358" s="27"/>
      <c r="I358" s="27"/>
      <c r="J358" s="27"/>
      <c r="K358" s="27"/>
      <c r="L358" s="23"/>
      <c r="M358" s="23"/>
      <c r="P358" s="22"/>
    </row>
    <row r="359" ht="15.75" customHeight="1">
      <c r="A359" s="23"/>
      <c r="B359" s="24"/>
      <c r="C359" s="25"/>
      <c r="D359" s="26"/>
      <c r="E359" s="26"/>
      <c r="F359" s="26"/>
      <c r="G359" s="27"/>
      <c r="H359" s="27"/>
      <c r="I359" s="27"/>
      <c r="J359" s="27"/>
      <c r="K359" s="27"/>
      <c r="L359" s="23"/>
      <c r="M359" s="23"/>
      <c r="P359" s="22"/>
    </row>
    <row r="360" ht="15.75" customHeight="1">
      <c r="A360" s="23"/>
      <c r="B360" s="24"/>
      <c r="C360" s="25"/>
      <c r="D360" s="26"/>
      <c r="E360" s="26"/>
      <c r="F360" s="26"/>
      <c r="G360" s="27"/>
      <c r="H360" s="27"/>
      <c r="I360" s="27"/>
      <c r="J360" s="27"/>
      <c r="K360" s="27"/>
      <c r="L360" s="23"/>
      <c r="M360" s="23"/>
      <c r="P360" s="22"/>
    </row>
    <row r="361" ht="15.75" customHeight="1">
      <c r="A361" s="23"/>
      <c r="B361" s="24"/>
      <c r="C361" s="25"/>
      <c r="D361" s="26"/>
      <c r="E361" s="26"/>
      <c r="F361" s="26"/>
      <c r="G361" s="27"/>
      <c r="H361" s="27"/>
      <c r="I361" s="27"/>
      <c r="J361" s="27"/>
      <c r="K361" s="27"/>
      <c r="L361" s="23"/>
      <c r="M361" s="23"/>
      <c r="P361" s="22"/>
    </row>
    <row r="362" ht="15.75" customHeight="1">
      <c r="A362" s="23"/>
      <c r="B362" s="24"/>
      <c r="C362" s="25"/>
      <c r="D362" s="26"/>
      <c r="E362" s="26"/>
      <c r="F362" s="26"/>
      <c r="G362" s="27"/>
      <c r="H362" s="27"/>
      <c r="I362" s="27"/>
      <c r="J362" s="27"/>
      <c r="K362" s="27"/>
      <c r="L362" s="23"/>
      <c r="M362" s="23"/>
      <c r="P362" s="22"/>
    </row>
    <row r="363" ht="15.75" customHeight="1">
      <c r="A363" s="23"/>
      <c r="B363" s="24"/>
      <c r="C363" s="25"/>
      <c r="D363" s="26"/>
      <c r="E363" s="26"/>
      <c r="F363" s="26"/>
      <c r="G363" s="27"/>
      <c r="H363" s="27"/>
      <c r="I363" s="27"/>
      <c r="J363" s="27"/>
      <c r="K363" s="27"/>
      <c r="L363" s="23"/>
      <c r="M363" s="23"/>
      <c r="P363" s="22"/>
    </row>
    <row r="364" ht="15.75" customHeight="1">
      <c r="A364" s="23"/>
      <c r="B364" s="24"/>
      <c r="C364" s="25"/>
      <c r="D364" s="26"/>
      <c r="E364" s="26"/>
      <c r="F364" s="26"/>
      <c r="G364" s="27"/>
      <c r="H364" s="27"/>
      <c r="I364" s="27"/>
      <c r="J364" s="27"/>
      <c r="K364" s="27"/>
      <c r="L364" s="23"/>
      <c r="M364" s="23"/>
      <c r="P364" s="22"/>
    </row>
    <row r="365" ht="15.75" customHeight="1">
      <c r="A365" s="23"/>
      <c r="B365" s="24"/>
      <c r="C365" s="25"/>
      <c r="D365" s="26"/>
      <c r="E365" s="26"/>
      <c r="F365" s="26"/>
      <c r="G365" s="27"/>
      <c r="H365" s="27"/>
      <c r="I365" s="27"/>
      <c r="J365" s="27"/>
      <c r="K365" s="27"/>
      <c r="L365" s="23"/>
      <c r="M365" s="23"/>
      <c r="P365" s="22"/>
    </row>
    <row r="366" ht="15.75" customHeight="1">
      <c r="A366" s="23"/>
      <c r="B366" s="24"/>
      <c r="C366" s="25"/>
      <c r="D366" s="26"/>
      <c r="E366" s="26"/>
      <c r="F366" s="26"/>
      <c r="G366" s="27"/>
      <c r="H366" s="27"/>
      <c r="I366" s="27"/>
      <c r="J366" s="27"/>
      <c r="K366" s="27"/>
      <c r="L366" s="23"/>
      <c r="M366" s="23"/>
      <c r="P366" s="22"/>
    </row>
    <row r="367" ht="15.75" customHeight="1">
      <c r="A367" s="23"/>
      <c r="B367" s="24"/>
      <c r="C367" s="25"/>
      <c r="D367" s="26"/>
      <c r="E367" s="26"/>
      <c r="F367" s="26"/>
      <c r="G367" s="27"/>
      <c r="H367" s="27"/>
      <c r="I367" s="27"/>
      <c r="J367" s="27"/>
      <c r="K367" s="27"/>
      <c r="L367" s="23"/>
      <c r="M367" s="23"/>
      <c r="P367" s="22"/>
    </row>
    <row r="368" ht="15.75" customHeight="1">
      <c r="A368" s="23"/>
      <c r="B368" s="24"/>
      <c r="C368" s="25"/>
      <c r="D368" s="26"/>
      <c r="E368" s="26"/>
      <c r="F368" s="26"/>
      <c r="G368" s="27"/>
      <c r="H368" s="27"/>
      <c r="I368" s="27"/>
      <c r="J368" s="27"/>
      <c r="K368" s="27"/>
      <c r="L368" s="23"/>
      <c r="M368" s="23"/>
      <c r="P368" s="22"/>
    </row>
    <row r="369" ht="15.75" customHeight="1">
      <c r="A369" s="23"/>
      <c r="B369" s="24"/>
      <c r="C369" s="25"/>
      <c r="D369" s="26"/>
      <c r="E369" s="26"/>
      <c r="F369" s="26"/>
      <c r="G369" s="27"/>
      <c r="H369" s="27"/>
      <c r="I369" s="27"/>
      <c r="J369" s="27"/>
      <c r="K369" s="27"/>
      <c r="L369" s="23"/>
      <c r="M369" s="23"/>
      <c r="P369" s="22"/>
    </row>
    <row r="370" ht="15.75" customHeight="1">
      <c r="A370" s="23"/>
      <c r="B370" s="24"/>
      <c r="C370" s="25"/>
      <c r="D370" s="26"/>
      <c r="E370" s="26"/>
      <c r="F370" s="26"/>
      <c r="G370" s="27"/>
      <c r="H370" s="27"/>
      <c r="I370" s="27"/>
      <c r="J370" s="27"/>
      <c r="K370" s="27"/>
      <c r="L370" s="23"/>
      <c r="M370" s="23"/>
      <c r="P370" s="22"/>
    </row>
    <row r="371" ht="15.75" customHeight="1">
      <c r="A371" s="23"/>
      <c r="B371" s="24"/>
      <c r="C371" s="25"/>
      <c r="D371" s="26"/>
      <c r="E371" s="26"/>
      <c r="F371" s="26"/>
      <c r="G371" s="27"/>
      <c r="H371" s="27"/>
      <c r="I371" s="27"/>
      <c r="J371" s="27"/>
      <c r="K371" s="27"/>
      <c r="L371" s="23"/>
      <c r="M371" s="23"/>
      <c r="P371" s="22"/>
    </row>
    <row r="372" ht="15.75" customHeight="1">
      <c r="A372" s="23"/>
      <c r="B372" s="24"/>
      <c r="C372" s="25"/>
      <c r="D372" s="26"/>
      <c r="E372" s="26"/>
      <c r="F372" s="26"/>
      <c r="G372" s="27"/>
      <c r="H372" s="27"/>
      <c r="I372" s="27"/>
      <c r="J372" s="27"/>
      <c r="K372" s="27"/>
      <c r="L372" s="23"/>
      <c r="M372" s="23"/>
      <c r="P372" s="22"/>
    </row>
    <row r="373" ht="15.75" customHeight="1">
      <c r="A373" s="23"/>
      <c r="B373" s="24"/>
      <c r="C373" s="25"/>
      <c r="D373" s="26"/>
      <c r="E373" s="26"/>
      <c r="F373" s="26"/>
      <c r="G373" s="27"/>
      <c r="H373" s="27"/>
      <c r="I373" s="27"/>
      <c r="J373" s="27"/>
      <c r="K373" s="27"/>
      <c r="L373" s="23"/>
      <c r="M373" s="23"/>
      <c r="P373" s="22"/>
    </row>
    <row r="374" ht="15.75" customHeight="1">
      <c r="A374" s="23"/>
      <c r="B374" s="24"/>
      <c r="C374" s="25"/>
      <c r="D374" s="26"/>
      <c r="E374" s="26"/>
      <c r="F374" s="26"/>
      <c r="G374" s="27"/>
      <c r="H374" s="27"/>
      <c r="I374" s="27"/>
      <c r="J374" s="27"/>
      <c r="K374" s="27"/>
      <c r="L374" s="23"/>
      <c r="M374" s="23"/>
      <c r="P374" s="22"/>
    </row>
    <row r="375" ht="15.75" customHeight="1">
      <c r="A375" s="23"/>
      <c r="B375" s="24"/>
      <c r="C375" s="25"/>
      <c r="D375" s="26"/>
      <c r="E375" s="26"/>
      <c r="F375" s="26"/>
      <c r="G375" s="27"/>
      <c r="H375" s="27"/>
      <c r="I375" s="27"/>
      <c r="J375" s="27"/>
      <c r="K375" s="27"/>
      <c r="L375" s="23"/>
      <c r="M375" s="23"/>
      <c r="P375" s="22"/>
    </row>
    <row r="376" ht="15.75" customHeight="1">
      <c r="A376" s="23"/>
      <c r="B376" s="24"/>
      <c r="C376" s="25"/>
      <c r="D376" s="26"/>
      <c r="E376" s="26"/>
      <c r="F376" s="26"/>
      <c r="G376" s="27"/>
      <c r="H376" s="27"/>
      <c r="I376" s="27"/>
      <c r="J376" s="27"/>
      <c r="K376" s="27"/>
      <c r="L376" s="23"/>
      <c r="M376" s="23"/>
      <c r="P376" s="22"/>
    </row>
    <row r="377" ht="15.75" customHeight="1">
      <c r="A377" s="23"/>
      <c r="B377" s="24"/>
      <c r="C377" s="25"/>
      <c r="D377" s="26"/>
      <c r="E377" s="26"/>
      <c r="F377" s="26"/>
      <c r="G377" s="27"/>
      <c r="H377" s="27"/>
      <c r="I377" s="27"/>
      <c r="J377" s="27"/>
      <c r="K377" s="27"/>
      <c r="L377" s="23"/>
      <c r="M377" s="23"/>
      <c r="P377" s="22"/>
    </row>
    <row r="378" ht="15.75" customHeight="1">
      <c r="A378" s="23"/>
      <c r="B378" s="24"/>
      <c r="C378" s="25"/>
      <c r="D378" s="26"/>
      <c r="E378" s="26"/>
      <c r="F378" s="26"/>
      <c r="G378" s="27"/>
      <c r="H378" s="27"/>
      <c r="I378" s="27"/>
      <c r="J378" s="27"/>
      <c r="K378" s="27"/>
      <c r="L378" s="23"/>
      <c r="M378" s="23"/>
      <c r="P378" s="22"/>
    </row>
    <row r="379" ht="15.75" customHeight="1">
      <c r="A379" s="23"/>
      <c r="B379" s="24"/>
      <c r="C379" s="25"/>
      <c r="D379" s="26"/>
      <c r="E379" s="26"/>
      <c r="F379" s="26"/>
      <c r="G379" s="27"/>
      <c r="H379" s="27"/>
      <c r="I379" s="27"/>
      <c r="J379" s="27"/>
      <c r="K379" s="27"/>
      <c r="L379" s="23"/>
      <c r="M379" s="23"/>
      <c r="P379" s="22"/>
    </row>
    <row r="380" ht="15.75" customHeight="1">
      <c r="A380" s="23"/>
      <c r="B380" s="24"/>
      <c r="C380" s="25"/>
      <c r="D380" s="26"/>
      <c r="E380" s="26"/>
      <c r="F380" s="26"/>
      <c r="G380" s="27"/>
      <c r="H380" s="27"/>
      <c r="I380" s="27"/>
      <c r="J380" s="27"/>
      <c r="K380" s="27"/>
      <c r="L380" s="23"/>
      <c r="M380" s="23"/>
      <c r="P380" s="22"/>
    </row>
    <row r="381" ht="15.75" customHeight="1">
      <c r="A381" s="23"/>
      <c r="B381" s="24"/>
      <c r="C381" s="25"/>
      <c r="D381" s="26"/>
      <c r="E381" s="26"/>
      <c r="F381" s="26"/>
      <c r="G381" s="27"/>
      <c r="H381" s="27"/>
      <c r="I381" s="27"/>
      <c r="J381" s="27"/>
      <c r="K381" s="27"/>
      <c r="L381" s="23"/>
      <c r="M381" s="23"/>
      <c r="P381" s="22"/>
    </row>
    <row r="382" ht="15.75" customHeight="1">
      <c r="A382" s="23"/>
      <c r="B382" s="24"/>
      <c r="C382" s="25"/>
      <c r="D382" s="26"/>
      <c r="E382" s="26"/>
      <c r="F382" s="26"/>
      <c r="G382" s="27"/>
      <c r="H382" s="27"/>
      <c r="I382" s="27"/>
      <c r="J382" s="27"/>
      <c r="K382" s="27"/>
      <c r="L382" s="23"/>
      <c r="M382" s="23"/>
      <c r="P382" s="22"/>
    </row>
    <row r="383" ht="15.75" customHeight="1">
      <c r="A383" s="23"/>
      <c r="B383" s="24"/>
      <c r="C383" s="25"/>
      <c r="D383" s="26"/>
      <c r="E383" s="26"/>
      <c r="F383" s="26"/>
      <c r="G383" s="27"/>
      <c r="H383" s="27"/>
      <c r="I383" s="27"/>
      <c r="J383" s="27"/>
      <c r="K383" s="27"/>
      <c r="L383" s="23"/>
      <c r="M383" s="23"/>
      <c r="P383" s="22"/>
    </row>
    <row r="384" ht="15.75" customHeight="1">
      <c r="A384" s="23"/>
      <c r="B384" s="24"/>
      <c r="C384" s="25"/>
      <c r="D384" s="26"/>
      <c r="E384" s="26"/>
      <c r="F384" s="26"/>
      <c r="G384" s="27"/>
      <c r="H384" s="27"/>
      <c r="I384" s="27"/>
      <c r="J384" s="27"/>
      <c r="K384" s="27"/>
      <c r="L384" s="23"/>
      <c r="M384" s="23"/>
      <c r="P384" s="22"/>
    </row>
    <row r="385" ht="15.75" customHeight="1">
      <c r="A385" s="23"/>
      <c r="B385" s="24"/>
      <c r="C385" s="25"/>
      <c r="D385" s="26"/>
      <c r="E385" s="26"/>
      <c r="F385" s="26"/>
      <c r="G385" s="27"/>
      <c r="H385" s="27"/>
      <c r="I385" s="27"/>
      <c r="J385" s="27"/>
      <c r="K385" s="27"/>
      <c r="L385" s="23"/>
      <c r="M385" s="23"/>
      <c r="P385" s="22"/>
    </row>
    <row r="386" ht="15.75" customHeight="1">
      <c r="A386" s="23"/>
      <c r="B386" s="24"/>
      <c r="C386" s="25"/>
      <c r="D386" s="26"/>
      <c r="E386" s="26"/>
      <c r="F386" s="26"/>
      <c r="G386" s="27"/>
      <c r="H386" s="27"/>
      <c r="I386" s="27"/>
      <c r="J386" s="27"/>
      <c r="K386" s="27"/>
      <c r="L386" s="23"/>
      <c r="M386" s="23"/>
      <c r="P386" s="22"/>
    </row>
    <row r="387" ht="15.75" customHeight="1">
      <c r="A387" s="23"/>
      <c r="B387" s="24"/>
      <c r="C387" s="25"/>
      <c r="D387" s="26"/>
      <c r="E387" s="26"/>
      <c r="F387" s="26"/>
      <c r="G387" s="27"/>
      <c r="H387" s="27"/>
      <c r="I387" s="27"/>
      <c r="J387" s="27"/>
      <c r="K387" s="27"/>
      <c r="L387" s="23"/>
      <c r="M387" s="23"/>
      <c r="P387" s="22"/>
    </row>
    <row r="388" ht="15.75" customHeight="1">
      <c r="A388" s="23"/>
      <c r="B388" s="24"/>
      <c r="C388" s="25"/>
      <c r="D388" s="26"/>
      <c r="E388" s="26"/>
      <c r="F388" s="26"/>
      <c r="G388" s="27"/>
      <c r="H388" s="27"/>
      <c r="I388" s="27"/>
      <c r="J388" s="27"/>
      <c r="K388" s="27"/>
      <c r="L388" s="23"/>
      <c r="M388" s="23"/>
      <c r="P388" s="22"/>
    </row>
    <row r="389" ht="15.75" customHeight="1">
      <c r="A389" s="23"/>
      <c r="B389" s="24"/>
      <c r="C389" s="25"/>
      <c r="D389" s="26"/>
      <c r="E389" s="26"/>
      <c r="F389" s="26"/>
      <c r="G389" s="27"/>
      <c r="H389" s="27"/>
      <c r="I389" s="27"/>
      <c r="J389" s="27"/>
      <c r="K389" s="27"/>
      <c r="L389" s="23"/>
      <c r="M389" s="23"/>
      <c r="P389" s="22"/>
    </row>
    <row r="390" ht="15.75" customHeight="1">
      <c r="A390" s="23"/>
      <c r="B390" s="24"/>
      <c r="C390" s="25"/>
      <c r="D390" s="26"/>
      <c r="E390" s="26"/>
      <c r="F390" s="26"/>
      <c r="G390" s="27"/>
      <c r="H390" s="27"/>
      <c r="I390" s="27"/>
      <c r="J390" s="27"/>
      <c r="K390" s="27"/>
      <c r="L390" s="23"/>
      <c r="M390" s="23"/>
      <c r="P390" s="22"/>
    </row>
    <row r="391" ht="15.75" customHeight="1">
      <c r="A391" s="23"/>
      <c r="B391" s="24"/>
      <c r="C391" s="25"/>
      <c r="D391" s="26"/>
      <c r="E391" s="26"/>
      <c r="F391" s="26"/>
      <c r="G391" s="27"/>
      <c r="H391" s="27"/>
      <c r="I391" s="27"/>
      <c r="J391" s="27"/>
      <c r="K391" s="27"/>
      <c r="L391" s="23"/>
      <c r="M391" s="23"/>
      <c r="P391" s="22"/>
    </row>
    <row r="392" ht="15.75" customHeight="1">
      <c r="A392" s="23"/>
      <c r="B392" s="24"/>
      <c r="C392" s="25"/>
      <c r="D392" s="26"/>
      <c r="E392" s="26"/>
      <c r="F392" s="26"/>
      <c r="G392" s="27"/>
      <c r="H392" s="27"/>
      <c r="I392" s="27"/>
      <c r="J392" s="27"/>
      <c r="K392" s="27"/>
      <c r="L392" s="23"/>
      <c r="M392" s="23"/>
      <c r="P392" s="22"/>
    </row>
    <row r="393" ht="15.75" customHeight="1">
      <c r="A393" s="23"/>
      <c r="B393" s="24"/>
      <c r="C393" s="25"/>
      <c r="D393" s="26"/>
      <c r="E393" s="26"/>
      <c r="F393" s="26"/>
      <c r="G393" s="27"/>
      <c r="H393" s="27"/>
      <c r="I393" s="27"/>
      <c r="J393" s="27"/>
      <c r="K393" s="27"/>
      <c r="L393" s="23"/>
      <c r="M393" s="23"/>
      <c r="P393" s="22"/>
    </row>
    <row r="394" ht="15.75" customHeight="1">
      <c r="A394" s="23"/>
      <c r="B394" s="24"/>
      <c r="C394" s="25"/>
      <c r="D394" s="26"/>
      <c r="E394" s="26"/>
      <c r="F394" s="26"/>
      <c r="G394" s="27"/>
      <c r="H394" s="27"/>
      <c r="I394" s="27"/>
      <c r="J394" s="27"/>
      <c r="K394" s="27"/>
      <c r="L394" s="23"/>
      <c r="M394" s="23"/>
      <c r="P394" s="22"/>
    </row>
    <row r="395" ht="15.75" customHeight="1">
      <c r="A395" s="23"/>
      <c r="B395" s="24"/>
      <c r="C395" s="25"/>
      <c r="D395" s="26"/>
      <c r="E395" s="26"/>
      <c r="F395" s="26"/>
      <c r="G395" s="27"/>
      <c r="H395" s="27"/>
      <c r="I395" s="27"/>
      <c r="J395" s="27"/>
      <c r="K395" s="27"/>
      <c r="L395" s="23"/>
      <c r="M395" s="23"/>
      <c r="P395" s="22"/>
    </row>
    <row r="396" ht="15.75" customHeight="1">
      <c r="A396" s="23"/>
      <c r="B396" s="24"/>
      <c r="C396" s="25"/>
      <c r="D396" s="26"/>
      <c r="E396" s="26"/>
      <c r="F396" s="26"/>
      <c r="G396" s="27"/>
      <c r="H396" s="27"/>
      <c r="I396" s="27"/>
      <c r="J396" s="27"/>
      <c r="K396" s="27"/>
      <c r="L396" s="23"/>
      <c r="M396" s="23"/>
      <c r="P396" s="22"/>
    </row>
    <row r="397" ht="15.75" customHeight="1">
      <c r="A397" s="23"/>
      <c r="B397" s="24"/>
      <c r="C397" s="25"/>
      <c r="D397" s="26"/>
      <c r="E397" s="26"/>
      <c r="F397" s="26"/>
      <c r="G397" s="27"/>
      <c r="H397" s="27"/>
      <c r="I397" s="27"/>
      <c r="J397" s="27"/>
      <c r="K397" s="27"/>
      <c r="L397" s="23"/>
      <c r="M397" s="23"/>
      <c r="P397" s="22"/>
    </row>
    <row r="398" ht="15.75" customHeight="1">
      <c r="A398" s="23"/>
      <c r="B398" s="24"/>
      <c r="C398" s="25"/>
      <c r="D398" s="26"/>
      <c r="E398" s="26"/>
      <c r="F398" s="26"/>
      <c r="G398" s="27"/>
      <c r="H398" s="27"/>
      <c r="I398" s="27"/>
      <c r="J398" s="27"/>
      <c r="K398" s="27"/>
      <c r="L398" s="23"/>
      <c r="M398" s="23"/>
      <c r="P398" s="22"/>
    </row>
    <row r="399" ht="15.75" customHeight="1">
      <c r="A399" s="23"/>
      <c r="B399" s="24"/>
      <c r="C399" s="25"/>
      <c r="D399" s="26"/>
      <c r="E399" s="26"/>
      <c r="F399" s="26"/>
      <c r="G399" s="27"/>
      <c r="H399" s="27"/>
      <c r="I399" s="27"/>
      <c r="J399" s="27"/>
      <c r="K399" s="27"/>
      <c r="L399" s="23"/>
      <c r="M399" s="23"/>
      <c r="P399" s="22"/>
    </row>
    <row r="400" ht="15.75" customHeight="1">
      <c r="A400" s="23"/>
      <c r="B400" s="24"/>
      <c r="C400" s="25"/>
      <c r="D400" s="26"/>
      <c r="E400" s="26"/>
      <c r="F400" s="26"/>
      <c r="G400" s="27"/>
      <c r="H400" s="27"/>
      <c r="I400" s="27"/>
      <c r="J400" s="27"/>
      <c r="K400" s="27"/>
      <c r="L400" s="23"/>
      <c r="M400" s="23"/>
      <c r="P400" s="22"/>
    </row>
    <row r="401" ht="15.75" customHeight="1">
      <c r="A401" s="23"/>
      <c r="B401" s="24"/>
      <c r="C401" s="25"/>
      <c r="D401" s="26"/>
      <c r="E401" s="26"/>
      <c r="F401" s="26"/>
      <c r="G401" s="27"/>
      <c r="H401" s="27"/>
      <c r="I401" s="27"/>
      <c r="J401" s="27"/>
      <c r="K401" s="27"/>
      <c r="L401" s="23"/>
      <c r="M401" s="23"/>
      <c r="P401" s="22"/>
    </row>
    <row r="402" ht="15.75" customHeight="1">
      <c r="A402" s="23"/>
      <c r="B402" s="24"/>
      <c r="C402" s="25"/>
      <c r="D402" s="26"/>
      <c r="E402" s="26"/>
      <c r="F402" s="26"/>
      <c r="G402" s="27"/>
      <c r="H402" s="27"/>
      <c r="I402" s="27"/>
      <c r="J402" s="27"/>
      <c r="K402" s="27"/>
      <c r="L402" s="23"/>
      <c r="M402" s="23"/>
      <c r="P402" s="22"/>
    </row>
    <row r="403" ht="15.75" customHeight="1">
      <c r="A403" s="23"/>
      <c r="B403" s="24"/>
      <c r="C403" s="25"/>
      <c r="D403" s="26"/>
      <c r="E403" s="26"/>
      <c r="F403" s="26"/>
      <c r="G403" s="27"/>
      <c r="H403" s="27"/>
      <c r="I403" s="27"/>
      <c r="J403" s="27"/>
      <c r="K403" s="27"/>
      <c r="L403" s="23"/>
      <c r="M403" s="23"/>
      <c r="P403" s="22"/>
    </row>
    <row r="404" ht="15.75" customHeight="1">
      <c r="A404" s="23"/>
      <c r="B404" s="24"/>
      <c r="C404" s="25"/>
      <c r="D404" s="26"/>
      <c r="E404" s="26"/>
      <c r="F404" s="26"/>
      <c r="G404" s="27"/>
      <c r="H404" s="27"/>
      <c r="I404" s="27"/>
      <c r="J404" s="27"/>
      <c r="K404" s="27"/>
      <c r="L404" s="23"/>
      <c r="M404" s="23"/>
      <c r="P404" s="22"/>
    </row>
    <row r="405" ht="15.75" customHeight="1">
      <c r="A405" s="23"/>
      <c r="B405" s="24"/>
      <c r="C405" s="25"/>
      <c r="D405" s="26"/>
      <c r="E405" s="26"/>
      <c r="F405" s="26"/>
      <c r="G405" s="27"/>
      <c r="H405" s="27"/>
      <c r="I405" s="27"/>
      <c r="J405" s="27"/>
      <c r="K405" s="27"/>
      <c r="L405" s="23"/>
      <c r="M405" s="23"/>
      <c r="P405" s="22"/>
    </row>
    <row r="406" ht="15.75" customHeight="1">
      <c r="A406" s="23"/>
      <c r="B406" s="24"/>
      <c r="C406" s="25"/>
      <c r="D406" s="26"/>
      <c r="E406" s="26"/>
      <c r="F406" s="26"/>
      <c r="G406" s="27"/>
      <c r="H406" s="27"/>
      <c r="I406" s="27"/>
      <c r="J406" s="27"/>
      <c r="K406" s="27"/>
      <c r="L406" s="23"/>
      <c r="M406" s="23"/>
      <c r="P406" s="22"/>
    </row>
    <row r="407" ht="15.75" customHeight="1">
      <c r="A407" s="23"/>
      <c r="B407" s="24"/>
      <c r="C407" s="25"/>
      <c r="D407" s="26"/>
      <c r="E407" s="26"/>
      <c r="F407" s="26"/>
      <c r="G407" s="27"/>
      <c r="H407" s="27"/>
      <c r="I407" s="27"/>
      <c r="J407" s="27"/>
      <c r="K407" s="27"/>
      <c r="L407" s="23"/>
      <c r="M407" s="23"/>
      <c r="P407" s="22"/>
    </row>
    <row r="408" ht="15.75" customHeight="1">
      <c r="A408" s="23"/>
      <c r="B408" s="24"/>
      <c r="C408" s="25"/>
      <c r="D408" s="26"/>
      <c r="E408" s="26"/>
      <c r="F408" s="26"/>
      <c r="G408" s="27"/>
      <c r="H408" s="27"/>
      <c r="I408" s="27"/>
      <c r="J408" s="27"/>
      <c r="K408" s="27"/>
      <c r="L408" s="23"/>
      <c r="M408" s="23"/>
      <c r="P408" s="22"/>
    </row>
    <row r="409" ht="15.75" customHeight="1">
      <c r="A409" s="23"/>
      <c r="B409" s="24"/>
      <c r="C409" s="25"/>
      <c r="D409" s="26"/>
      <c r="E409" s="26"/>
      <c r="F409" s="26"/>
      <c r="G409" s="27"/>
      <c r="H409" s="27"/>
      <c r="I409" s="27"/>
      <c r="J409" s="27"/>
      <c r="K409" s="27"/>
      <c r="L409" s="23"/>
      <c r="M409" s="23"/>
      <c r="P409" s="22"/>
    </row>
    <row r="410" ht="15.75" customHeight="1">
      <c r="A410" s="23"/>
      <c r="B410" s="24"/>
      <c r="C410" s="25"/>
      <c r="D410" s="26"/>
      <c r="E410" s="26"/>
      <c r="F410" s="26"/>
      <c r="G410" s="27"/>
      <c r="H410" s="27"/>
      <c r="I410" s="27"/>
      <c r="J410" s="27"/>
      <c r="K410" s="27"/>
      <c r="L410" s="23"/>
      <c r="M410" s="23"/>
      <c r="P410" s="22"/>
    </row>
    <row r="411" ht="15.75" customHeight="1">
      <c r="A411" s="23"/>
      <c r="B411" s="24"/>
      <c r="C411" s="25"/>
      <c r="D411" s="26"/>
      <c r="E411" s="26"/>
      <c r="F411" s="26"/>
      <c r="G411" s="27"/>
      <c r="H411" s="27"/>
      <c r="I411" s="27"/>
      <c r="J411" s="27"/>
      <c r="K411" s="27"/>
      <c r="L411" s="23"/>
      <c r="M411" s="23"/>
      <c r="P411" s="22"/>
    </row>
    <row r="412" ht="15.75" customHeight="1">
      <c r="A412" s="23"/>
      <c r="B412" s="24"/>
      <c r="C412" s="25"/>
      <c r="D412" s="26"/>
      <c r="E412" s="26"/>
      <c r="F412" s="26"/>
      <c r="G412" s="27"/>
      <c r="H412" s="27"/>
      <c r="I412" s="27"/>
      <c r="J412" s="27"/>
      <c r="K412" s="27"/>
      <c r="L412" s="23"/>
      <c r="M412" s="23"/>
      <c r="P412" s="22"/>
    </row>
    <row r="413" ht="15.75" customHeight="1">
      <c r="A413" s="23"/>
      <c r="B413" s="24"/>
      <c r="C413" s="25"/>
      <c r="D413" s="26"/>
      <c r="E413" s="26"/>
      <c r="F413" s="26"/>
      <c r="G413" s="27"/>
      <c r="H413" s="27"/>
      <c r="I413" s="27"/>
      <c r="J413" s="27"/>
      <c r="K413" s="27"/>
      <c r="L413" s="23"/>
      <c r="M413" s="23"/>
      <c r="P413" s="22"/>
    </row>
    <row r="414" ht="15.75" customHeight="1">
      <c r="A414" s="23"/>
      <c r="B414" s="24"/>
      <c r="C414" s="25"/>
      <c r="D414" s="26"/>
      <c r="E414" s="26"/>
      <c r="F414" s="26"/>
      <c r="G414" s="27"/>
      <c r="H414" s="27"/>
      <c r="I414" s="27"/>
      <c r="J414" s="27"/>
      <c r="K414" s="27"/>
      <c r="L414" s="23"/>
      <c r="M414" s="23"/>
      <c r="P414" s="22"/>
    </row>
    <row r="415" ht="15.75" customHeight="1">
      <c r="A415" s="23"/>
      <c r="B415" s="24"/>
      <c r="C415" s="25"/>
      <c r="D415" s="26"/>
      <c r="E415" s="26"/>
      <c r="F415" s="26"/>
      <c r="G415" s="27"/>
      <c r="H415" s="27"/>
      <c r="I415" s="27"/>
      <c r="J415" s="27"/>
      <c r="K415" s="27"/>
      <c r="L415" s="23"/>
      <c r="M415" s="23"/>
      <c r="P415" s="22"/>
    </row>
    <row r="416" ht="15.75" customHeight="1">
      <c r="A416" s="23"/>
      <c r="B416" s="24"/>
      <c r="C416" s="25"/>
      <c r="D416" s="26"/>
      <c r="E416" s="26"/>
      <c r="F416" s="26"/>
      <c r="G416" s="27"/>
      <c r="H416" s="27"/>
      <c r="I416" s="27"/>
      <c r="J416" s="27"/>
      <c r="K416" s="27"/>
      <c r="L416" s="23"/>
      <c r="M416" s="23"/>
      <c r="P416" s="22"/>
    </row>
    <row r="417" ht="15.75" customHeight="1">
      <c r="A417" s="23"/>
      <c r="B417" s="24"/>
      <c r="C417" s="25"/>
      <c r="D417" s="26"/>
      <c r="E417" s="26"/>
      <c r="F417" s="26"/>
      <c r="G417" s="27"/>
      <c r="H417" s="27"/>
      <c r="I417" s="27"/>
      <c r="J417" s="27"/>
      <c r="K417" s="27"/>
      <c r="L417" s="23"/>
      <c r="M417" s="23"/>
      <c r="P417" s="22"/>
    </row>
    <row r="418" ht="15.75" customHeight="1">
      <c r="A418" s="23"/>
      <c r="B418" s="24"/>
      <c r="C418" s="25"/>
      <c r="D418" s="26"/>
      <c r="E418" s="26"/>
      <c r="F418" s="26"/>
      <c r="G418" s="27"/>
      <c r="H418" s="27"/>
      <c r="I418" s="27"/>
      <c r="J418" s="27"/>
      <c r="K418" s="27"/>
      <c r="L418" s="23"/>
      <c r="M418" s="23"/>
      <c r="P418" s="22"/>
    </row>
    <row r="419" ht="15.75" customHeight="1">
      <c r="A419" s="23"/>
      <c r="B419" s="24"/>
      <c r="C419" s="25"/>
      <c r="D419" s="26"/>
      <c r="E419" s="26"/>
      <c r="F419" s="26"/>
      <c r="G419" s="27"/>
      <c r="H419" s="27"/>
      <c r="I419" s="27"/>
      <c r="J419" s="27"/>
      <c r="K419" s="27"/>
      <c r="L419" s="23"/>
      <c r="M419" s="23"/>
      <c r="P419" s="22"/>
    </row>
    <row r="420" ht="15.75" customHeight="1">
      <c r="A420" s="23"/>
      <c r="B420" s="24"/>
      <c r="C420" s="25"/>
      <c r="D420" s="26"/>
      <c r="E420" s="26"/>
      <c r="F420" s="26"/>
      <c r="G420" s="27"/>
      <c r="H420" s="27"/>
      <c r="I420" s="27"/>
      <c r="J420" s="27"/>
      <c r="K420" s="27"/>
      <c r="L420" s="23"/>
      <c r="M420" s="23"/>
      <c r="P420" s="22"/>
    </row>
    <row r="421" ht="15.75" customHeight="1">
      <c r="A421" s="23"/>
      <c r="B421" s="24"/>
      <c r="C421" s="25"/>
      <c r="D421" s="26"/>
      <c r="E421" s="26"/>
      <c r="F421" s="26"/>
      <c r="G421" s="27"/>
      <c r="H421" s="27"/>
      <c r="I421" s="27"/>
      <c r="J421" s="27"/>
      <c r="K421" s="27"/>
      <c r="L421" s="23"/>
      <c r="M421" s="23"/>
      <c r="P421" s="22"/>
    </row>
    <row r="422" ht="15.75" customHeight="1">
      <c r="A422" s="23"/>
      <c r="B422" s="24"/>
      <c r="C422" s="25"/>
      <c r="D422" s="26"/>
      <c r="E422" s="26"/>
      <c r="F422" s="26"/>
      <c r="G422" s="27"/>
      <c r="H422" s="27"/>
      <c r="I422" s="27"/>
      <c r="J422" s="27"/>
      <c r="K422" s="27"/>
      <c r="L422" s="23"/>
      <c r="M422" s="23"/>
    </row>
    <row r="423" ht="15.75" customHeight="1">
      <c r="A423" s="23"/>
      <c r="B423" s="24"/>
      <c r="C423" s="25"/>
      <c r="D423" s="26"/>
      <c r="E423" s="26"/>
      <c r="F423" s="26"/>
      <c r="G423" s="27"/>
      <c r="H423" s="27"/>
      <c r="I423" s="27"/>
      <c r="J423" s="27"/>
      <c r="K423" s="27"/>
      <c r="L423" s="23"/>
      <c r="M423" s="23"/>
    </row>
    <row r="424" ht="15.75" customHeight="1">
      <c r="A424" s="23"/>
      <c r="B424" s="24"/>
      <c r="C424" s="25"/>
      <c r="D424" s="26"/>
      <c r="E424" s="26"/>
      <c r="F424" s="26"/>
      <c r="G424" s="27"/>
      <c r="H424" s="27"/>
      <c r="I424" s="27"/>
      <c r="J424" s="27"/>
      <c r="K424" s="27"/>
      <c r="L424" s="23"/>
      <c r="M424" s="23"/>
    </row>
    <row r="425" ht="15.75" customHeight="1">
      <c r="A425" s="23"/>
      <c r="B425" s="24"/>
      <c r="C425" s="25"/>
      <c r="D425" s="26"/>
      <c r="E425" s="26"/>
      <c r="F425" s="26"/>
      <c r="G425" s="27"/>
      <c r="H425" s="27"/>
      <c r="I425" s="27"/>
      <c r="J425" s="27"/>
      <c r="K425" s="27"/>
      <c r="L425" s="23"/>
      <c r="M425" s="23"/>
    </row>
    <row r="426" ht="15.75" customHeight="1">
      <c r="A426" s="23"/>
      <c r="B426" s="24"/>
      <c r="C426" s="25"/>
      <c r="D426" s="26"/>
      <c r="E426" s="26"/>
      <c r="F426" s="26"/>
      <c r="G426" s="27"/>
      <c r="H426" s="27"/>
      <c r="I426" s="27"/>
      <c r="J426" s="27"/>
      <c r="K426" s="27"/>
      <c r="L426" s="23"/>
      <c r="M426" s="23"/>
    </row>
    <row r="427" ht="15.75" customHeight="1">
      <c r="A427" s="23"/>
      <c r="B427" s="24"/>
      <c r="C427" s="25"/>
      <c r="D427" s="26"/>
      <c r="E427" s="26"/>
      <c r="F427" s="26"/>
      <c r="G427" s="27"/>
      <c r="H427" s="27"/>
      <c r="I427" s="27"/>
      <c r="J427" s="27"/>
      <c r="K427" s="27"/>
      <c r="L427" s="23"/>
      <c r="M427" s="23"/>
    </row>
    <row r="428" ht="15.75" customHeight="1">
      <c r="A428" s="23"/>
      <c r="B428" s="24"/>
      <c r="C428" s="25"/>
      <c r="D428" s="26"/>
      <c r="E428" s="26"/>
      <c r="F428" s="26"/>
      <c r="G428" s="27"/>
      <c r="H428" s="27"/>
      <c r="I428" s="27"/>
      <c r="J428" s="27"/>
      <c r="K428" s="27"/>
      <c r="L428" s="23"/>
      <c r="M428" s="23"/>
    </row>
    <row r="429" ht="15.75" customHeight="1">
      <c r="A429" s="23"/>
      <c r="B429" s="24"/>
      <c r="C429" s="25"/>
      <c r="D429" s="26"/>
      <c r="E429" s="26"/>
      <c r="F429" s="26"/>
      <c r="G429" s="27"/>
      <c r="H429" s="27"/>
      <c r="I429" s="27"/>
      <c r="J429" s="27"/>
      <c r="K429" s="27"/>
      <c r="L429" s="23"/>
      <c r="M429" s="23"/>
    </row>
    <row r="430" ht="15.75" customHeight="1">
      <c r="A430" s="23"/>
      <c r="B430" s="24"/>
      <c r="C430" s="25"/>
      <c r="D430" s="26"/>
      <c r="E430" s="26"/>
      <c r="F430" s="26"/>
      <c r="G430" s="27"/>
      <c r="H430" s="27"/>
      <c r="I430" s="27"/>
      <c r="J430" s="27"/>
      <c r="K430" s="27"/>
      <c r="L430" s="23"/>
      <c r="M430" s="23"/>
    </row>
    <row r="431" ht="15.75" customHeight="1">
      <c r="A431" s="23"/>
      <c r="B431" s="24"/>
      <c r="C431" s="25"/>
      <c r="D431" s="26"/>
      <c r="E431" s="26"/>
      <c r="F431" s="26"/>
      <c r="G431" s="27"/>
      <c r="H431" s="27"/>
      <c r="I431" s="27"/>
      <c r="J431" s="27"/>
      <c r="K431" s="27"/>
      <c r="L431" s="23"/>
      <c r="M431" s="23"/>
    </row>
    <row r="432" ht="15.75" customHeight="1">
      <c r="A432" s="23"/>
      <c r="B432" s="24"/>
      <c r="C432" s="25"/>
      <c r="D432" s="26"/>
      <c r="E432" s="26"/>
      <c r="F432" s="26"/>
      <c r="G432" s="27"/>
      <c r="H432" s="27"/>
      <c r="I432" s="27"/>
      <c r="J432" s="27"/>
      <c r="K432" s="27"/>
      <c r="L432" s="23"/>
      <c r="M432" s="23"/>
    </row>
    <row r="433" ht="15.75" customHeight="1">
      <c r="A433" s="23"/>
      <c r="B433" s="24"/>
      <c r="C433" s="25"/>
      <c r="D433" s="26"/>
      <c r="E433" s="26"/>
      <c r="F433" s="26"/>
      <c r="G433" s="27"/>
      <c r="H433" s="27"/>
      <c r="I433" s="27"/>
      <c r="J433" s="27"/>
      <c r="K433" s="27"/>
      <c r="L433" s="23"/>
      <c r="M433" s="23"/>
    </row>
    <row r="434" ht="15.75" customHeight="1">
      <c r="A434" s="23"/>
      <c r="B434" s="24"/>
      <c r="C434" s="25"/>
      <c r="D434" s="26"/>
      <c r="E434" s="26"/>
      <c r="F434" s="26"/>
      <c r="G434" s="27"/>
      <c r="H434" s="27"/>
      <c r="I434" s="27"/>
      <c r="J434" s="27"/>
      <c r="K434" s="27"/>
      <c r="L434" s="23"/>
      <c r="M434" s="23"/>
    </row>
    <row r="435" ht="15.75" customHeight="1">
      <c r="A435" s="23"/>
      <c r="B435" s="24"/>
      <c r="C435" s="25"/>
      <c r="D435" s="26"/>
      <c r="E435" s="26"/>
      <c r="F435" s="26"/>
      <c r="G435" s="27"/>
      <c r="H435" s="27"/>
      <c r="I435" s="27"/>
      <c r="J435" s="27"/>
      <c r="K435" s="27"/>
      <c r="L435" s="23"/>
      <c r="M435" s="23"/>
    </row>
    <row r="436" ht="15.75" customHeight="1">
      <c r="A436" s="23"/>
      <c r="B436" s="24"/>
      <c r="C436" s="25"/>
      <c r="D436" s="26"/>
      <c r="E436" s="26"/>
      <c r="F436" s="26"/>
      <c r="G436" s="27"/>
      <c r="H436" s="27"/>
      <c r="I436" s="27"/>
      <c r="J436" s="27"/>
      <c r="K436" s="27"/>
      <c r="L436" s="23"/>
      <c r="M436" s="23"/>
    </row>
    <row r="437" ht="15.75" customHeight="1">
      <c r="A437" s="23"/>
      <c r="B437" s="24"/>
      <c r="C437" s="25"/>
      <c r="D437" s="26"/>
      <c r="E437" s="26"/>
      <c r="F437" s="26"/>
      <c r="G437" s="27"/>
      <c r="H437" s="27"/>
      <c r="I437" s="27"/>
      <c r="J437" s="27"/>
      <c r="K437" s="27"/>
      <c r="L437" s="23"/>
      <c r="M437" s="23"/>
    </row>
    <row r="438" ht="15.75" customHeight="1">
      <c r="A438" s="23"/>
      <c r="B438" s="24"/>
      <c r="C438" s="25"/>
      <c r="D438" s="26"/>
      <c r="E438" s="26"/>
      <c r="F438" s="26"/>
      <c r="G438" s="27"/>
      <c r="H438" s="27"/>
      <c r="I438" s="27"/>
      <c r="J438" s="27"/>
      <c r="K438" s="27"/>
      <c r="L438" s="23"/>
      <c r="M438" s="23"/>
    </row>
    <row r="439" ht="15.75" customHeight="1">
      <c r="A439" s="23"/>
      <c r="B439" s="24"/>
      <c r="C439" s="25"/>
      <c r="D439" s="26"/>
      <c r="E439" s="26"/>
      <c r="F439" s="26"/>
      <c r="G439" s="27"/>
      <c r="H439" s="27"/>
      <c r="I439" s="27"/>
      <c r="J439" s="27"/>
      <c r="K439" s="27"/>
      <c r="L439" s="23"/>
      <c r="M439" s="23"/>
    </row>
    <row r="440" ht="15.75" customHeight="1">
      <c r="A440" s="23"/>
      <c r="B440" s="24"/>
      <c r="C440" s="25"/>
      <c r="D440" s="26"/>
      <c r="E440" s="26"/>
      <c r="F440" s="26"/>
      <c r="G440" s="27"/>
      <c r="H440" s="27"/>
      <c r="I440" s="27"/>
      <c r="J440" s="27"/>
      <c r="K440" s="27"/>
      <c r="L440" s="23"/>
      <c r="M440" s="23"/>
    </row>
    <row r="441" ht="15.75" customHeight="1">
      <c r="A441" s="23"/>
      <c r="B441" s="24"/>
      <c r="C441" s="25"/>
      <c r="D441" s="26"/>
      <c r="E441" s="26"/>
      <c r="F441" s="26"/>
      <c r="G441" s="27"/>
      <c r="H441" s="27"/>
      <c r="I441" s="27"/>
      <c r="J441" s="27"/>
      <c r="K441" s="27"/>
      <c r="L441" s="23"/>
      <c r="M441" s="23"/>
    </row>
    <row r="442" ht="15.75" customHeight="1">
      <c r="A442" s="23"/>
      <c r="B442" s="24"/>
      <c r="C442" s="25"/>
      <c r="D442" s="26"/>
      <c r="E442" s="26"/>
      <c r="F442" s="26"/>
      <c r="G442" s="27"/>
      <c r="H442" s="27"/>
      <c r="I442" s="27"/>
      <c r="J442" s="27"/>
      <c r="K442" s="27"/>
      <c r="L442" s="23"/>
      <c r="M442" s="23"/>
    </row>
    <row r="443" ht="15.75" customHeight="1">
      <c r="A443" s="23"/>
      <c r="B443" s="24"/>
      <c r="C443" s="25"/>
      <c r="D443" s="26"/>
      <c r="E443" s="26"/>
      <c r="F443" s="26"/>
      <c r="G443" s="27"/>
      <c r="H443" s="27"/>
      <c r="I443" s="27"/>
      <c r="J443" s="27"/>
      <c r="K443" s="27"/>
      <c r="L443" s="23"/>
      <c r="M443" s="23"/>
    </row>
    <row r="444" ht="15.75" customHeight="1">
      <c r="A444" s="23"/>
      <c r="B444" s="24"/>
      <c r="C444" s="25"/>
      <c r="D444" s="26"/>
      <c r="E444" s="26"/>
      <c r="F444" s="26"/>
      <c r="G444" s="27"/>
      <c r="H444" s="27"/>
      <c r="I444" s="27"/>
      <c r="J444" s="27"/>
      <c r="K444" s="27"/>
      <c r="L444" s="23"/>
      <c r="M444" s="23"/>
    </row>
    <row r="445" ht="15.75" customHeight="1">
      <c r="A445" s="23"/>
      <c r="B445" s="24"/>
      <c r="C445" s="25"/>
      <c r="D445" s="26"/>
      <c r="E445" s="26"/>
      <c r="F445" s="26"/>
      <c r="G445" s="27"/>
      <c r="H445" s="27"/>
      <c r="I445" s="27"/>
      <c r="J445" s="27"/>
      <c r="K445" s="27"/>
      <c r="L445" s="23"/>
      <c r="M445" s="23"/>
    </row>
    <row r="446" ht="15.75" customHeight="1">
      <c r="A446" s="23"/>
      <c r="B446" s="24"/>
      <c r="C446" s="25"/>
      <c r="D446" s="26"/>
      <c r="E446" s="26"/>
      <c r="F446" s="26"/>
      <c r="G446" s="27"/>
      <c r="H446" s="27"/>
      <c r="I446" s="27"/>
      <c r="J446" s="27"/>
      <c r="K446" s="27"/>
      <c r="L446" s="23"/>
      <c r="M446" s="23"/>
    </row>
    <row r="447" ht="15.75" customHeight="1">
      <c r="A447" s="23"/>
      <c r="B447" s="24"/>
      <c r="C447" s="25"/>
      <c r="D447" s="26"/>
      <c r="E447" s="26"/>
      <c r="F447" s="26"/>
      <c r="G447" s="27"/>
      <c r="H447" s="27"/>
      <c r="I447" s="27"/>
      <c r="J447" s="27"/>
      <c r="K447" s="27"/>
      <c r="L447" s="23"/>
      <c r="M447" s="23"/>
    </row>
    <row r="448" ht="15.75" customHeight="1">
      <c r="A448" s="23"/>
      <c r="B448" s="24"/>
      <c r="C448" s="25"/>
      <c r="D448" s="26"/>
      <c r="E448" s="26"/>
      <c r="F448" s="26"/>
      <c r="G448" s="27"/>
      <c r="H448" s="27"/>
      <c r="I448" s="27"/>
      <c r="J448" s="27"/>
      <c r="K448" s="27"/>
      <c r="L448" s="23"/>
      <c r="M448" s="23"/>
    </row>
    <row r="449" ht="15.75" customHeight="1">
      <c r="A449" s="23"/>
      <c r="B449" s="24"/>
      <c r="C449" s="25"/>
      <c r="D449" s="26"/>
      <c r="E449" s="26"/>
      <c r="F449" s="26"/>
      <c r="G449" s="27"/>
      <c r="H449" s="27"/>
      <c r="I449" s="27"/>
      <c r="J449" s="27"/>
      <c r="K449" s="27"/>
      <c r="L449" s="23"/>
      <c r="M449" s="23"/>
    </row>
    <row r="450" ht="15.75" customHeight="1">
      <c r="A450" s="23"/>
      <c r="B450" s="24"/>
      <c r="C450" s="25"/>
      <c r="D450" s="26"/>
      <c r="E450" s="26"/>
      <c r="F450" s="26"/>
      <c r="G450" s="27"/>
      <c r="H450" s="27"/>
      <c r="I450" s="27"/>
      <c r="J450" s="27"/>
      <c r="K450" s="27"/>
      <c r="L450" s="23"/>
      <c r="M450" s="23"/>
    </row>
    <row r="451" ht="15.75" customHeight="1">
      <c r="A451" s="23"/>
      <c r="B451" s="24"/>
      <c r="C451" s="25"/>
      <c r="D451" s="26"/>
      <c r="E451" s="26"/>
      <c r="F451" s="26"/>
      <c r="G451" s="27"/>
      <c r="H451" s="27"/>
      <c r="I451" s="27"/>
      <c r="J451" s="27"/>
      <c r="K451" s="27"/>
      <c r="L451" s="23"/>
      <c r="M451" s="23"/>
    </row>
    <row r="452" ht="15.75" customHeight="1">
      <c r="A452" s="23"/>
      <c r="B452" s="24"/>
      <c r="C452" s="25"/>
      <c r="D452" s="26"/>
      <c r="E452" s="26"/>
      <c r="F452" s="26"/>
      <c r="G452" s="27"/>
      <c r="H452" s="27"/>
      <c r="I452" s="27"/>
      <c r="J452" s="27"/>
      <c r="K452" s="27"/>
      <c r="L452" s="23"/>
      <c r="M452" s="23"/>
    </row>
    <row r="453" ht="15.75" customHeight="1">
      <c r="A453" s="23"/>
      <c r="B453" s="24"/>
      <c r="C453" s="25"/>
      <c r="D453" s="26"/>
      <c r="E453" s="26"/>
      <c r="F453" s="26"/>
      <c r="G453" s="27"/>
      <c r="H453" s="27"/>
      <c r="I453" s="27"/>
      <c r="J453" s="27"/>
      <c r="K453" s="27"/>
      <c r="L453" s="23"/>
      <c r="M453" s="23"/>
    </row>
    <row r="454" ht="15.75" customHeight="1">
      <c r="A454" s="23"/>
      <c r="B454" s="24"/>
      <c r="C454" s="25"/>
      <c r="D454" s="26"/>
      <c r="E454" s="26"/>
      <c r="F454" s="26"/>
      <c r="G454" s="27"/>
      <c r="H454" s="27"/>
      <c r="I454" s="27"/>
      <c r="J454" s="27"/>
      <c r="K454" s="27"/>
      <c r="L454" s="23"/>
      <c r="M454" s="23"/>
    </row>
    <row r="455" ht="15.75" customHeight="1">
      <c r="A455" s="23"/>
      <c r="B455" s="24"/>
      <c r="C455" s="25"/>
      <c r="D455" s="26"/>
      <c r="E455" s="26"/>
      <c r="F455" s="26"/>
      <c r="G455" s="27"/>
      <c r="H455" s="27"/>
      <c r="I455" s="27"/>
      <c r="J455" s="27"/>
      <c r="K455" s="27"/>
      <c r="L455" s="23"/>
      <c r="M455" s="23"/>
    </row>
    <row r="456" ht="15.75" customHeight="1">
      <c r="A456" s="23"/>
      <c r="B456" s="24"/>
      <c r="C456" s="25"/>
      <c r="D456" s="26"/>
      <c r="E456" s="26"/>
      <c r="F456" s="26"/>
      <c r="G456" s="27"/>
      <c r="H456" s="27"/>
      <c r="I456" s="27"/>
      <c r="J456" s="27"/>
      <c r="K456" s="27"/>
      <c r="L456" s="23"/>
      <c r="M456" s="23"/>
    </row>
    <row r="457" ht="15.75" customHeight="1">
      <c r="A457" s="23"/>
      <c r="B457" s="24"/>
      <c r="C457" s="25"/>
      <c r="D457" s="26"/>
      <c r="E457" s="26"/>
      <c r="F457" s="26"/>
      <c r="G457" s="27"/>
      <c r="H457" s="27"/>
      <c r="I457" s="27"/>
      <c r="J457" s="27"/>
      <c r="K457" s="27"/>
      <c r="L457" s="23"/>
      <c r="M457" s="23"/>
    </row>
    <row r="458" ht="15.75" customHeight="1">
      <c r="A458" s="23"/>
      <c r="B458" s="24"/>
      <c r="C458" s="25"/>
      <c r="D458" s="26"/>
      <c r="E458" s="26"/>
      <c r="F458" s="26"/>
      <c r="G458" s="27"/>
      <c r="H458" s="27"/>
      <c r="I458" s="27"/>
      <c r="J458" s="27"/>
      <c r="K458" s="27"/>
      <c r="L458" s="23"/>
      <c r="M458" s="23"/>
    </row>
    <row r="459" ht="15.75" customHeight="1">
      <c r="A459" s="23"/>
      <c r="B459" s="24"/>
      <c r="C459" s="25"/>
      <c r="D459" s="26"/>
      <c r="E459" s="26"/>
      <c r="F459" s="26"/>
      <c r="G459" s="27"/>
      <c r="H459" s="27"/>
      <c r="I459" s="27"/>
      <c r="J459" s="27"/>
      <c r="K459" s="27"/>
      <c r="L459" s="23"/>
      <c r="M459" s="23"/>
    </row>
    <row r="460" ht="15.75" customHeight="1">
      <c r="A460" s="23"/>
      <c r="B460" s="24"/>
      <c r="C460" s="25"/>
      <c r="D460" s="26"/>
      <c r="E460" s="26"/>
      <c r="F460" s="26"/>
      <c r="G460" s="27"/>
      <c r="H460" s="27"/>
      <c r="I460" s="27"/>
      <c r="J460" s="27"/>
      <c r="K460" s="27"/>
      <c r="L460" s="23"/>
      <c r="M460" s="23"/>
    </row>
    <row r="461" ht="15.75" customHeight="1">
      <c r="A461" s="23"/>
      <c r="B461" s="24"/>
      <c r="C461" s="25"/>
      <c r="D461" s="26"/>
      <c r="E461" s="26"/>
      <c r="F461" s="26"/>
      <c r="G461" s="27"/>
      <c r="H461" s="27"/>
      <c r="I461" s="27"/>
      <c r="J461" s="27"/>
      <c r="K461" s="27"/>
      <c r="L461" s="23"/>
      <c r="M461" s="23"/>
    </row>
    <row r="462" ht="15.75" customHeight="1">
      <c r="A462" s="23"/>
      <c r="B462" s="24"/>
      <c r="C462" s="25"/>
      <c r="D462" s="26"/>
      <c r="E462" s="26"/>
      <c r="F462" s="26"/>
      <c r="G462" s="27"/>
      <c r="H462" s="27"/>
      <c r="I462" s="27"/>
      <c r="J462" s="27"/>
      <c r="K462" s="27"/>
      <c r="L462" s="23"/>
      <c r="M462" s="23"/>
    </row>
    <row r="463" ht="15.75" customHeight="1">
      <c r="A463" s="23"/>
      <c r="B463" s="24"/>
      <c r="C463" s="25"/>
      <c r="D463" s="26"/>
      <c r="E463" s="26"/>
      <c r="F463" s="26"/>
      <c r="G463" s="27"/>
      <c r="H463" s="27"/>
      <c r="I463" s="27"/>
      <c r="J463" s="27"/>
      <c r="K463" s="27"/>
      <c r="L463" s="23"/>
      <c r="M463" s="23"/>
    </row>
    <row r="464" ht="15.75" customHeight="1">
      <c r="A464" s="23"/>
      <c r="B464" s="24"/>
      <c r="C464" s="25"/>
      <c r="D464" s="26"/>
      <c r="E464" s="26"/>
      <c r="F464" s="26"/>
      <c r="G464" s="27"/>
      <c r="H464" s="27"/>
      <c r="I464" s="27"/>
      <c r="J464" s="27"/>
      <c r="K464" s="27"/>
      <c r="L464" s="23"/>
      <c r="M464" s="23"/>
    </row>
    <row r="465" ht="15.75" customHeight="1">
      <c r="A465" s="23"/>
      <c r="B465" s="24"/>
      <c r="C465" s="25"/>
      <c r="D465" s="26"/>
      <c r="E465" s="26"/>
      <c r="F465" s="26"/>
      <c r="G465" s="27"/>
      <c r="H465" s="27"/>
      <c r="I465" s="27"/>
      <c r="J465" s="27"/>
      <c r="K465" s="27"/>
      <c r="L465" s="23"/>
      <c r="M465" s="23"/>
    </row>
    <row r="466" ht="15.75" customHeight="1">
      <c r="A466" s="23"/>
      <c r="B466" s="24"/>
      <c r="C466" s="25"/>
      <c r="D466" s="26"/>
      <c r="E466" s="26"/>
      <c r="F466" s="26"/>
      <c r="G466" s="27"/>
      <c r="H466" s="27"/>
      <c r="I466" s="27"/>
      <c r="J466" s="27"/>
      <c r="K466" s="27"/>
      <c r="L466" s="23"/>
      <c r="M466" s="23"/>
    </row>
    <row r="467" ht="15.75" customHeight="1">
      <c r="A467" s="23"/>
      <c r="B467" s="24"/>
      <c r="C467" s="25"/>
      <c r="D467" s="26"/>
      <c r="E467" s="26"/>
      <c r="F467" s="26"/>
      <c r="G467" s="27"/>
      <c r="H467" s="27"/>
      <c r="I467" s="27"/>
      <c r="J467" s="27"/>
      <c r="K467" s="27"/>
      <c r="L467" s="23"/>
      <c r="M467" s="23"/>
    </row>
    <row r="468" ht="15.75" customHeight="1">
      <c r="A468" s="23"/>
      <c r="B468" s="24"/>
      <c r="C468" s="25"/>
      <c r="D468" s="26"/>
      <c r="E468" s="26"/>
      <c r="F468" s="26"/>
      <c r="G468" s="27"/>
      <c r="H468" s="27"/>
      <c r="I468" s="27"/>
      <c r="J468" s="27"/>
      <c r="K468" s="27"/>
      <c r="L468" s="23"/>
      <c r="M468" s="23"/>
    </row>
    <row r="469" ht="15.75" customHeight="1">
      <c r="A469" s="23"/>
      <c r="B469" s="24"/>
      <c r="C469" s="25"/>
      <c r="D469" s="26"/>
      <c r="E469" s="26"/>
      <c r="F469" s="26"/>
      <c r="G469" s="27"/>
      <c r="H469" s="27"/>
      <c r="I469" s="27"/>
      <c r="J469" s="27"/>
      <c r="K469" s="27"/>
      <c r="L469" s="23"/>
      <c r="M469" s="23"/>
    </row>
    <row r="470" ht="15.75" customHeight="1">
      <c r="A470" s="23"/>
      <c r="B470" s="24"/>
      <c r="C470" s="25"/>
      <c r="D470" s="26"/>
      <c r="E470" s="26"/>
      <c r="F470" s="26"/>
      <c r="G470" s="27"/>
      <c r="H470" s="27"/>
      <c r="I470" s="27"/>
      <c r="J470" s="27"/>
      <c r="K470" s="27"/>
      <c r="L470" s="23"/>
      <c r="M470" s="23"/>
    </row>
    <row r="471" ht="15.75" customHeight="1">
      <c r="A471" s="23"/>
      <c r="B471" s="24"/>
      <c r="C471" s="25"/>
      <c r="D471" s="26"/>
      <c r="E471" s="26"/>
      <c r="F471" s="26"/>
      <c r="G471" s="27"/>
      <c r="H471" s="27"/>
      <c r="I471" s="27"/>
      <c r="J471" s="27"/>
      <c r="K471" s="27"/>
      <c r="L471" s="23"/>
      <c r="M471" s="23"/>
    </row>
    <row r="472" ht="15.75" customHeight="1">
      <c r="A472" s="23"/>
      <c r="B472" s="24"/>
      <c r="C472" s="25"/>
      <c r="D472" s="26"/>
      <c r="E472" s="26"/>
      <c r="F472" s="26"/>
      <c r="G472" s="27"/>
      <c r="H472" s="27"/>
      <c r="I472" s="27"/>
      <c r="J472" s="27"/>
      <c r="K472" s="27"/>
      <c r="L472" s="23"/>
      <c r="M472" s="23"/>
    </row>
    <row r="473" ht="15.75" customHeight="1">
      <c r="A473" s="23"/>
      <c r="B473" s="24"/>
      <c r="C473" s="25"/>
      <c r="D473" s="26"/>
      <c r="E473" s="26"/>
      <c r="F473" s="26"/>
      <c r="G473" s="27"/>
      <c r="H473" s="27"/>
      <c r="I473" s="27"/>
      <c r="J473" s="27"/>
      <c r="K473" s="27"/>
      <c r="L473" s="23"/>
      <c r="M473" s="23"/>
    </row>
    <row r="474" ht="15.75" customHeight="1">
      <c r="A474" s="23"/>
      <c r="B474" s="24"/>
      <c r="C474" s="25"/>
      <c r="D474" s="26"/>
      <c r="E474" s="26"/>
      <c r="F474" s="26"/>
      <c r="G474" s="27"/>
      <c r="H474" s="27"/>
      <c r="I474" s="27"/>
      <c r="J474" s="27"/>
      <c r="K474" s="27"/>
      <c r="L474" s="23"/>
      <c r="M474" s="23"/>
    </row>
    <row r="475" ht="15.75" customHeight="1">
      <c r="A475" s="23"/>
      <c r="B475" s="24"/>
      <c r="C475" s="25"/>
      <c r="D475" s="26"/>
      <c r="E475" s="26"/>
      <c r="F475" s="26"/>
      <c r="G475" s="27"/>
      <c r="H475" s="27"/>
      <c r="I475" s="27"/>
      <c r="J475" s="27"/>
      <c r="K475" s="27"/>
      <c r="L475" s="23"/>
      <c r="M475" s="23"/>
    </row>
    <row r="476" ht="15.75" customHeight="1">
      <c r="A476" s="23"/>
      <c r="B476" s="24"/>
      <c r="C476" s="25"/>
      <c r="D476" s="26"/>
      <c r="E476" s="26"/>
      <c r="F476" s="26"/>
      <c r="G476" s="27"/>
      <c r="H476" s="27"/>
      <c r="I476" s="27"/>
      <c r="J476" s="27"/>
      <c r="K476" s="27"/>
      <c r="L476" s="23"/>
      <c r="M476" s="23"/>
    </row>
    <row r="477" ht="15.75" customHeight="1">
      <c r="A477" s="23"/>
      <c r="B477" s="24"/>
      <c r="C477" s="25"/>
      <c r="D477" s="26"/>
      <c r="E477" s="26"/>
      <c r="F477" s="26"/>
      <c r="G477" s="27"/>
      <c r="H477" s="27"/>
      <c r="I477" s="27"/>
      <c r="J477" s="27"/>
      <c r="K477" s="27"/>
      <c r="L477" s="23"/>
      <c r="M477" s="23"/>
    </row>
    <row r="478" ht="15.75" customHeight="1">
      <c r="A478" s="23"/>
      <c r="B478" s="24"/>
      <c r="C478" s="25"/>
      <c r="D478" s="26"/>
      <c r="E478" s="26"/>
      <c r="F478" s="26"/>
      <c r="G478" s="27"/>
      <c r="H478" s="27"/>
      <c r="I478" s="27"/>
      <c r="J478" s="27"/>
      <c r="K478" s="27"/>
      <c r="L478" s="23"/>
      <c r="M478" s="23"/>
    </row>
    <row r="479" ht="15.75" customHeight="1">
      <c r="A479" s="23"/>
      <c r="B479" s="24"/>
      <c r="C479" s="25"/>
      <c r="D479" s="26"/>
      <c r="E479" s="26"/>
      <c r="F479" s="26"/>
      <c r="G479" s="27"/>
      <c r="H479" s="27"/>
      <c r="I479" s="27"/>
      <c r="J479" s="27"/>
      <c r="K479" s="27"/>
      <c r="L479" s="23"/>
      <c r="M479" s="23"/>
    </row>
    <row r="480" ht="15.75" customHeight="1">
      <c r="A480" s="23"/>
      <c r="B480" s="24"/>
      <c r="C480" s="25"/>
      <c r="D480" s="26"/>
      <c r="E480" s="26"/>
      <c r="F480" s="26"/>
      <c r="G480" s="27"/>
      <c r="H480" s="27"/>
      <c r="I480" s="27"/>
      <c r="J480" s="27"/>
      <c r="K480" s="27"/>
      <c r="L480" s="23"/>
      <c r="M480" s="23"/>
    </row>
    <row r="481" ht="15.75" customHeight="1">
      <c r="A481" s="23"/>
      <c r="B481" s="24"/>
      <c r="C481" s="25"/>
      <c r="D481" s="26"/>
      <c r="E481" s="26"/>
      <c r="F481" s="26"/>
      <c r="G481" s="27"/>
      <c r="H481" s="27"/>
      <c r="I481" s="27"/>
      <c r="J481" s="27"/>
      <c r="K481" s="27"/>
      <c r="L481" s="23"/>
      <c r="M481" s="23"/>
    </row>
    <row r="482" ht="15.75" customHeight="1">
      <c r="A482" s="23"/>
      <c r="B482" s="24"/>
      <c r="C482" s="25"/>
      <c r="D482" s="26"/>
      <c r="E482" s="26"/>
      <c r="F482" s="26"/>
      <c r="G482" s="27"/>
      <c r="H482" s="27"/>
      <c r="I482" s="27"/>
      <c r="J482" s="27"/>
      <c r="K482" s="27"/>
      <c r="L482" s="23"/>
      <c r="M482" s="23"/>
    </row>
    <row r="483" ht="15.75" customHeight="1">
      <c r="A483" s="23"/>
      <c r="B483" s="24"/>
      <c r="C483" s="25"/>
      <c r="D483" s="26"/>
      <c r="E483" s="26"/>
      <c r="F483" s="26"/>
      <c r="G483" s="27"/>
      <c r="H483" s="27"/>
      <c r="I483" s="27"/>
      <c r="J483" s="27"/>
      <c r="K483" s="27"/>
      <c r="L483" s="23"/>
      <c r="M483" s="23"/>
    </row>
    <row r="484" ht="15.75" customHeight="1">
      <c r="A484" s="23"/>
      <c r="B484" s="24"/>
      <c r="C484" s="25"/>
      <c r="D484" s="26"/>
      <c r="E484" s="26"/>
      <c r="F484" s="26"/>
      <c r="G484" s="27"/>
      <c r="H484" s="27"/>
      <c r="I484" s="27"/>
      <c r="J484" s="27"/>
      <c r="K484" s="27"/>
      <c r="L484" s="23"/>
      <c r="M484" s="23"/>
    </row>
    <row r="485" ht="15.75" customHeight="1">
      <c r="A485" s="23"/>
      <c r="B485" s="24"/>
      <c r="C485" s="25"/>
      <c r="D485" s="26"/>
      <c r="E485" s="26"/>
      <c r="F485" s="26"/>
      <c r="G485" s="27"/>
      <c r="H485" s="27"/>
      <c r="I485" s="27"/>
      <c r="J485" s="27"/>
      <c r="K485" s="27"/>
      <c r="L485" s="23"/>
      <c r="M485" s="23"/>
    </row>
    <row r="486" ht="15.75" customHeight="1">
      <c r="A486" s="23"/>
      <c r="B486" s="24"/>
      <c r="C486" s="25"/>
      <c r="D486" s="26"/>
      <c r="E486" s="26"/>
      <c r="F486" s="26"/>
      <c r="G486" s="27"/>
      <c r="H486" s="27"/>
      <c r="I486" s="27"/>
      <c r="J486" s="27"/>
      <c r="K486" s="27"/>
      <c r="L486" s="23"/>
      <c r="M486" s="23"/>
    </row>
    <row r="487" ht="15.75" customHeight="1">
      <c r="A487" s="23"/>
      <c r="B487" s="24"/>
      <c r="C487" s="25"/>
      <c r="D487" s="26"/>
      <c r="E487" s="26"/>
      <c r="F487" s="26"/>
      <c r="G487" s="27"/>
      <c r="H487" s="27"/>
      <c r="I487" s="27"/>
      <c r="J487" s="27"/>
      <c r="K487" s="27"/>
      <c r="L487" s="23"/>
      <c r="M487" s="23"/>
    </row>
    <row r="488" ht="15.75" customHeight="1">
      <c r="A488" s="23"/>
      <c r="B488" s="24"/>
      <c r="C488" s="25"/>
      <c r="D488" s="26"/>
      <c r="E488" s="26"/>
      <c r="F488" s="26"/>
      <c r="G488" s="27"/>
      <c r="H488" s="27"/>
      <c r="I488" s="27"/>
      <c r="J488" s="27"/>
      <c r="K488" s="27"/>
      <c r="L488" s="23"/>
      <c r="M488" s="23"/>
    </row>
    <row r="489" ht="15.75" customHeight="1">
      <c r="A489" s="23"/>
      <c r="B489" s="24"/>
      <c r="C489" s="25"/>
      <c r="D489" s="26"/>
      <c r="E489" s="26"/>
      <c r="F489" s="26"/>
      <c r="G489" s="27"/>
      <c r="H489" s="27"/>
      <c r="I489" s="27"/>
      <c r="J489" s="27"/>
      <c r="K489" s="27"/>
      <c r="L489" s="23"/>
      <c r="M489" s="23"/>
    </row>
    <row r="490" ht="15.75" customHeight="1">
      <c r="A490" s="23"/>
      <c r="B490" s="24"/>
      <c r="C490" s="25"/>
      <c r="D490" s="26"/>
      <c r="E490" s="26"/>
      <c r="F490" s="26"/>
      <c r="G490" s="27"/>
      <c r="H490" s="27"/>
      <c r="I490" s="27"/>
      <c r="J490" s="27"/>
      <c r="K490" s="27"/>
      <c r="L490" s="23"/>
      <c r="M490" s="23"/>
    </row>
    <row r="491" ht="15.75" customHeight="1">
      <c r="A491" s="23"/>
      <c r="B491" s="24"/>
      <c r="C491" s="25"/>
      <c r="D491" s="26"/>
      <c r="E491" s="26"/>
      <c r="F491" s="26"/>
      <c r="G491" s="27"/>
      <c r="H491" s="27"/>
      <c r="I491" s="27"/>
      <c r="J491" s="27"/>
      <c r="K491" s="27"/>
      <c r="L491" s="23"/>
      <c r="M491" s="23"/>
    </row>
    <row r="492" ht="15.75" customHeight="1">
      <c r="A492" s="23"/>
      <c r="B492" s="24"/>
      <c r="C492" s="25"/>
      <c r="D492" s="26"/>
      <c r="E492" s="26"/>
      <c r="F492" s="26"/>
      <c r="G492" s="27"/>
      <c r="H492" s="27"/>
      <c r="I492" s="27"/>
      <c r="J492" s="27"/>
      <c r="K492" s="27"/>
      <c r="L492" s="23"/>
      <c r="M492" s="23"/>
    </row>
    <row r="493" ht="15.75" customHeight="1">
      <c r="A493" s="23"/>
      <c r="B493" s="24"/>
      <c r="C493" s="25"/>
      <c r="D493" s="26"/>
      <c r="E493" s="26"/>
      <c r="F493" s="26"/>
      <c r="G493" s="27"/>
      <c r="H493" s="27"/>
      <c r="I493" s="27"/>
      <c r="J493" s="27"/>
      <c r="K493" s="27"/>
      <c r="L493" s="23"/>
      <c r="M493" s="23"/>
    </row>
    <row r="494" ht="15.75" customHeight="1">
      <c r="A494" s="23"/>
      <c r="B494" s="24"/>
      <c r="C494" s="25"/>
      <c r="D494" s="26"/>
      <c r="E494" s="26"/>
      <c r="F494" s="26"/>
      <c r="G494" s="27"/>
      <c r="H494" s="27"/>
      <c r="I494" s="27"/>
      <c r="J494" s="27"/>
      <c r="K494" s="27"/>
      <c r="L494" s="23"/>
      <c r="M494" s="23"/>
    </row>
    <row r="495" ht="15.75" customHeight="1">
      <c r="A495" s="23"/>
      <c r="B495" s="24"/>
      <c r="C495" s="25"/>
      <c r="D495" s="26"/>
      <c r="E495" s="26"/>
      <c r="F495" s="26"/>
      <c r="G495" s="27"/>
      <c r="H495" s="27"/>
      <c r="I495" s="27"/>
      <c r="J495" s="27"/>
      <c r="K495" s="27"/>
      <c r="L495" s="23"/>
      <c r="M495" s="23"/>
    </row>
    <row r="496" ht="15.75" customHeight="1">
      <c r="A496" s="23"/>
      <c r="B496" s="24"/>
      <c r="C496" s="25"/>
      <c r="D496" s="26"/>
      <c r="E496" s="26"/>
      <c r="F496" s="26"/>
      <c r="G496" s="27"/>
      <c r="H496" s="27"/>
      <c r="I496" s="27"/>
      <c r="J496" s="27"/>
      <c r="K496" s="27"/>
      <c r="L496" s="23"/>
      <c r="M496" s="23"/>
    </row>
    <row r="497" ht="15.75" customHeight="1">
      <c r="A497" s="23"/>
      <c r="B497" s="24"/>
      <c r="C497" s="25"/>
      <c r="D497" s="26"/>
      <c r="E497" s="26"/>
      <c r="F497" s="26"/>
      <c r="G497" s="27"/>
      <c r="H497" s="27"/>
      <c r="I497" s="27"/>
      <c r="J497" s="27"/>
      <c r="K497" s="27"/>
      <c r="L497" s="23"/>
      <c r="M497" s="23"/>
    </row>
    <row r="498" ht="15.75" customHeight="1">
      <c r="A498" s="23"/>
      <c r="B498" s="24"/>
      <c r="C498" s="25"/>
      <c r="D498" s="26"/>
      <c r="E498" s="26"/>
      <c r="F498" s="26"/>
      <c r="G498" s="27"/>
      <c r="H498" s="27"/>
      <c r="I498" s="27"/>
      <c r="J498" s="27"/>
      <c r="K498" s="27"/>
      <c r="L498" s="23"/>
      <c r="M498" s="23"/>
    </row>
    <row r="499" ht="15.75" customHeight="1">
      <c r="A499" s="23"/>
      <c r="B499" s="24"/>
      <c r="C499" s="25"/>
      <c r="D499" s="26"/>
      <c r="E499" s="26"/>
      <c r="F499" s="26"/>
      <c r="G499" s="27"/>
      <c r="H499" s="27"/>
      <c r="I499" s="27"/>
      <c r="J499" s="27"/>
      <c r="K499" s="27"/>
      <c r="L499" s="23"/>
      <c r="M499" s="23"/>
    </row>
    <row r="500" ht="15.75" customHeight="1">
      <c r="A500" s="23"/>
      <c r="B500" s="24"/>
      <c r="C500" s="25"/>
      <c r="D500" s="26"/>
      <c r="E500" s="26"/>
      <c r="F500" s="26"/>
      <c r="G500" s="27"/>
      <c r="H500" s="27"/>
      <c r="I500" s="27"/>
      <c r="J500" s="27"/>
      <c r="K500" s="27"/>
      <c r="L500" s="23"/>
      <c r="M500" s="23"/>
    </row>
    <row r="501" ht="15.75" customHeight="1">
      <c r="A501" s="23"/>
      <c r="B501" s="24"/>
      <c r="C501" s="25"/>
      <c r="D501" s="26"/>
      <c r="E501" s="26"/>
      <c r="F501" s="26"/>
      <c r="G501" s="27"/>
      <c r="H501" s="27"/>
      <c r="I501" s="27"/>
      <c r="J501" s="27"/>
      <c r="K501" s="27"/>
      <c r="L501" s="23"/>
      <c r="M501" s="23"/>
    </row>
    <row r="502" ht="15.75" customHeight="1">
      <c r="A502" s="23"/>
      <c r="B502" s="24"/>
      <c r="C502" s="25"/>
      <c r="D502" s="26"/>
      <c r="E502" s="26"/>
      <c r="F502" s="26"/>
      <c r="G502" s="27"/>
      <c r="H502" s="27"/>
      <c r="I502" s="27"/>
      <c r="J502" s="27"/>
      <c r="K502" s="27"/>
      <c r="L502" s="23"/>
      <c r="M502" s="23"/>
    </row>
    <row r="503" ht="15.75" customHeight="1">
      <c r="A503" s="23"/>
      <c r="B503" s="24"/>
      <c r="C503" s="25"/>
      <c r="D503" s="26"/>
      <c r="E503" s="26"/>
      <c r="F503" s="26"/>
      <c r="G503" s="27"/>
      <c r="H503" s="27"/>
      <c r="I503" s="27"/>
      <c r="J503" s="27"/>
      <c r="K503" s="27"/>
      <c r="L503" s="23"/>
      <c r="M503" s="23"/>
    </row>
    <row r="504" ht="15.75" customHeight="1">
      <c r="A504" s="23"/>
      <c r="B504" s="24"/>
      <c r="C504" s="25"/>
      <c r="D504" s="26"/>
      <c r="E504" s="26"/>
      <c r="F504" s="26"/>
      <c r="G504" s="27"/>
      <c r="H504" s="27"/>
      <c r="I504" s="27"/>
      <c r="J504" s="27"/>
      <c r="K504" s="27"/>
      <c r="L504" s="23"/>
      <c r="M504" s="23"/>
    </row>
    <row r="505" ht="15.75" customHeight="1">
      <c r="A505" s="23"/>
      <c r="B505" s="24"/>
      <c r="C505" s="25"/>
      <c r="D505" s="26"/>
      <c r="E505" s="26"/>
      <c r="F505" s="26"/>
      <c r="G505" s="27"/>
      <c r="H505" s="27"/>
      <c r="I505" s="27"/>
      <c r="J505" s="27"/>
      <c r="K505" s="27"/>
      <c r="L505" s="23"/>
      <c r="M505" s="23"/>
    </row>
    <row r="506" ht="15.75" customHeight="1">
      <c r="A506" s="23"/>
      <c r="B506" s="24"/>
      <c r="C506" s="25"/>
      <c r="D506" s="26"/>
      <c r="E506" s="26"/>
      <c r="F506" s="26"/>
      <c r="G506" s="27"/>
      <c r="H506" s="27"/>
      <c r="I506" s="27"/>
      <c r="J506" s="27"/>
      <c r="K506" s="27"/>
      <c r="L506" s="23"/>
      <c r="M506" s="23"/>
    </row>
    <row r="507" ht="15.75" customHeight="1">
      <c r="A507" s="23"/>
      <c r="B507" s="24"/>
      <c r="C507" s="25"/>
      <c r="D507" s="26"/>
      <c r="E507" s="26"/>
      <c r="F507" s="26"/>
      <c r="G507" s="27"/>
      <c r="H507" s="27"/>
      <c r="I507" s="27"/>
      <c r="J507" s="27"/>
      <c r="K507" s="27"/>
      <c r="L507" s="23"/>
      <c r="M507" s="23"/>
    </row>
    <row r="508" ht="15.75" customHeight="1">
      <c r="A508" s="23"/>
      <c r="B508" s="24"/>
      <c r="C508" s="25"/>
      <c r="D508" s="26"/>
      <c r="E508" s="26"/>
      <c r="F508" s="26"/>
      <c r="G508" s="27"/>
      <c r="H508" s="27"/>
      <c r="I508" s="27"/>
      <c r="J508" s="27"/>
      <c r="K508" s="27"/>
      <c r="L508" s="23"/>
      <c r="M508" s="23"/>
    </row>
    <row r="509" ht="15.75" customHeight="1">
      <c r="A509" s="23"/>
      <c r="B509" s="24"/>
      <c r="C509" s="25"/>
      <c r="D509" s="26"/>
      <c r="E509" s="26"/>
      <c r="F509" s="26"/>
      <c r="G509" s="27"/>
      <c r="H509" s="27"/>
      <c r="I509" s="27"/>
      <c r="J509" s="27"/>
      <c r="K509" s="27"/>
      <c r="L509" s="23"/>
      <c r="M509" s="23"/>
    </row>
    <row r="510" ht="15.75" customHeight="1">
      <c r="A510" s="23"/>
      <c r="B510" s="24"/>
      <c r="C510" s="25"/>
      <c r="D510" s="26"/>
      <c r="E510" s="26"/>
      <c r="F510" s="26"/>
      <c r="G510" s="27"/>
      <c r="H510" s="27"/>
      <c r="I510" s="27"/>
      <c r="J510" s="27"/>
      <c r="K510" s="27"/>
      <c r="L510" s="23"/>
      <c r="M510" s="23"/>
    </row>
    <row r="511" ht="15.75" customHeight="1">
      <c r="A511" s="23"/>
      <c r="B511" s="24"/>
      <c r="C511" s="25"/>
      <c r="D511" s="26"/>
      <c r="E511" s="26"/>
      <c r="F511" s="26"/>
      <c r="G511" s="27"/>
      <c r="H511" s="27"/>
      <c r="I511" s="27"/>
      <c r="J511" s="27"/>
      <c r="K511" s="27"/>
      <c r="L511" s="23"/>
      <c r="M511" s="23"/>
    </row>
    <row r="512" ht="15.75" customHeight="1">
      <c r="A512" s="23"/>
      <c r="B512" s="24"/>
      <c r="C512" s="25"/>
      <c r="D512" s="26"/>
      <c r="E512" s="26"/>
      <c r="F512" s="26"/>
      <c r="G512" s="27"/>
      <c r="H512" s="27"/>
      <c r="I512" s="27"/>
      <c r="J512" s="27"/>
      <c r="K512" s="27"/>
      <c r="L512" s="23"/>
      <c r="M512" s="23"/>
    </row>
    <row r="513" ht="15.75" customHeight="1">
      <c r="A513" s="23"/>
      <c r="B513" s="24"/>
      <c r="C513" s="25"/>
      <c r="D513" s="26"/>
      <c r="E513" s="26"/>
      <c r="F513" s="26"/>
      <c r="G513" s="27"/>
      <c r="H513" s="27"/>
      <c r="I513" s="27"/>
      <c r="J513" s="27"/>
      <c r="K513" s="27"/>
      <c r="L513" s="23"/>
      <c r="M513" s="23"/>
    </row>
    <row r="514" ht="15.75" customHeight="1">
      <c r="A514" s="23"/>
      <c r="B514" s="24"/>
      <c r="C514" s="25"/>
      <c r="D514" s="26"/>
      <c r="E514" s="26"/>
      <c r="F514" s="26"/>
      <c r="G514" s="27"/>
      <c r="H514" s="27"/>
      <c r="I514" s="27"/>
      <c r="J514" s="27"/>
      <c r="K514" s="27"/>
      <c r="L514" s="23"/>
      <c r="M514" s="23"/>
    </row>
    <row r="515" ht="15.75" customHeight="1">
      <c r="A515" s="23"/>
      <c r="B515" s="24"/>
      <c r="C515" s="25"/>
      <c r="D515" s="26"/>
      <c r="E515" s="26"/>
      <c r="F515" s="26"/>
      <c r="G515" s="27"/>
      <c r="H515" s="27"/>
      <c r="I515" s="27"/>
      <c r="J515" s="27"/>
      <c r="K515" s="27"/>
      <c r="L515" s="23"/>
      <c r="M515" s="23"/>
    </row>
    <row r="516" ht="15.75" customHeight="1">
      <c r="A516" s="23"/>
      <c r="B516" s="24"/>
      <c r="C516" s="25"/>
      <c r="D516" s="26"/>
      <c r="E516" s="26"/>
      <c r="F516" s="26"/>
      <c r="G516" s="27"/>
      <c r="H516" s="27"/>
      <c r="I516" s="27"/>
      <c r="J516" s="27"/>
      <c r="K516" s="27"/>
      <c r="L516" s="23"/>
      <c r="M516" s="23"/>
    </row>
    <row r="517" ht="15.75" customHeight="1">
      <c r="A517" s="23"/>
      <c r="B517" s="24"/>
      <c r="C517" s="25"/>
      <c r="D517" s="26"/>
      <c r="E517" s="26"/>
      <c r="F517" s="26"/>
      <c r="G517" s="27"/>
      <c r="H517" s="27"/>
      <c r="I517" s="27"/>
      <c r="J517" s="27"/>
      <c r="K517" s="27"/>
      <c r="L517" s="23"/>
      <c r="M517" s="23"/>
    </row>
    <row r="518" ht="15.75" customHeight="1">
      <c r="A518" s="23"/>
      <c r="B518" s="24"/>
      <c r="C518" s="25"/>
      <c r="D518" s="26"/>
      <c r="E518" s="26"/>
      <c r="F518" s="26"/>
      <c r="G518" s="27"/>
      <c r="H518" s="27"/>
      <c r="I518" s="27"/>
      <c r="J518" s="27"/>
      <c r="K518" s="27"/>
      <c r="L518" s="23"/>
      <c r="M518" s="23"/>
    </row>
    <row r="519" ht="15.75" customHeight="1">
      <c r="A519" s="23"/>
      <c r="B519" s="24"/>
      <c r="C519" s="25"/>
      <c r="D519" s="26"/>
      <c r="E519" s="26"/>
      <c r="F519" s="26"/>
      <c r="G519" s="27"/>
      <c r="H519" s="27"/>
      <c r="I519" s="27"/>
      <c r="J519" s="27"/>
      <c r="K519" s="27"/>
      <c r="L519" s="23"/>
      <c r="M519" s="23"/>
    </row>
    <row r="520" ht="15.75" customHeight="1">
      <c r="A520" s="23"/>
      <c r="B520" s="24"/>
      <c r="C520" s="25"/>
      <c r="D520" s="26"/>
      <c r="E520" s="26"/>
      <c r="F520" s="26"/>
      <c r="G520" s="27"/>
      <c r="H520" s="27"/>
      <c r="I520" s="27"/>
      <c r="J520" s="27"/>
      <c r="K520" s="27"/>
      <c r="L520" s="23"/>
      <c r="M520" s="23"/>
    </row>
    <row r="521" ht="15.75" customHeight="1">
      <c r="A521" s="23"/>
      <c r="B521" s="24"/>
      <c r="C521" s="25"/>
      <c r="D521" s="26"/>
      <c r="E521" s="26"/>
      <c r="F521" s="26"/>
      <c r="G521" s="27"/>
      <c r="H521" s="27"/>
      <c r="I521" s="27"/>
      <c r="J521" s="27"/>
      <c r="K521" s="27"/>
      <c r="L521" s="23"/>
      <c r="M521" s="23"/>
    </row>
    <row r="522" ht="15.75" customHeight="1">
      <c r="A522" s="23"/>
      <c r="B522" s="24"/>
      <c r="C522" s="25"/>
      <c r="D522" s="26"/>
      <c r="E522" s="26"/>
      <c r="F522" s="26"/>
      <c r="G522" s="27"/>
      <c r="H522" s="27"/>
      <c r="I522" s="27"/>
      <c r="J522" s="27"/>
      <c r="K522" s="27"/>
      <c r="L522" s="23"/>
      <c r="M522" s="23"/>
    </row>
    <row r="523" ht="15.75" customHeight="1">
      <c r="A523" s="23"/>
      <c r="B523" s="24"/>
      <c r="C523" s="25"/>
      <c r="D523" s="26"/>
      <c r="E523" s="26"/>
      <c r="F523" s="26"/>
      <c r="G523" s="27"/>
      <c r="H523" s="27"/>
      <c r="I523" s="27"/>
      <c r="J523" s="27"/>
      <c r="K523" s="27"/>
      <c r="L523" s="23"/>
      <c r="M523" s="23"/>
    </row>
    <row r="524" ht="15.75" customHeight="1">
      <c r="A524" s="23"/>
      <c r="B524" s="24"/>
      <c r="C524" s="25"/>
      <c r="D524" s="26"/>
      <c r="E524" s="26"/>
      <c r="F524" s="26"/>
      <c r="G524" s="27"/>
      <c r="H524" s="27"/>
      <c r="I524" s="27"/>
      <c r="J524" s="27"/>
      <c r="K524" s="27"/>
      <c r="L524" s="23"/>
      <c r="M524" s="23"/>
    </row>
    <row r="525" ht="15.75" customHeight="1">
      <c r="A525" s="23"/>
      <c r="B525" s="24"/>
      <c r="C525" s="25"/>
      <c r="D525" s="26"/>
      <c r="E525" s="26"/>
      <c r="F525" s="26"/>
      <c r="G525" s="27"/>
      <c r="H525" s="27"/>
      <c r="I525" s="27"/>
      <c r="J525" s="27"/>
      <c r="K525" s="27"/>
      <c r="L525" s="23"/>
      <c r="M525" s="23"/>
    </row>
    <row r="526" ht="15.75" customHeight="1">
      <c r="A526" s="23"/>
      <c r="B526" s="24"/>
      <c r="C526" s="25"/>
      <c r="D526" s="26"/>
      <c r="E526" s="26"/>
      <c r="F526" s="26"/>
      <c r="G526" s="27"/>
      <c r="H526" s="27"/>
      <c r="I526" s="27"/>
      <c r="J526" s="27"/>
      <c r="K526" s="27"/>
      <c r="L526" s="23"/>
      <c r="M526" s="23"/>
    </row>
    <row r="527" ht="15.75" customHeight="1">
      <c r="A527" s="23"/>
      <c r="B527" s="24"/>
      <c r="C527" s="25"/>
      <c r="D527" s="26"/>
      <c r="E527" s="26"/>
      <c r="F527" s="26"/>
      <c r="G527" s="27"/>
      <c r="H527" s="27"/>
      <c r="I527" s="27"/>
      <c r="J527" s="27"/>
      <c r="K527" s="27"/>
      <c r="L527" s="23"/>
      <c r="M527" s="23"/>
    </row>
    <row r="528" ht="15.75" customHeight="1">
      <c r="A528" s="23"/>
      <c r="B528" s="24"/>
      <c r="C528" s="25"/>
      <c r="D528" s="26"/>
      <c r="E528" s="26"/>
      <c r="F528" s="26"/>
      <c r="G528" s="27"/>
      <c r="H528" s="27"/>
      <c r="I528" s="27"/>
      <c r="J528" s="27"/>
      <c r="K528" s="27"/>
      <c r="L528" s="23"/>
      <c r="M528" s="23"/>
    </row>
    <row r="529" ht="15.75" customHeight="1">
      <c r="A529" s="23"/>
      <c r="B529" s="24"/>
      <c r="C529" s="25"/>
      <c r="D529" s="26"/>
      <c r="E529" s="26"/>
      <c r="F529" s="26"/>
      <c r="G529" s="27"/>
      <c r="H529" s="27"/>
      <c r="I529" s="27"/>
      <c r="J529" s="27"/>
      <c r="K529" s="27"/>
      <c r="L529" s="23"/>
      <c r="M529" s="23"/>
    </row>
    <row r="530" ht="15.75" customHeight="1">
      <c r="A530" s="23"/>
      <c r="B530" s="24"/>
      <c r="C530" s="25"/>
      <c r="D530" s="26"/>
      <c r="E530" s="26"/>
      <c r="F530" s="26"/>
      <c r="G530" s="27"/>
      <c r="H530" s="27"/>
      <c r="I530" s="27"/>
      <c r="J530" s="27"/>
      <c r="K530" s="27"/>
      <c r="L530" s="23"/>
      <c r="M530" s="23"/>
    </row>
    <row r="531" ht="15.75" customHeight="1">
      <c r="A531" s="23"/>
      <c r="B531" s="24"/>
      <c r="C531" s="25"/>
      <c r="D531" s="26"/>
      <c r="E531" s="26"/>
      <c r="F531" s="26"/>
      <c r="G531" s="27"/>
      <c r="H531" s="27"/>
      <c r="I531" s="27"/>
      <c r="J531" s="27"/>
      <c r="K531" s="27"/>
      <c r="L531" s="23"/>
      <c r="M531" s="23"/>
    </row>
    <row r="532" ht="15.75" customHeight="1">
      <c r="A532" s="23"/>
      <c r="B532" s="24"/>
      <c r="C532" s="25"/>
      <c r="D532" s="26"/>
      <c r="E532" s="26"/>
      <c r="F532" s="26"/>
      <c r="G532" s="27"/>
      <c r="H532" s="27"/>
      <c r="I532" s="27"/>
      <c r="J532" s="27"/>
      <c r="K532" s="27"/>
      <c r="L532" s="23"/>
      <c r="M532" s="23"/>
    </row>
    <row r="533" ht="15.75" customHeight="1">
      <c r="A533" s="23"/>
      <c r="B533" s="24"/>
      <c r="C533" s="25"/>
      <c r="D533" s="26"/>
      <c r="E533" s="26"/>
      <c r="F533" s="26"/>
      <c r="G533" s="27"/>
      <c r="H533" s="27"/>
      <c r="I533" s="27"/>
      <c r="J533" s="27"/>
      <c r="K533" s="27"/>
      <c r="L533" s="23"/>
      <c r="M533" s="23"/>
    </row>
    <row r="534" ht="15.75" customHeight="1">
      <c r="A534" s="23"/>
      <c r="B534" s="24"/>
      <c r="C534" s="25"/>
      <c r="D534" s="26"/>
      <c r="E534" s="26"/>
      <c r="F534" s="26"/>
      <c r="G534" s="27"/>
      <c r="H534" s="27"/>
      <c r="I534" s="27"/>
      <c r="J534" s="27"/>
      <c r="K534" s="27"/>
      <c r="L534" s="23"/>
      <c r="M534" s="23"/>
    </row>
    <row r="535" ht="15.75" customHeight="1">
      <c r="A535" s="23"/>
      <c r="B535" s="24"/>
      <c r="C535" s="25"/>
      <c r="D535" s="26"/>
      <c r="E535" s="26"/>
      <c r="F535" s="26"/>
      <c r="G535" s="27"/>
      <c r="H535" s="27"/>
      <c r="I535" s="27"/>
      <c r="J535" s="27"/>
      <c r="K535" s="27"/>
      <c r="L535" s="23"/>
      <c r="M535" s="23"/>
    </row>
    <row r="536" ht="15.75" customHeight="1">
      <c r="A536" s="23"/>
      <c r="B536" s="24"/>
      <c r="C536" s="25"/>
      <c r="D536" s="26"/>
      <c r="E536" s="26"/>
      <c r="F536" s="26"/>
      <c r="G536" s="27"/>
      <c r="H536" s="27"/>
      <c r="I536" s="27"/>
      <c r="J536" s="27"/>
      <c r="K536" s="27"/>
      <c r="L536" s="23"/>
      <c r="M536" s="23"/>
    </row>
    <row r="537" ht="15.75" customHeight="1">
      <c r="A537" s="23"/>
      <c r="B537" s="24"/>
      <c r="C537" s="25"/>
      <c r="D537" s="26"/>
      <c r="E537" s="26"/>
      <c r="F537" s="26"/>
      <c r="G537" s="27"/>
      <c r="H537" s="27"/>
      <c r="I537" s="27"/>
      <c r="J537" s="27"/>
      <c r="K537" s="27"/>
      <c r="L537" s="23"/>
      <c r="M537" s="23"/>
    </row>
    <row r="538" ht="15.75" customHeight="1">
      <c r="A538" s="23"/>
      <c r="B538" s="24"/>
      <c r="C538" s="25"/>
      <c r="D538" s="26"/>
      <c r="E538" s="26"/>
      <c r="F538" s="26"/>
      <c r="G538" s="27"/>
      <c r="H538" s="27"/>
      <c r="I538" s="27"/>
      <c r="J538" s="27"/>
      <c r="K538" s="27"/>
      <c r="L538" s="23"/>
      <c r="M538" s="23"/>
    </row>
    <row r="539" ht="15.75" customHeight="1">
      <c r="A539" s="23"/>
      <c r="B539" s="24"/>
      <c r="C539" s="25"/>
      <c r="D539" s="26"/>
      <c r="E539" s="26"/>
      <c r="F539" s="26"/>
      <c r="G539" s="27"/>
      <c r="H539" s="27"/>
      <c r="I539" s="27"/>
      <c r="J539" s="27"/>
      <c r="K539" s="27"/>
      <c r="L539" s="23"/>
      <c r="M539" s="23"/>
    </row>
    <row r="540" ht="15.75" customHeight="1">
      <c r="A540" s="23"/>
      <c r="B540" s="24"/>
      <c r="C540" s="25"/>
      <c r="D540" s="26"/>
      <c r="E540" s="26"/>
      <c r="F540" s="26"/>
      <c r="G540" s="27"/>
      <c r="H540" s="27"/>
      <c r="I540" s="27"/>
      <c r="J540" s="27"/>
      <c r="K540" s="27"/>
      <c r="L540" s="23"/>
      <c r="M540" s="23"/>
    </row>
    <row r="541" ht="15.75" customHeight="1">
      <c r="A541" s="23"/>
      <c r="B541" s="24"/>
      <c r="C541" s="25"/>
      <c r="D541" s="26"/>
      <c r="E541" s="26"/>
      <c r="F541" s="26"/>
      <c r="G541" s="27"/>
      <c r="H541" s="27"/>
      <c r="I541" s="27"/>
      <c r="J541" s="27"/>
      <c r="K541" s="27"/>
      <c r="L541" s="23"/>
      <c r="M541" s="23"/>
    </row>
    <row r="542" ht="15.75" customHeight="1">
      <c r="A542" s="23"/>
      <c r="B542" s="24"/>
      <c r="C542" s="25"/>
      <c r="D542" s="26"/>
      <c r="E542" s="26"/>
      <c r="F542" s="26"/>
      <c r="G542" s="27"/>
      <c r="H542" s="27"/>
      <c r="I542" s="27"/>
      <c r="J542" s="27"/>
      <c r="K542" s="27"/>
      <c r="L542" s="23"/>
      <c r="M542" s="23"/>
    </row>
    <row r="543" ht="15.75" customHeight="1">
      <c r="A543" s="23"/>
      <c r="B543" s="24"/>
      <c r="C543" s="25"/>
      <c r="D543" s="26"/>
      <c r="E543" s="26"/>
      <c r="F543" s="26"/>
      <c r="G543" s="27"/>
      <c r="H543" s="27"/>
      <c r="I543" s="27"/>
      <c r="J543" s="27"/>
      <c r="K543" s="27"/>
      <c r="L543" s="23"/>
      <c r="M543" s="23"/>
    </row>
    <row r="544" ht="15.75" customHeight="1">
      <c r="A544" s="23"/>
      <c r="B544" s="24"/>
      <c r="C544" s="25"/>
      <c r="D544" s="26"/>
      <c r="E544" s="26"/>
      <c r="F544" s="26"/>
      <c r="G544" s="27"/>
      <c r="H544" s="27"/>
      <c r="I544" s="27"/>
      <c r="J544" s="27"/>
      <c r="K544" s="27"/>
      <c r="L544" s="23"/>
      <c r="M544" s="23"/>
    </row>
    <row r="545" ht="15.75" customHeight="1">
      <c r="A545" s="23"/>
      <c r="B545" s="24"/>
      <c r="C545" s="25"/>
      <c r="D545" s="26"/>
      <c r="E545" s="26"/>
      <c r="F545" s="26"/>
      <c r="G545" s="27"/>
      <c r="H545" s="27"/>
      <c r="I545" s="27"/>
      <c r="J545" s="27"/>
      <c r="K545" s="27"/>
      <c r="L545" s="23"/>
      <c r="M545" s="23"/>
    </row>
    <row r="546" ht="15.75" customHeight="1">
      <c r="A546" s="23"/>
      <c r="B546" s="24"/>
      <c r="C546" s="25"/>
      <c r="D546" s="26"/>
      <c r="E546" s="26"/>
      <c r="F546" s="26"/>
      <c r="G546" s="27"/>
      <c r="H546" s="27"/>
      <c r="I546" s="27"/>
      <c r="J546" s="27"/>
      <c r="K546" s="27"/>
      <c r="L546" s="23"/>
      <c r="M546" s="23"/>
    </row>
    <row r="547" ht="15.75" customHeight="1">
      <c r="A547" s="23"/>
      <c r="B547" s="24"/>
      <c r="C547" s="25"/>
      <c r="D547" s="26"/>
      <c r="E547" s="26"/>
      <c r="F547" s="26"/>
      <c r="G547" s="27"/>
      <c r="H547" s="27"/>
      <c r="I547" s="27"/>
      <c r="J547" s="27"/>
      <c r="K547" s="27"/>
      <c r="L547" s="23"/>
      <c r="M547" s="23"/>
    </row>
    <row r="548" ht="15.75" customHeight="1">
      <c r="A548" s="23"/>
      <c r="B548" s="24"/>
      <c r="C548" s="25"/>
      <c r="D548" s="26"/>
      <c r="E548" s="26"/>
      <c r="F548" s="26"/>
      <c r="G548" s="27"/>
      <c r="H548" s="27"/>
      <c r="I548" s="27"/>
      <c r="J548" s="27"/>
      <c r="K548" s="27"/>
      <c r="L548" s="23"/>
      <c r="M548" s="23"/>
    </row>
    <row r="549" ht="15.75" customHeight="1">
      <c r="A549" s="23"/>
      <c r="B549" s="24"/>
      <c r="C549" s="25"/>
      <c r="D549" s="26"/>
      <c r="E549" s="26"/>
      <c r="F549" s="26"/>
      <c r="G549" s="27"/>
      <c r="H549" s="27"/>
      <c r="I549" s="27"/>
      <c r="J549" s="27"/>
      <c r="K549" s="27"/>
      <c r="L549" s="23"/>
      <c r="M549" s="23"/>
    </row>
    <row r="550" ht="15.75" customHeight="1">
      <c r="A550" s="23"/>
      <c r="B550" s="24"/>
      <c r="C550" s="25"/>
      <c r="D550" s="26"/>
      <c r="E550" s="26"/>
      <c r="F550" s="26"/>
      <c r="G550" s="27"/>
      <c r="H550" s="27"/>
      <c r="I550" s="27"/>
      <c r="J550" s="27"/>
      <c r="K550" s="27"/>
      <c r="L550" s="23"/>
      <c r="M550" s="23"/>
    </row>
    <row r="551" ht="15.75" customHeight="1">
      <c r="A551" s="23"/>
      <c r="B551" s="24"/>
      <c r="C551" s="25"/>
      <c r="D551" s="26"/>
      <c r="E551" s="26"/>
      <c r="F551" s="26"/>
      <c r="G551" s="27"/>
      <c r="H551" s="27"/>
      <c r="I551" s="27"/>
      <c r="J551" s="27"/>
      <c r="K551" s="27"/>
      <c r="L551" s="23"/>
      <c r="M551" s="23"/>
    </row>
    <row r="552" ht="15.75" customHeight="1">
      <c r="A552" s="23"/>
      <c r="B552" s="24"/>
      <c r="C552" s="25"/>
      <c r="D552" s="26"/>
      <c r="E552" s="26"/>
      <c r="F552" s="26"/>
      <c r="G552" s="27"/>
      <c r="H552" s="27"/>
      <c r="I552" s="27"/>
      <c r="J552" s="27"/>
      <c r="K552" s="27"/>
      <c r="L552" s="23"/>
      <c r="M552" s="23"/>
    </row>
    <row r="553" ht="15.75" customHeight="1">
      <c r="A553" s="23"/>
      <c r="B553" s="24"/>
      <c r="C553" s="25"/>
      <c r="D553" s="26"/>
      <c r="E553" s="26"/>
      <c r="F553" s="26"/>
      <c r="G553" s="27"/>
      <c r="H553" s="27"/>
      <c r="I553" s="27"/>
      <c r="J553" s="27"/>
      <c r="K553" s="27"/>
      <c r="L553" s="23"/>
      <c r="M553" s="23"/>
    </row>
    <row r="554" ht="15.75" customHeight="1">
      <c r="A554" s="23"/>
      <c r="B554" s="24"/>
      <c r="C554" s="25"/>
      <c r="D554" s="26"/>
      <c r="E554" s="26"/>
      <c r="F554" s="26"/>
      <c r="G554" s="27"/>
      <c r="H554" s="27"/>
      <c r="I554" s="27"/>
      <c r="J554" s="27"/>
      <c r="K554" s="27"/>
      <c r="L554" s="23"/>
      <c r="M554" s="23"/>
    </row>
    <row r="555" ht="15.75" customHeight="1">
      <c r="A555" s="23"/>
      <c r="B555" s="24"/>
      <c r="C555" s="25"/>
      <c r="D555" s="26"/>
      <c r="E555" s="26"/>
      <c r="F555" s="26"/>
      <c r="G555" s="27"/>
      <c r="H555" s="27"/>
      <c r="I555" s="27"/>
      <c r="J555" s="27"/>
      <c r="K555" s="27"/>
      <c r="L555" s="23"/>
      <c r="M555" s="23"/>
    </row>
    <row r="556" ht="15.75" customHeight="1">
      <c r="A556" s="23"/>
      <c r="B556" s="24"/>
      <c r="C556" s="25"/>
      <c r="D556" s="26"/>
      <c r="E556" s="26"/>
      <c r="F556" s="26"/>
      <c r="G556" s="27"/>
      <c r="H556" s="27"/>
      <c r="I556" s="27"/>
      <c r="J556" s="27"/>
      <c r="K556" s="27"/>
      <c r="L556" s="23"/>
      <c r="M556" s="23"/>
    </row>
    <row r="557" ht="15.75" customHeight="1">
      <c r="A557" s="23"/>
      <c r="B557" s="24"/>
      <c r="C557" s="25"/>
      <c r="D557" s="26"/>
      <c r="E557" s="26"/>
      <c r="F557" s="26"/>
      <c r="G557" s="27"/>
      <c r="H557" s="27"/>
      <c r="I557" s="27"/>
      <c r="J557" s="27"/>
      <c r="K557" s="27"/>
      <c r="L557" s="23"/>
      <c r="M557" s="23"/>
    </row>
    <row r="558" ht="15.75" customHeight="1">
      <c r="A558" s="23"/>
      <c r="B558" s="24"/>
      <c r="C558" s="25"/>
      <c r="D558" s="26"/>
      <c r="E558" s="26"/>
      <c r="F558" s="26"/>
      <c r="G558" s="27"/>
      <c r="H558" s="27"/>
      <c r="I558" s="27"/>
      <c r="J558" s="27"/>
      <c r="K558" s="27"/>
      <c r="L558" s="23"/>
      <c r="M558" s="23"/>
    </row>
    <row r="559" ht="15.75" customHeight="1">
      <c r="A559" s="23"/>
      <c r="B559" s="24"/>
      <c r="C559" s="25"/>
      <c r="D559" s="26"/>
      <c r="E559" s="26"/>
      <c r="F559" s="26"/>
      <c r="G559" s="27"/>
      <c r="H559" s="27"/>
      <c r="I559" s="27"/>
      <c r="J559" s="27"/>
      <c r="K559" s="27"/>
      <c r="L559" s="23"/>
      <c r="M559" s="23"/>
    </row>
    <row r="560" ht="15.75" customHeight="1">
      <c r="A560" s="23"/>
      <c r="B560" s="24"/>
      <c r="C560" s="25"/>
      <c r="D560" s="26"/>
      <c r="E560" s="26"/>
      <c r="F560" s="26"/>
      <c r="G560" s="27"/>
      <c r="H560" s="27"/>
      <c r="I560" s="27"/>
      <c r="J560" s="27"/>
      <c r="K560" s="27"/>
      <c r="L560" s="23"/>
      <c r="M560" s="23"/>
    </row>
    <row r="561" ht="15.75" customHeight="1">
      <c r="A561" s="23"/>
      <c r="B561" s="24"/>
      <c r="C561" s="25"/>
      <c r="D561" s="26"/>
      <c r="E561" s="26"/>
      <c r="F561" s="26"/>
      <c r="G561" s="27"/>
      <c r="H561" s="27"/>
      <c r="I561" s="27"/>
      <c r="J561" s="27"/>
      <c r="K561" s="27"/>
      <c r="L561" s="23"/>
      <c r="M561" s="23"/>
    </row>
    <row r="562" ht="15.75" customHeight="1">
      <c r="A562" s="23"/>
      <c r="B562" s="24"/>
      <c r="C562" s="25"/>
      <c r="D562" s="26"/>
      <c r="E562" s="26"/>
      <c r="F562" s="26"/>
      <c r="G562" s="27"/>
      <c r="H562" s="27"/>
      <c r="I562" s="27"/>
      <c r="J562" s="27"/>
      <c r="K562" s="27"/>
      <c r="L562" s="23"/>
      <c r="M562" s="23"/>
    </row>
    <row r="563" ht="15.75" customHeight="1">
      <c r="A563" s="23"/>
      <c r="B563" s="24"/>
      <c r="C563" s="25"/>
      <c r="D563" s="26"/>
      <c r="E563" s="26"/>
      <c r="F563" s="26"/>
      <c r="G563" s="27"/>
      <c r="H563" s="27"/>
      <c r="I563" s="27"/>
      <c r="J563" s="27"/>
      <c r="K563" s="27"/>
      <c r="L563" s="23"/>
      <c r="M563" s="23"/>
    </row>
    <row r="564" ht="15.75" customHeight="1">
      <c r="A564" s="23"/>
      <c r="B564" s="24"/>
      <c r="C564" s="25"/>
      <c r="D564" s="26"/>
      <c r="E564" s="26"/>
      <c r="F564" s="26"/>
      <c r="G564" s="27"/>
      <c r="H564" s="27"/>
      <c r="I564" s="27"/>
      <c r="J564" s="27"/>
      <c r="K564" s="27"/>
      <c r="L564" s="23"/>
      <c r="M564" s="23"/>
    </row>
    <row r="565" ht="15.75" customHeight="1">
      <c r="A565" s="23"/>
      <c r="B565" s="24"/>
      <c r="C565" s="25"/>
      <c r="D565" s="26"/>
      <c r="E565" s="26"/>
      <c r="F565" s="26"/>
      <c r="G565" s="27"/>
      <c r="H565" s="27"/>
      <c r="I565" s="27"/>
      <c r="J565" s="27"/>
      <c r="K565" s="27"/>
      <c r="L565" s="23"/>
      <c r="M565" s="23"/>
    </row>
    <row r="566" ht="15.75" customHeight="1">
      <c r="A566" s="23"/>
      <c r="B566" s="24"/>
      <c r="C566" s="25"/>
      <c r="D566" s="26"/>
      <c r="E566" s="26"/>
      <c r="F566" s="26"/>
      <c r="G566" s="27"/>
      <c r="H566" s="27"/>
      <c r="I566" s="27"/>
      <c r="J566" s="27"/>
      <c r="K566" s="27"/>
      <c r="L566" s="23"/>
      <c r="M566" s="23"/>
    </row>
    <row r="567" ht="15.75" customHeight="1">
      <c r="A567" s="23"/>
      <c r="B567" s="24"/>
      <c r="C567" s="25"/>
      <c r="D567" s="26"/>
      <c r="E567" s="26"/>
      <c r="F567" s="26"/>
      <c r="G567" s="27"/>
      <c r="H567" s="27"/>
      <c r="I567" s="27"/>
      <c r="J567" s="27"/>
      <c r="K567" s="27"/>
      <c r="L567" s="23"/>
      <c r="M567" s="23"/>
    </row>
    <row r="568" ht="15.75" customHeight="1">
      <c r="A568" s="23"/>
      <c r="B568" s="24"/>
      <c r="C568" s="25"/>
      <c r="D568" s="26"/>
      <c r="E568" s="26"/>
      <c r="F568" s="26"/>
      <c r="G568" s="27"/>
      <c r="H568" s="27"/>
      <c r="I568" s="27"/>
      <c r="J568" s="27"/>
      <c r="K568" s="27"/>
      <c r="L568" s="23"/>
      <c r="M568" s="23"/>
    </row>
    <row r="569" ht="15.75" customHeight="1">
      <c r="A569" s="23"/>
      <c r="B569" s="24"/>
      <c r="C569" s="25"/>
      <c r="D569" s="26"/>
      <c r="E569" s="26"/>
      <c r="F569" s="26"/>
      <c r="G569" s="27"/>
      <c r="H569" s="27"/>
      <c r="I569" s="27"/>
      <c r="J569" s="27"/>
      <c r="K569" s="27"/>
      <c r="L569" s="23"/>
      <c r="M569" s="23"/>
    </row>
    <row r="570" ht="15.75" customHeight="1">
      <c r="A570" s="23"/>
      <c r="B570" s="24"/>
      <c r="C570" s="25"/>
      <c r="D570" s="26"/>
      <c r="E570" s="26"/>
      <c r="F570" s="26"/>
      <c r="G570" s="27"/>
      <c r="H570" s="27"/>
      <c r="I570" s="27"/>
      <c r="J570" s="27"/>
      <c r="K570" s="27"/>
      <c r="L570" s="23"/>
      <c r="M570" s="23"/>
    </row>
    <row r="571" ht="15.75" customHeight="1">
      <c r="A571" s="23"/>
      <c r="B571" s="24"/>
      <c r="C571" s="25"/>
      <c r="D571" s="26"/>
      <c r="E571" s="26"/>
      <c r="F571" s="26"/>
      <c r="G571" s="27"/>
      <c r="H571" s="27"/>
      <c r="I571" s="27"/>
      <c r="J571" s="27"/>
      <c r="K571" s="27"/>
      <c r="L571" s="23"/>
      <c r="M571" s="23"/>
    </row>
    <row r="572" ht="15.75" customHeight="1">
      <c r="A572" s="23"/>
      <c r="B572" s="24"/>
      <c r="C572" s="25"/>
      <c r="D572" s="26"/>
      <c r="E572" s="26"/>
      <c r="F572" s="26"/>
      <c r="G572" s="27"/>
      <c r="H572" s="27"/>
      <c r="I572" s="27"/>
      <c r="J572" s="27"/>
      <c r="K572" s="27"/>
      <c r="L572" s="23"/>
      <c r="M572" s="23"/>
    </row>
    <row r="573" ht="15.75" customHeight="1">
      <c r="A573" s="23"/>
      <c r="B573" s="24"/>
      <c r="C573" s="25"/>
      <c r="D573" s="26"/>
      <c r="E573" s="26"/>
      <c r="F573" s="26"/>
      <c r="G573" s="27"/>
      <c r="H573" s="27"/>
      <c r="I573" s="27"/>
      <c r="J573" s="27"/>
      <c r="K573" s="27"/>
      <c r="L573" s="23"/>
      <c r="M573" s="23"/>
    </row>
    <row r="574" ht="15.75" customHeight="1">
      <c r="A574" s="23"/>
      <c r="B574" s="24"/>
      <c r="C574" s="25"/>
      <c r="D574" s="26"/>
      <c r="E574" s="26"/>
      <c r="F574" s="26"/>
      <c r="G574" s="27"/>
      <c r="H574" s="27"/>
      <c r="I574" s="27"/>
      <c r="J574" s="27"/>
      <c r="K574" s="27"/>
      <c r="L574" s="23"/>
      <c r="M574" s="23"/>
    </row>
    <row r="575" ht="15.75" customHeight="1">
      <c r="A575" s="23"/>
      <c r="B575" s="24"/>
      <c r="C575" s="25"/>
      <c r="D575" s="26"/>
      <c r="E575" s="26"/>
      <c r="F575" s="26"/>
      <c r="G575" s="27"/>
      <c r="H575" s="27"/>
      <c r="I575" s="27"/>
      <c r="J575" s="27"/>
      <c r="K575" s="27"/>
      <c r="L575" s="23"/>
      <c r="M575" s="23"/>
    </row>
    <row r="576" ht="15.75" customHeight="1">
      <c r="A576" s="23"/>
      <c r="B576" s="24"/>
      <c r="C576" s="25"/>
      <c r="D576" s="26"/>
      <c r="E576" s="26"/>
      <c r="F576" s="26"/>
      <c r="G576" s="27"/>
      <c r="H576" s="27"/>
      <c r="I576" s="27"/>
      <c r="J576" s="27"/>
      <c r="K576" s="27"/>
      <c r="L576" s="23"/>
      <c r="M576" s="23"/>
    </row>
    <row r="577" ht="15.75" customHeight="1">
      <c r="A577" s="23"/>
      <c r="B577" s="24"/>
      <c r="C577" s="25"/>
      <c r="D577" s="26"/>
      <c r="E577" s="26"/>
      <c r="F577" s="26"/>
      <c r="G577" s="27"/>
      <c r="H577" s="27"/>
      <c r="I577" s="27"/>
      <c r="J577" s="27"/>
      <c r="K577" s="27"/>
      <c r="L577" s="23"/>
      <c r="M577" s="23"/>
    </row>
    <row r="578" ht="15.75" customHeight="1">
      <c r="A578" s="23"/>
      <c r="B578" s="24"/>
      <c r="C578" s="25"/>
      <c r="D578" s="26"/>
      <c r="E578" s="26"/>
      <c r="F578" s="26"/>
      <c r="G578" s="27"/>
      <c r="H578" s="27"/>
      <c r="I578" s="27"/>
      <c r="J578" s="27"/>
      <c r="K578" s="27"/>
      <c r="L578" s="23"/>
      <c r="M578" s="23"/>
    </row>
    <row r="579" ht="15.75" customHeight="1">
      <c r="A579" s="23"/>
      <c r="B579" s="24"/>
      <c r="C579" s="25"/>
      <c r="D579" s="26"/>
      <c r="E579" s="26"/>
      <c r="F579" s="26"/>
      <c r="G579" s="27"/>
      <c r="H579" s="27"/>
      <c r="I579" s="27"/>
      <c r="J579" s="27"/>
      <c r="K579" s="27"/>
      <c r="L579" s="23"/>
      <c r="M579" s="23"/>
    </row>
    <row r="580" ht="15.75" customHeight="1">
      <c r="A580" s="23"/>
      <c r="B580" s="24"/>
      <c r="C580" s="25"/>
      <c r="D580" s="26"/>
      <c r="E580" s="26"/>
      <c r="F580" s="26"/>
      <c r="G580" s="27"/>
      <c r="H580" s="27"/>
      <c r="I580" s="27"/>
      <c r="J580" s="27"/>
      <c r="K580" s="27"/>
      <c r="L580" s="23"/>
      <c r="M580" s="23"/>
    </row>
    <row r="581" ht="15.75" customHeight="1">
      <c r="A581" s="23"/>
      <c r="B581" s="24"/>
      <c r="C581" s="25"/>
      <c r="D581" s="26"/>
      <c r="E581" s="26"/>
      <c r="F581" s="26"/>
      <c r="G581" s="27"/>
      <c r="H581" s="27"/>
      <c r="I581" s="27"/>
      <c r="J581" s="27"/>
      <c r="K581" s="27"/>
      <c r="L581" s="23"/>
      <c r="M581" s="23"/>
    </row>
    <row r="582" ht="15.75" customHeight="1">
      <c r="A582" s="23"/>
      <c r="B582" s="24"/>
      <c r="C582" s="25"/>
      <c r="D582" s="26"/>
      <c r="E582" s="26"/>
      <c r="F582" s="26"/>
      <c r="G582" s="27"/>
      <c r="H582" s="27"/>
      <c r="I582" s="27"/>
      <c r="J582" s="27"/>
      <c r="K582" s="27"/>
      <c r="L582" s="23"/>
      <c r="M582" s="23"/>
    </row>
    <row r="583" ht="15.75" customHeight="1">
      <c r="A583" s="23"/>
      <c r="B583" s="24"/>
      <c r="C583" s="25"/>
      <c r="D583" s="26"/>
      <c r="E583" s="26"/>
      <c r="F583" s="26"/>
      <c r="G583" s="27"/>
      <c r="H583" s="27"/>
      <c r="I583" s="27"/>
      <c r="J583" s="27"/>
      <c r="K583" s="27"/>
      <c r="L583" s="23"/>
      <c r="M583" s="23"/>
    </row>
    <row r="584" ht="15.75" customHeight="1">
      <c r="A584" s="23"/>
      <c r="B584" s="24"/>
      <c r="C584" s="25"/>
      <c r="D584" s="26"/>
      <c r="E584" s="26"/>
      <c r="F584" s="26"/>
      <c r="G584" s="27"/>
      <c r="H584" s="27"/>
      <c r="I584" s="27"/>
      <c r="J584" s="27"/>
      <c r="K584" s="27"/>
      <c r="L584" s="23"/>
      <c r="M584" s="23"/>
    </row>
    <row r="585" ht="15.75" customHeight="1">
      <c r="A585" s="23"/>
      <c r="B585" s="24"/>
      <c r="C585" s="25"/>
      <c r="D585" s="26"/>
      <c r="E585" s="26"/>
      <c r="F585" s="26"/>
      <c r="G585" s="27"/>
      <c r="H585" s="27"/>
      <c r="I585" s="27"/>
      <c r="J585" s="27"/>
      <c r="K585" s="27"/>
      <c r="L585" s="23"/>
      <c r="M585" s="23"/>
    </row>
    <row r="586" ht="15.75" customHeight="1">
      <c r="A586" s="23"/>
      <c r="B586" s="24"/>
      <c r="C586" s="25"/>
      <c r="D586" s="26"/>
      <c r="E586" s="26"/>
      <c r="F586" s="26"/>
      <c r="G586" s="27"/>
      <c r="H586" s="27"/>
      <c r="I586" s="27"/>
      <c r="J586" s="27"/>
      <c r="K586" s="27"/>
      <c r="L586" s="23"/>
      <c r="M586" s="23"/>
    </row>
    <row r="587" ht="15.75" customHeight="1">
      <c r="A587" s="23"/>
      <c r="B587" s="24"/>
      <c r="C587" s="25"/>
      <c r="D587" s="26"/>
      <c r="E587" s="26"/>
      <c r="F587" s="26"/>
      <c r="G587" s="27"/>
      <c r="H587" s="27"/>
      <c r="I587" s="27"/>
      <c r="J587" s="27"/>
      <c r="K587" s="27"/>
      <c r="L587" s="23"/>
      <c r="M587" s="23"/>
    </row>
    <row r="588" ht="15.75" customHeight="1">
      <c r="A588" s="23"/>
      <c r="B588" s="24"/>
      <c r="C588" s="25"/>
      <c r="D588" s="26"/>
      <c r="E588" s="26"/>
      <c r="F588" s="26"/>
      <c r="G588" s="27"/>
      <c r="H588" s="27"/>
      <c r="I588" s="27"/>
      <c r="J588" s="27"/>
      <c r="K588" s="27"/>
      <c r="L588" s="23"/>
      <c r="M588" s="23"/>
    </row>
    <row r="589" ht="15.75" customHeight="1">
      <c r="A589" s="23"/>
      <c r="B589" s="24"/>
      <c r="C589" s="25"/>
      <c r="D589" s="26"/>
      <c r="E589" s="26"/>
      <c r="F589" s="26"/>
      <c r="G589" s="27"/>
      <c r="H589" s="27"/>
      <c r="I589" s="27"/>
      <c r="J589" s="27"/>
      <c r="K589" s="27"/>
      <c r="L589" s="23"/>
      <c r="M589" s="23"/>
    </row>
    <row r="590" ht="15.75" customHeight="1">
      <c r="A590" s="23"/>
      <c r="B590" s="24"/>
      <c r="C590" s="25"/>
      <c r="D590" s="26"/>
      <c r="E590" s="26"/>
      <c r="F590" s="26"/>
      <c r="G590" s="27"/>
      <c r="H590" s="27"/>
      <c r="I590" s="27"/>
      <c r="J590" s="27"/>
      <c r="K590" s="27"/>
      <c r="L590" s="23"/>
      <c r="M590" s="23"/>
    </row>
    <row r="591" ht="15.75" customHeight="1">
      <c r="A591" s="23"/>
      <c r="B591" s="24"/>
      <c r="C591" s="25"/>
      <c r="D591" s="26"/>
      <c r="E591" s="26"/>
      <c r="F591" s="26"/>
      <c r="G591" s="27"/>
      <c r="H591" s="27"/>
      <c r="I591" s="27"/>
      <c r="J591" s="27"/>
      <c r="K591" s="27"/>
      <c r="L591" s="23"/>
      <c r="M591" s="23"/>
    </row>
    <row r="592" ht="15.75" customHeight="1">
      <c r="A592" s="23"/>
      <c r="B592" s="24"/>
      <c r="C592" s="25"/>
      <c r="D592" s="26"/>
      <c r="E592" s="26"/>
      <c r="F592" s="26"/>
      <c r="G592" s="27"/>
      <c r="H592" s="27"/>
      <c r="I592" s="27"/>
      <c r="J592" s="27"/>
      <c r="K592" s="27"/>
      <c r="L592" s="23"/>
      <c r="M592" s="23"/>
    </row>
    <row r="593" ht="15.75" customHeight="1">
      <c r="A593" s="23"/>
      <c r="B593" s="24"/>
      <c r="C593" s="25"/>
      <c r="D593" s="26"/>
      <c r="E593" s="26"/>
      <c r="F593" s="26"/>
      <c r="G593" s="27"/>
      <c r="H593" s="27"/>
      <c r="I593" s="27"/>
      <c r="J593" s="27"/>
      <c r="K593" s="27"/>
      <c r="L593" s="23"/>
      <c r="M593" s="23"/>
    </row>
    <row r="594" ht="15.75" customHeight="1">
      <c r="A594" s="23"/>
      <c r="B594" s="24"/>
      <c r="C594" s="25"/>
      <c r="D594" s="26"/>
      <c r="E594" s="26"/>
      <c r="F594" s="26"/>
      <c r="G594" s="27"/>
      <c r="H594" s="27"/>
      <c r="I594" s="27"/>
      <c r="J594" s="27"/>
      <c r="K594" s="27"/>
      <c r="L594" s="23"/>
      <c r="M594" s="23"/>
    </row>
    <row r="595" ht="15.75" customHeight="1">
      <c r="A595" s="23"/>
      <c r="B595" s="24"/>
      <c r="C595" s="25"/>
      <c r="D595" s="26"/>
      <c r="E595" s="26"/>
      <c r="F595" s="26"/>
      <c r="G595" s="27"/>
      <c r="H595" s="27"/>
      <c r="I595" s="27"/>
      <c r="J595" s="27"/>
      <c r="K595" s="27"/>
      <c r="L595" s="23"/>
      <c r="M595" s="23"/>
    </row>
    <row r="596" ht="15.75" customHeight="1">
      <c r="A596" s="23"/>
      <c r="B596" s="24"/>
      <c r="C596" s="25"/>
      <c r="D596" s="26"/>
      <c r="E596" s="26"/>
      <c r="F596" s="26"/>
      <c r="G596" s="27"/>
      <c r="H596" s="27"/>
      <c r="I596" s="27"/>
      <c r="J596" s="27"/>
      <c r="K596" s="27"/>
      <c r="L596" s="23"/>
      <c r="M596" s="23"/>
    </row>
    <row r="597" ht="15.75" customHeight="1">
      <c r="A597" s="23"/>
      <c r="B597" s="24"/>
      <c r="C597" s="25"/>
      <c r="D597" s="26"/>
      <c r="E597" s="26"/>
      <c r="F597" s="26"/>
      <c r="G597" s="27"/>
      <c r="H597" s="27"/>
      <c r="I597" s="27"/>
      <c r="J597" s="27"/>
      <c r="K597" s="27"/>
      <c r="L597" s="23"/>
      <c r="M597" s="23"/>
    </row>
    <row r="598" ht="15.75" customHeight="1">
      <c r="A598" s="23"/>
      <c r="B598" s="24"/>
      <c r="C598" s="25"/>
      <c r="D598" s="26"/>
      <c r="E598" s="26"/>
      <c r="F598" s="26"/>
      <c r="G598" s="27"/>
      <c r="H598" s="27"/>
      <c r="I598" s="27"/>
      <c r="J598" s="27"/>
      <c r="K598" s="27"/>
      <c r="L598" s="23"/>
      <c r="M598" s="23"/>
    </row>
    <row r="599" ht="15.75" customHeight="1">
      <c r="A599" s="23"/>
      <c r="B599" s="24"/>
      <c r="C599" s="25"/>
      <c r="D599" s="26"/>
      <c r="E599" s="26"/>
      <c r="F599" s="26"/>
      <c r="G599" s="27"/>
      <c r="H599" s="27"/>
      <c r="I599" s="27"/>
      <c r="J599" s="27"/>
      <c r="K599" s="27"/>
      <c r="L599" s="23"/>
      <c r="M599" s="23"/>
    </row>
    <row r="600" ht="15.75" customHeight="1">
      <c r="A600" s="23"/>
      <c r="B600" s="24"/>
      <c r="C600" s="25"/>
      <c r="D600" s="26"/>
      <c r="E600" s="26"/>
      <c r="F600" s="26"/>
      <c r="G600" s="27"/>
      <c r="H600" s="27"/>
      <c r="I600" s="27"/>
      <c r="J600" s="27"/>
      <c r="K600" s="27"/>
      <c r="L600" s="23"/>
      <c r="M600" s="23"/>
    </row>
    <row r="601" ht="15.75" customHeight="1">
      <c r="A601" s="23"/>
      <c r="B601" s="24"/>
      <c r="C601" s="25"/>
      <c r="D601" s="26"/>
      <c r="E601" s="26"/>
      <c r="F601" s="26"/>
      <c r="G601" s="27"/>
      <c r="H601" s="27"/>
      <c r="I601" s="27"/>
      <c r="J601" s="27"/>
      <c r="K601" s="27"/>
      <c r="L601" s="23"/>
      <c r="M601" s="23"/>
    </row>
    <row r="602" ht="15.75" customHeight="1">
      <c r="A602" s="23"/>
      <c r="B602" s="24"/>
      <c r="C602" s="25"/>
      <c r="D602" s="26"/>
      <c r="E602" s="26"/>
      <c r="F602" s="26"/>
      <c r="G602" s="27"/>
      <c r="H602" s="27"/>
      <c r="I602" s="27"/>
      <c r="J602" s="27"/>
      <c r="K602" s="27"/>
      <c r="L602" s="23"/>
      <c r="M602" s="23"/>
    </row>
    <row r="603" ht="15.75" customHeight="1">
      <c r="A603" s="23"/>
      <c r="B603" s="24"/>
      <c r="C603" s="25"/>
      <c r="D603" s="26"/>
      <c r="E603" s="26"/>
      <c r="F603" s="26"/>
      <c r="G603" s="27"/>
      <c r="H603" s="27"/>
      <c r="I603" s="27"/>
      <c r="J603" s="27"/>
      <c r="K603" s="27"/>
      <c r="L603" s="23"/>
      <c r="M603" s="23"/>
    </row>
    <row r="604" ht="15.75" customHeight="1">
      <c r="A604" s="23"/>
      <c r="B604" s="24"/>
      <c r="C604" s="25"/>
      <c r="D604" s="26"/>
      <c r="E604" s="26"/>
      <c r="F604" s="26"/>
      <c r="G604" s="27"/>
      <c r="H604" s="27"/>
      <c r="I604" s="27"/>
      <c r="J604" s="27"/>
      <c r="K604" s="27"/>
      <c r="L604" s="23"/>
      <c r="M604" s="23"/>
    </row>
    <row r="605" ht="15.75" customHeight="1">
      <c r="A605" s="23"/>
      <c r="B605" s="24"/>
      <c r="C605" s="25"/>
      <c r="D605" s="26"/>
      <c r="E605" s="26"/>
      <c r="F605" s="26"/>
      <c r="G605" s="27"/>
      <c r="H605" s="27"/>
      <c r="I605" s="27"/>
      <c r="J605" s="27"/>
      <c r="K605" s="27"/>
      <c r="L605" s="23"/>
      <c r="M605" s="23"/>
    </row>
    <row r="606" ht="15.75" customHeight="1">
      <c r="A606" s="23"/>
      <c r="B606" s="24"/>
      <c r="C606" s="25"/>
      <c r="D606" s="26"/>
      <c r="E606" s="26"/>
      <c r="F606" s="26"/>
      <c r="G606" s="27"/>
      <c r="H606" s="27"/>
      <c r="I606" s="27"/>
      <c r="J606" s="27"/>
      <c r="K606" s="27"/>
      <c r="L606" s="23"/>
      <c r="M606" s="23"/>
    </row>
    <row r="607" ht="15.75" customHeight="1">
      <c r="A607" s="23"/>
      <c r="B607" s="24"/>
      <c r="C607" s="25"/>
      <c r="D607" s="26"/>
      <c r="E607" s="26"/>
      <c r="F607" s="26"/>
      <c r="G607" s="27"/>
      <c r="H607" s="27"/>
      <c r="I607" s="27"/>
      <c r="J607" s="27"/>
      <c r="K607" s="27"/>
      <c r="L607" s="23"/>
      <c r="M607" s="23"/>
    </row>
    <row r="608" ht="15.75" customHeight="1">
      <c r="A608" s="23"/>
      <c r="B608" s="24"/>
      <c r="C608" s="25"/>
      <c r="D608" s="26"/>
      <c r="E608" s="26"/>
      <c r="F608" s="26"/>
      <c r="G608" s="27"/>
      <c r="H608" s="27"/>
      <c r="I608" s="27"/>
      <c r="J608" s="27"/>
      <c r="K608" s="27"/>
      <c r="L608" s="23"/>
      <c r="M608" s="23"/>
    </row>
    <row r="609" ht="15.75" customHeight="1">
      <c r="A609" s="23"/>
      <c r="B609" s="24"/>
      <c r="C609" s="25"/>
      <c r="D609" s="26"/>
      <c r="E609" s="26"/>
      <c r="F609" s="26"/>
      <c r="G609" s="27"/>
      <c r="H609" s="27"/>
      <c r="I609" s="27"/>
      <c r="J609" s="27"/>
      <c r="K609" s="27"/>
      <c r="L609" s="23"/>
      <c r="M609" s="23"/>
    </row>
    <row r="610" ht="15.75" customHeight="1">
      <c r="A610" s="23"/>
      <c r="B610" s="24"/>
      <c r="C610" s="25"/>
      <c r="D610" s="26"/>
      <c r="E610" s="26"/>
      <c r="F610" s="26"/>
      <c r="G610" s="27"/>
      <c r="H610" s="27"/>
      <c r="I610" s="27"/>
      <c r="J610" s="27"/>
      <c r="K610" s="27"/>
      <c r="L610" s="23"/>
      <c r="M610" s="23"/>
    </row>
    <row r="611" ht="15.75" customHeight="1">
      <c r="A611" s="23"/>
      <c r="B611" s="24"/>
      <c r="C611" s="25"/>
      <c r="D611" s="26"/>
      <c r="E611" s="26"/>
      <c r="F611" s="26"/>
      <c r="G611" s="27"/>
      <c r="H611" s="27"/>
      <c r="I611" s="27"/>
      <c r="J611" s="27"/>
      <c r="K611" s="27"/>
      <c r="L611" s="23"/>
      <c r="M611" s="23"/>
    </row>
    <row r="612" ht="15.75" customHeight="1">
      <c r="A612" s="23"/>
      <c r="B612" s="24"/>
      <c r="C612" s="25"/>
      <c r="D612" s="26"/>
      <c r="E612" s="26"/>
      <c r="F612" s="26"/>
      <c r="G612" s="27"/>
      <c r="H612" s="27"/>
      <c r="I612" s="27"/>
      <c r="J612" s="27"/>
      <c r="K612" s="27"/>
      <c r="L612" s="23"/>
      <c r="M612" s="23"/>
    </row>
    <row r="613" ht="15.75" customHeight="1">
      <c r="A613" s="23"/>
      <c r="B613" s="24"/>
      <c r="C613" s="25"/>
      <c r="D613" s="26"/>
      <c r="E613" s="26"/>
      <c r="F613" s="26"/>
      <c r="G613" s="27"/>
      <c r="H613" s="27"/>
      <c r="I613" s="27"/>
      <c r="J613" s="27"/>
      <c r="K613" s="27"/>
      <c r="L613" s="23"/>
      <c r="M613" s="23"/>
    </row>
    <row r="614" ht="15.75" customHeight="1">
      <c r="A614" s="23"/>
      <c r="B614" s="24"/>
      <c r="C614" s="25"/>
      <c r="D614" s="26"/>
      <c r="E614" s="26"/>
      <c r="F614" s="26"/>
      <c r="G614" s="27"/>
      <c r="H614" s="27"/>
      <c r="I614" s="27"/>
      <c r="J614" s="27"/>
      <c r="K614" s="27"/>
      <c r="L614" s="23"/>
      <c r="M614" s="23"/>
    </row>
    <row r="615" ht="15.75" customHeight="1">
      <c r="A615" s="23"/>
      <c r="B615" s="24"/>
      <c r="C615" s="25"/>
      <c r="D615" s="26"/>
      <c r="E615" s="26"/>
      <c r="F615" s="26"/>
      <c r="G615" s="27"/>
      <c r="H615" s="27"/>
      <c r="I615" s="27"/>
      <c r="J615" s="27"/>
      <c r="K615" s="27"/>
      <c r="L615" s="23"/>
      <c r="M615" s="23"/>
    </row>
    <row r="616" ht="15.75" customHeight="1">
      <c r="A616" s="23"/>
      <c r="B616" s="24"/>
      <c r="C616" s="25"/>
      <c r="D616" s="26"/>
      <c r="E616" s="26"/>
      <c r="F616" s="26"/>
      <c r="G616" s="27"/>
      <c r="H616" s="27"/>
      <c r="I616" s="27"/>
      <c r="J616" s="27"/>
      <c r="K616" s="27"/>
      <c r="L616" s="23"/>
      <c r="M616" s="23"/>
    </row>
    <row r="617" ht="15.75" customHeight="1">
      <c r="A617" s="23"/>
      <c r="B617" s="24"/>
      <c r="C617" s="25"/>
      <c r="D617" s="26"/>
      <c r="E617" s="26"/>
      <c r="F617" s="26"/>
      <c r="G617" s="27"/>
      <c r="H617" s="27"/>
      <c r="I617" s="27"/>
      <c r="J617" s="27"/>
      <c r="K617" s="27"/>
      <c r="L617" s="23"/>
      <c r="M617" s="23"/>
    </row>
    <row r="618" ht="15.75" customHeight="1">
      <c r="A618" s="23"/>
      <c r="B618" s="24"/>
      <c r="C618" s="25"/>
      <c r="D618" s="26"/>
      <c r="E618" s="26"/>
      <c r="F618" s="26"/>
      <c r="G618" s="27"/>
      <c r="H618" s="27"/>
      <c r="I618" s="27"/>
      <c r="J618" s="27"/>
      <c r="K618" s="27"/>
      <c r="L618" s="23"/>
      <c r="M618" s="23"/>
    </row>
    <row r="619" ht="15.75" customHeight="1">
      <c r="A619" s="23"/>
      <c r="B619" s="24"/>
      <c r="C619" s="25"/>
      <c r="D619" s="26"/>
      <c r="E619" s="26"/>
      <c r="F619" s="26"/>
      <c r="G619" s="27"/>
      <c r="H619" s="27"/>
      <c r="I619" s="27"/>
      <c r="J619" s="27"/>
      <c r="K619" s="27"/>
      <c r="L619" s="23"/>
      <c r="M619" s="23"/>
    </row>
    <row r="620" ht="15.75" customHeight="1">
      <c r="A620" s="23"/>
      <c r="B620" s="24"/>
      <c r="C620" s="25"/>
      <c r="D620" s="26"/>
      <c r="E620" s="26"/>
      <c r="F620" s="26"/>
      <c r="G620" s="27"/>
      <c r="H620" s="27"/>
      <c r="I620" s="27"/>
      <c r="J620" s="27"/>
      <c r="K620" s="27"/>
      <c r="L620" s="23"/>
      <c r="M620" s="23"/>
    </row>
    <row r="621" ht="15.75" customHeight="1">
      <c r="A621" s="23"/>
      <c r="B621" s="24"/>
      <c r="C621" s="25"/>
      <c r="D621" s="26"/>
      <c r="E621" s="26"/>
      <c r="F621" s="26"/>
      <c r="G621" s="27"/>
      <c r="H621" s="27"/>
      <c r="I621" s="27"/>
      <c r="J621" s="27"/>
      <c r="K621" s="27"/>
      <c r="L621" s="23"/>
      <c r="M621" s="23"/>
    </row>
    <row r="622" ht="15.75" customHeight="1">
      <c r="A622" s="23"/>
      <c r="B622" s="24"/>
      <c r="C622" s="25"/>
      <c r="D622" s="26"/>
      <c r="E622" s="26"/>
      <c r="F622" s="26"/>
      <c r="G622" s="27"/>
      <c r="H622" s="27"/>
      <c r="I622" s="27"/>
      <c r="J622" s="27"/>
      <c r="K622" s="27"/>
      <c r="L622" s="23"/>
      <c r="M622" s="23"/>
    </row>
    <row r="623" ht="15.75" customHeight="1">
      <c r="A623" s="23"/>
      <c r="B623" s="24"/>
      <c r="C623" s="25"/>
      <c r="D623" s="26"/>
      <c r="E623" s="26"/>
      <c r="F623" s="26"/>
      <c r="G623" s="27"/>
      <c r="H623" s="27"/>
      <c r="I623" s="27"/>
      <c r="J623" s="27"/>
      <c r="K623" s="27"/>
      <c r="L623" s="23"/>
      <c r="M623" s="23"/>
    </row>
    <row r="624" ht="15.75" customHeight="1">
      <c r="A624" s="23"/>
      <c r="B624" s="24"/>
      <c r="C624" s="25"/>
      <c r="D624" s="26"/>
      <c r="E624" s="26"/>
      <c r="F624" s="26"/>
      <c r="G624" s="27"/>
      <c r="H624" s="27"/>
      <c r="I624" s="27"/>
      <c r="J624" s="27"/>
      <c r="K624" s="27"/>
      <c r="L624" s="23"/>
      <c r="M624" s="23"/>
    </row>
    <row r="625" ht="15.75" customHeight="1">
      <c r="A625" s="23"/>
      <c r="B625" s="24"/>
      <c r="C625" s="25"/>
      <c r="D625" s="26"/>
      <c r="E625" s="26"/>
      <c r="F625" s="26"/>
      <c r="G625" s="27"/>
      <c r="H625" s="27"/>
      <c r="I625" s="27"/>
      <c r="J625" s="27"/>
      <c r="K625" s="27"/>
      <c r="L625" s="23"/>
      <c r="M625" s="23"/>
    </row>
    <row r="626" ht="15.75" customHeight="1">
      <c r="A626" s="23"/>
      <c r="B626" s="24"/>
      <c r="C626" s="25"/>
      <c r="D626" s="26"/>
      <c r="E626" s="26"/>
      <c r="F626" s="26"/>
      <c r="G626" s="27"/>
      <c r="H626" s="27"/>
      <c r="I626" s="27"/>
      <c r="J626" s="27"/>
      <c r="K626" s="27"/>
      <c r="L626" s="23"/>
      <c r="M626" s="23"/>
    </row>
    <row r="627" ht="15.75" customHeight="1">
      <c r="A627" s="23"/>
      <c r="B627" s="24"/>
      <c r="C627" s="25"/>
      <c r="D627" s="26"/>
      <c r="E627" s="26"/>
      <c r="F627" s="26"/>
      <c r="G627" s="27"/>
      <c r="H627" s="27"/>
      <c r="I627" s="27"/>
      <c r="J627" s="27"/>
      <c r="K627" s="27"/>
      <c r="L627" s="23"/>
      <c r="M627" s="23"/>
    </row>
    <row r="628" ht="15.75" customHeight="1">
      <c r="A628" s="23"/>
      <c r="B628" s="24"/>
      <c r="C628" s="25"/>
      <c r="D628" s="26"/>
      <c r="E628" s="26"/>
      <c r="F628" s="26"/>
      <c r="G628" s="27"/>
      <c r="H628" s="27"/>
      <c r="I628" s="27"/>
      <c r="J628" s="27"/>
      <c r="K628" s="27"/>
      <c r="L628" s="23"/>
      <c r="M628" s="23"/>
    </row>
    <row r="629" ht="15.75" customHeight="1">
      <c r="A629" s="23"/>
      <c r="B629" s="24"/>
      <c r="C629" s="25"/>
      <c r="D629" s="26"/>
      <c r="E629" s="26"/>
      <c r="F629" s="26"/>
      <c r="G629" s="27"/>
      <c r="H629" s="27"/>
      <c r="I629" s="27"/>
      <c r="J629" s="27"/>
      <c r="K629" s="27"/>
      <c r="L629" s="23"/>
      <c r="M629" s="23"/>
    </row>
    <row r="630" ht="15.75" customHeight="1">
      <c r="A630" s="23"/>
      <c r="B630" s="24"/>
      <c r="C630" s="25"/>
      <c r="D630" s="26"/>
      <c r="E630" s="26"/>
      <c r="F630" s="26"/>
      <c r="G630" s="27"/>
      <c r="H630" s="27"/>
      <c r="I630" s="27"/>
      <c r="J630" s="27"/>
      <c r="K630" s="27"/>
      <c r="L630" s="23"/>
      <c r="M630" s="23"/>
    </row>
    <row r="631" ht="15.75" customHeight="1">
      <c r="A631" s="23"/>
      <c r="B631" s="24"/>
      <c r="C631" s="25"/>
      <c r="D631" s="26"/>
      <c r="E631" s="26"/>
      <c r="F631" s="26"/>
      <c r="G631" s="27"/>
      <c r="H631" s="27"/>
      <c r="I631" s="27"/>
      <c r="J631" s="27"/>
      <c r="K631" s="27"/>
      <c r="L631" s="23"/>
      <c r="M631" s="23"/>
    </row>
    <row r="632" ht="15.75" customHeight="1">
      <c r="A632" s="23"/>
      <c r="B632" s="24"/>
      <c r="C632" s="25"/>
      <c r="D632" s="26"/>
      <c r="E632" s="26"/>
      <c r="F632" s="26"/>
      <c r="G632" s="27"/>
      <c r="H632" s="27"/>
      <c r="I632" s="27"/>
      <c r="J632" s="27"/>
      <c r="K632" s="27"/>
      <c r="L632" s="23"/>
      <c r="M632" s="23"/>
    </row>
    <row r="633" ht="15.75" customHeight="1">
      <c r="A633" s="23"/>
      <c r="B633" s="24"/>
      <c r="C633" s="25"/>
      <c r="D633" s="26"/>
      <c r="E633" s="26"/>
      <c r="F633" s="26"/>
      <c r="G633" s="27"/>
      <c r="H633" s="27"/>
      <c r="I633" s="27"/>
      <c r="J633" s="27"/>
      <c r="K633" s="27"/>
      <c r="L633" s="23"/>
      <c r="M633" s="23"/>
    </row>
    <row r="634" ht="15.75" customHeight="1">
      <c r="A634" s="23"/>
      <c r="B634" s="24"/>
      <c r="C634" s="25"/>
      <c r="D634" s="26"/>
      <c r="E634" s="26"/>
      <c r="F634" s="26"/>
      <c r="G634" s="27"/>
      <c r="H634" s="27"/>
      <c r="I634" s="27"/>
      <c r="J634" s="27"/>
      <c r="K634" s="27"/>
      <c r="L634" s="23"/>
      <c r="M634" s="23"/>
    </row>
    <row r="635" ht="15.75" customHeight="1">
      <c r="A635" s="23"/>
      <c r="B635" s="24"/>
      <c r="C635" s="25"/>
      <c r="D635" s="26"/>
      <c r="E635" s="26"/>
      <c r="F635" s="26"/>
      <c r="G635" s="27"/>
      <c r="H635" s="27"/>
      <c r="I635" s="27"/>
      <c r="J635" s="27"/>
      <c r="K635" s="27"/>
      <c r="L635" s="23"/>
      <c r="M635" s="23"/>
    </row>
    <row r="636" ht="15.75" customHeight="1">
      <c r="A636" s="23"/>
      <c r="B636" s="24"/>
      <c r="C636" s="25"/>
      <c r="D636" s="26"/>
      <c r="E636" s="26"/>
      <c r="F636" s="26"/>
      <c r="G636" s="27"/>
      <c r="H636" s="27"/>
      <c r="I636" s="27"/>
      <c r="J636" s="27"/>
      <c r="K636" s="27"/>
      <c r="L636" s="23"/>
      <c r="M636" s="23"/>
    </row>
    <row r="637" ht="15.75" customHeight="1">
      <c r="A637" s="23"/>
      <c r="B637" s="24"/>
      <c r="C637" s="25"/>
      <c r="D637" s="26"/>
      <c r="E637" s="26"/>
      <c r="F637" s="26"/>
      <c r="G637" s="27"/>
      <c r="H637" s="27"/>
      <c r="I637" s="27"/>
      <c r="J637" s="27"/>
      <c r="K637" s="27"/>
      <c r="L637" s="23"/>
      <c r="M637" s="23"/>
    </row>
    <row r="638" ht="15.75" customHeight="1">
      <c r="A638" s="23"/>
      <c r="B638" s="24"/>
      <c r="C638" s="25"/>
      <c r="D638" s="26"/>
      <c r="E638" s="26"/>
      <c r="F638" s="26"/>
      <c r="G638" s="27"/>
      <c r="H638" s="27"/>
      <c r="I638" s="27"/>
      <c r="J638" s="27"/>
      <c r="K638" s="27"/>
      <c r="L638" s="23"/>
      <c r="M638" s="23"/>
    </row>
    <row r="639" ht="15.75" customHeight="1">
      <c r="A639" s="23"/>
      <c r="B639" s="24"/>
      <c r="C639" s="25"/>
      <c r="D639" s="26"/>
      <c r="E639" s="26"/>
      <c r="F639" s="26"/>
      <c r="G639" s="27"/>
      <c r="H639" s="27"/>
      <c r="I639" s="27"/>
      <c r="J639" s="27"/>
      <c r="K639" s="27"/>
      <c r="L639" s="23"/>
      <c r="M639" s="23"/>
    </row>
    <row r="640" ht="15.75" customHeight="1">
      <c r="A640" s="23"/>
      <c r="B640" s="24"/>
      <c r="C640" s="25"/>
      <c r="D640" s="26"/>
      <c r="E640" s="26"/>
      <c r="F640" s="26"/>
      <c r="G640" s="27"/>
      <c r="H640" s="27"/>
      <c r="I640" s="27"/>
      <c r="J640" s="27"/>
      <c r="K640" s="27"/>
      <c r="L640" s="23"/>
      <c r="M640" s="23"/>
    </row>
    <row r="641" ht="15.75" customHeight="1">
      <c r="A641" s="23"/>
      <c r="B641" s="24"/>
      <c r="C641" s="25"/>
      <c r="D641" s="26"/>
      <c r="E641" s="26"/>
      <c r="F641" s="26"/>
      <c r="G641" s="27"/>
      <c r="H641" s="27"/>
      <c r="I641" s="27"/>
      <c r="J641" s="27"/>
      <c r="K641" s="27"/>
      <c r="L641" s="23"/>
      <c r="M641" s="23"/>
    </row>
    <row r="642" ht="15.75" customHeight="1">
      <c r="A642" s="23"/>
      <c r="B642" s="24"/>
      <c r="C642" s="25"/>
      <c r="D642" s="26"/>
      <c r="E642" s="26"/>
      <c r="F642" s="26"/>
      <c r="G642" s="27"/>
      <c r="H642" s="27"/>
      <c r="I642" s="27"/>
      <c r="J642" s="27"/>
      <c r="K642" s="27"/>
      <c r="L642" s="23"/>
      <c r="M642" s="23"/>
    </row>
    <row r="643" ht="15.75" customHeight="1">
      <c r="A643" s="23"/>
      <c r="B643" s="24"/>
      <c r="C643" s="25"/>
      <c r="D643" s="26"/>
      <c r="E643" s="26"/>
      <c r="F643" s="26"/>
      <c r="G643" s="27"/>
      <c r="H643" s="27"/>
      <c r="I643" s="27"/>
      <c r="J643" s="27"/>
      <c r="K643" s="27"/>
      <c r="L643" s="23"/>
      <c r="M643" s="23"/>
    </row>
    <row r="644" ht="15.75" customHeight="1">
      <c r="A644" s="23"/>
      <c r="B644" s="24"/>
      <c r="C644" s="25"/>
      <c r="D644" s="26"/>
      <c r="E644" s="26"/>
      <c r="F644" s="26"/>
      <c r="G644" s="27"/>
      <c r="H644" s="27"/>
      <c r="I644" s="27"/>
      <c r="J644" s="27"/>
      <c r="K644" s="27"/>
      <c r="L644" s="23"/>
      <c r="M644" s="23"/>
    </row>
    <row r="645" ht="15.75" customHeight="1">
      <c r="A645" s="23"/>
      <c r="B645" s="24"/>
      <c r="C645" s="25"/>
      <c r="D645" s="26"/>
      <c r="E645" s="26"/>
      <c r="F645" s="26"/>
      <c r="G645" s="27"/>
      <c r="H645" s="27"/>
      <c r="I645" s="27"/>
      <c r="J645" s="27"/>
      <c r="K645" s="27"/>
      <c r="L645" s="23"/>
      <c r="M645" s="23"/>
    </row>
    <row r="646" ht="15.75" customHeight="1">
      <c r="A646" s="23"/>
      <c r="B646" s="24"/>
      <c r="C646" s="25"/>
      <c r="D646" s="26"/>
      <c r="E646" s="26"/>
      <c r="F646" s="26"/>
      <c r="G646" s="27"/>
      <c r="H646" s="27"/>
      <c r="I646" s="27"/>
      <c r="J646" s="27"/>
      <c r="K646" s="27"/>
      <c r="L646" s="23"/>
      <c r="M646" s="23"/>
    </row>
    <row r="647" ht="15.75" customHeight="1">
      <c r="A647" s="23"/>
      <c r="B647" s="24"/>
      <c r="C647" s="25"/>
      <c r="D647" s="26"/>
      <c r="E647" s="26"/>
      <c r="F647" s="26"/>
      <c r="G647" s="27"/>
      <c r="H647" s="27"/>
      <c r="I647" s="27"/>
      <c r="J647" s="27"/>
      <c r="K647" s="27"/>
      <c r="L647" s="23"/>
      <c r="M647" s="23"/>
    </row>
    <row r="648" ht="15.75" customHeight="1">
      <c r="A648" s="23"/>
      <c r="B648" s="24"/>
      <c r="C648" s="25"/>
      <c r="D648" s="26"/>
      <c r="E648" s="26"/>
      <c r="F648" s="26"/>
      <c r="G648" s="27"/>
      <c r="H648" s="27"/>
      <c r="I648" s="27"/>
      <c r="J648" s="27"/>
      <c r="K648" s="27"/>
      <c r="L648" s="23"/>
      <c r="M648" s="23"/>
    </row>
    <row r="649" ht="15.75" customHeight="1">
      <c r="A649" s="23"/>
      <c r="B649" s="24"/>
      <c r="C649" s="25"/>
      <c r="D649" s="26"/>
      <c r="E649" s="26"/>
      <c r="F649" s="26"/>
      <c r="G649" s="27"/>
      <c r="H649" s="27"/>
      <c r="I649" s="27"/>
      <c r="J649" s="27"/>
      <c r="K649" s="27"/>
      <c r="L649" s="23"/>
      <c r="M649" s="23"/>
    </row>
    <row r="650" ht="15.75" customHeight="1">
      <c r="A650" s="23"/>
      <c r="B650" s="24"/>
      <c r="C650" s="25"/>
      <c r="D650" s="26"/>
      <c r="E650" s="26"/>
      <c r="F650" s="26"/>
      <c r="G650" s="27"/>
      <c r="H650" s="27"/>
      <c r="I650" s="27"/>
      <c r="J650" s="27"/>
      <c r="K650" s="27"/>
      <c r="L650" s="23"/>
      <c r="M650" s="23"/>
    </row>
    <row r="651" ht="15.75" customHeight="1">
      <c r="A651" s="23"/>
      <c r="B651" s="24"/>
      <c r="C651" s="25"/>
      <c r="D651" s="26"/>
      <c r="E651" s="26"/>
      <c r="F651" s="26"/>
      <c r="G651" s="27"/>
      <c r="H651" s="27"/>
      <c r="I651" s="27"/>
      <c r="J651" s="27"/>
      <c r="K651" s="27"/>
      <c r="L651" s="23"/>
      <c r="M651" s="23"/>
    </row>
    <row r="652" ht="15.75" customHeight="1">
      <c r="A652" s="23"/>
      <c r="B652" s="24"/>
      <c r="C652" s="25"/>
      <c r="D652" s="26"/>
      <c r="E652" s="26"/>
      <c r="F652" s="26"/>
      <c r="G652" s="27"/>
      <c r="H652" s="27"/>
      <c r="I652" s="27"/>
      <c r="J652" s="27"/>
      <c r="K652" s="27"/>
      <c r="L652" s="23"/>
      <c r="M652" s="23"/>
    </row>
    <row r="653" ht="15.75" customHeight="1">
      <c r="A653" s="23"/>
      <c r="B653" s="24"/>
      <c r="C653" s="25"/>
      <c r="D653" s="26"/>
      <c r="E653" s="26"/>
      <c r="F653" s="26"/>
      <c r="G653" s="27"/>
      <c r="H653" s="27"/>
      <c r="I653" s="27"/>
      <c r="J653" s="27"/>
      <c r="K653" s="27"/>
      <c r="L653" s="23"/>
      <c r="M653" s="23"/>
    </row>
    <row r="654" ht="15.75" customHeight="1">
      <c r="A654" s="23"/>
      <c r="B654" s="24"/>
      <c r="C654" s="25"/>
      <c r="D654" s="26"/>
      <c r="E654" s="26"/>
      <c r="F654" s="26"/>
      <c r="G654" s="27"/>
      <c r="H654" s="27"/>
      <c r="I654" s="27"/>
      <c r="J654" s="27"/>
      <c r="K654" s="27"/>
      <c r="L654" s="23"/>
      <c r="M654" s="23"/>
    </row>
    <row r="655" ht="15.75" customHeight="1">
      <c r="A655" s="23"/>
      <c r="B655" s="24"/>
      <c r="C655" s="25"/>
      <c r="D655" s="26"/>
      <c r="E655" s="26"/>
      <c r="F655" s="26"/>
      <c r="G655" s="27"/>
      <c r="H655" s="27"/>
      <c r="I655" s="27"/>
      <c r="J655" s="27"/>
      <c r="K655" s="27"/>
      <c r="L655" s="23"/>
      <c r="M655" s="23"/>
    </row>
    <row r="656" ht="15.75" customHeight="1">
      <c r="A656" s="23"/>
      <c r="B656" s="24"/>
      <c r="C656" s="25"/>
      <c r="D656" s="26"/>
      <c r="E656" s="26"/>
      <c r="F656" s="26"/>
      <c r="G656" s="27"/>
      <c r="H656" s="27"/>
      <c r="I656" s="27"/>
      <c r="J656" s="27"/>
      <c r="K656" s="27"/>
      <c r="L656" s="23"/>
      <c r="M656" s="23"/>
    </row>
    <row r="657" ht="15.75" customHeight="1">
      <c r="A657" s="23"/>
      <c r="B657" s="24"/>
      <c r="C657" s="25"/>
      <c r="D657" s="26"/>
      <c r="E657" s="26"/>
      <c r="F657" s="26"/>
      <c r="G657" s="27"/>
      <c r="H657" s="27"/>
      <c r="I657" s="27"/>
      <c r="J657" s="27"/>
      <c r="K657" s="27"/>
      <c r="L657" s="23"/>
      <c r="M657" s="23"/>
    </row>
    <row r="658" ht="15.75" customHeight="1">
      <c r="A658" s="23"/>
      <c r="B658" s="24"/>
      <c r="C658" s="25"/>
      <c r="D658" s="26"/>
      <c r="E658" s="26"/>
      <c r="F658" s="26"/>
      <c r="G658" s="27"/>
      <c r="H658" s="27"/>
      <c r="I658" s="27"/>
      <c r="J658" s="27"/>
      <c r="K658" s="27"/>
      <c r="L658" s="23"/>
      <c r="M658" s="23"/>
    </row>
    <row r="659" ht="15.75" customHeight="1">
      <c r="A659" s="23"/>
      <c r="B659" s="24"/>
      <c r="C659" s="25"/>
      <c r="D659" s="26"/>
      <c r="E659" s="26"/>
      <c r="F659" s="26"/>
      <c r="G659" s="27"/>
      <c r="H659" s="27"/>
      <c r="I659" s="27"/>
      <c r="J659" s="27"/>
      <c r="K659" s="27"/>
      <c r="L659" s="23"/>
      <c r="M659" s="23"/>
    </row>
    <row r="660" ht="15.75" customHeight="1">
      <c r="A660" s="23"/>
      <c r="B660" s="24"/>
      <c r="C660" s="25"/>
      <c r="D660" s="26"/>
      <c r="E660" s="26"/>
      <c r="F660" s="26"/>
      <c r="G660" s="27"/>
      <c r="H660" s="27"/>
      <c r="I660" s="27"/>
      <c r="J660" s="27"/>
      <c r="K660" s="27"/>
      <c r="L660" s="23"/>
      <c r="M660" s="23"/>
    </row>
    <row r="661" ht="15.75" customHeight="1">
      <c r="A661" s="23"/>
      <c r="B661" s="24"/>
      <c r="C661" s="25"/>
      <c r="D661" s="26"/>
      <c r="E661" s="26"/>
      <c r="F661" s="26"/>
      <c r="G661" s="27"/>
      <c r="H661" s="27"/>
      <c r="I661" s="27"/>
      <c r="J661" s="27"/>
      <c r="K661" s="27"/>
      <c r="L661" s="23"/>
      <c r="M661" s="23"/>
    </row>
    <row r="662" ht="15.75" customHeight="1">
      <c r="A662" s="23"/>
      <c r="B662" s="24"/>
      <c r="C662" s="25"/>
      <c r="D662" s="26"/>
      <c r="E662" s="26"/>
      <c r="F662" s="26"/>
      <c r="G662" s="27"/>
      <c r="H662" s="27"/>
      <c r="I662" s="27"/>
      <c r="J662" s="27"/>
      <c r="K662" s="27"/>
      <c r="L662" s="23"/>
      <c r="M662" s="23"/>
    </row>
    <row r="663" ht="15.75" customHeight="1">
      <c r="A663" s="23"/>
      <c r="B663" s="24"/>
      <c r="C663" s="25"/>
      <c r="D663" s="26"/>
      <c r="E663" s="26"/>
      <c r="F663" s="26"/>
      <c r="G663" s="27"/>
      <c r="H663" s="27"/>
      <c r="I663" s="27"/>
      <c r="J663" s="27"/>
      <c r="K663" s="27"/>
      <c r="L663" s="23"/>
      <c r="M663" s="23"/>
    </row>
    <row r="664" ht="15.75" customHeight="1">
      <c r="A664" s="23"/>
      <c r="B664" s="24"/>
      <c r="C664" s="25"/>
      <c r="D664" s="26"/>
      <c r="E664" s="26"/>
      <c r="F664" s="26"/>
      <c r="G664" s="27"/>
      <c r="H664" s="27"/>
      <c r="I664" s="27"/>
      <c r="J664" s="27"/>
      <c r="K664" s="27"/>
      <c r="L664" s="23"/>
      <c r="M664" s="23"/>
    </row>
    <row r="665" ht="15.75" customHeight="1">
      <c r="A665" s="23"/>
      <c r="B665" s="24"/>
      <c r="C665" s="25"/>
      <c r="D665" s="26"/>
      <c r="E665" s="26"/>
      <c r="F665" s="26"/>
      <c r="G665" s="27"/>
      <c r="H665" s="27"/>
      <c r="I665" s="27"/>
      <c r="J665" s="27"/>
      <c r="K665" s="27"/>
      <c r="L665" s="23"/>
      <c r="M665" s="23"/>
    </row>
    <row r="666" ht="15.75" customHeight="1">
      <c r="A666" s="23"/>
      <c r="B666" s="24"/>
      <c r="C666" s="25"/>
      <c r="D666" s="26"/>
      <c r="E666" s="26"/>
      <c r="F666" s="26"/>
      <c r="G666" s="27"/>
      <c r="H666" s="27"/>
      <c r="I666" s="27"/>
      <c r="J666" s="27"/>
      <c r="K666" s="27"/>
      <c r="L666" s="23"/>
      <c r="M666" s="23"/>
    </row>
    <row r="667" ht="15.75" customHeight="1">
      <c r="A667" s="23"/>
      <c r="B667" s="24"/>
      <c r="C667" s="25"/>
      <c r="D667" s="26"/>
      <c r="E667" s="26"/>
      <c r="F667" s="26"/>
      <c r="G667" s="27"/>
      <c r="H667" s="27"/>
      <c r="I667" s="27"/>
      <c r="J667" s="27"/>
      <c r="K667" s="27"/>
      <c r="L667" s="23"/>
      <c r="M667" s="23"/>
    </row>
    <row r="668" ht="15.75" customHeight="1">
      <c r="A668" s="23"/>
      <c r="B668" s="24"/>
      <c r="C668" s="25"/>
      <c r="D668" s="26"/>
      <c r="E668" s="26"/>
      <c r="F668" s="26"/>
      <c r="G668" s="27"/>
      <c r="H668" s="27"/>
      <c r="I668" s="27"/>
      <c r="J668" s="27"/>
      <c r="K668" s="27"/>
      <c r="L668" s="23"/>
      <c r="M668" s="23"/>
    </row>
    <row r="669" ht="15.75" customHeight="1">
      <c r="A669" s="23"/>
      <c r="B669" s="24"/>
      <c r="C669" s="25"/>
      <c r="D669" s="26"/>
      <c r="E669" s="26"/>
      <c r="F669" s="26"/>
      <c r="G669" s="27"/>
      <c r="H669" s="27"/>
      <c r="I669" s="27"/>
      <c r="J669" s="27"/>
      <c r="K669" s="27"/>
      <c r="L669" s="23"/>
      <c r="M669" s="23"/>
    </row>
    <row r="670" ht="15.75" customHeight="1">
      <c r="A670" s="23"/>
      <c r="B670" s="24"/>
      <c r="C670" s="25"/>
      <c r="D670" s="26"/>
      <c r="E670" s="26"/>
      <c r="F670" s="26"/>
      <c r="G670" s="27"/>
      <c r="H670" s="27"/>
      <c r="I670" s="27"/>
      <c r="J670" s="27"/>
      <c r="K670" s="27"/>
      <c r="L670" s="23"/>
      <c r="M670" s="23"/>
    </row>
    <row r="671" ht="15.75" customHeight="1">
      <c r="A671" s="23"/>
      <c r="B671" s="24"/>
      <c r="C671" s="25"/>
      <c r="D671" s="26"/>
      <c r="E671" s="26"/>
      <c r="F671" s="26"/>
      <c r="G671" s="27"/>
      <c r="H671" s="27"/>
      <c r="I671" s="27"/>
      <c r="J671" s="27"/>
      <c r="K671" s="27"/>
      <c r="L671" s="23"/>
      <c r="M671" s="23"/>
    </row>
    <row r="672" ht="15.75" customHeight="1">
      <c r="A672" s="23"/>
      <c r="B672" s="24"/>
      <c r="C672" s="25"/>
      <c r="D672" s="26"/>
      <c r="E672" s="26"/>
      <c r="F672" s="26"/>
      <c r="G672" s="27"/>
      <c r="H672" s="27"/>
      <c r="I672" s="27"/>
      <c r="J672" s="27"/>
      <c r="K672" s="27"/>
      <c r="L672" s="23"/>
      <c r="M672" s="23"/>
    </row>
    <row r="673" ht="15.75" customHeight="1">
      <c r="A673" s="23"/>
      <c r="B673" s="24"/>
      <c r="C673" s="25"/>
      <c r="D673" s="26"/>
      <c r="E673" s="26"/>
      <c r="F673" s="26"/>
      <c r="G673" s="27"/>
      <c r="H673" s="27"/>
      <c r="I673" s="27"/>
      <c r="J673" s="27"/>
      <c r="K673" s="27"/>
      <c r="L673" s="23"/>
      <c r="M673" s="23"/>
    </row>
    <row r="674" ht="15.75" customHeight="1">
      <c r="A674" s="23"/>
      <c r="B674" s="24"/>
      <c r="C674" s="25"/>
      <c r="D674" s="26"/>
      <c r="E674" s="26"/>
      <c r="F674" s="26"/>
      <c r="G674" s="27"/>
      <c r="H674" s="27"/>
      <c r="I674" s="27"/>
      <c r="J674" s="27"/>
      <c r="K674" s="27"/>
      <c r="L674" s="23"/>
      <c r="M674" s="23"/>
    </row>
    <row r="675" ht="15.75" customHeight="1">
      <c r="A675" s="23"/>
      <c r="B675" s="24"/>
      <c r="C675" s="25"/>
      <c r="D675" s="26"/>
      <c r="E675" s="26"/>
      <c r="F675" s="26"/>
      <c r="G675" s="27"/>
      <c r="H675" s="27"/>
      <c r="I675" s="27"/>
      <c r="J675" s="27"/>
      <c r="K675" s="27"/>
      <c r="L675" s="23"/>
      <c r="M675" s="23"/>
    </row>
    <row r="676" ht="15.75" customHeight="1">
      <c r="A676" s="23"/>
      <c r="B676" s="24"/>
      <c r="C676" s="25"/>
      <c r="D676" s="26"/>
      <c r="E676" s="26"/>
      <c r="F676" s="26"/>
      <c r="G676" s="27"/>
      <c r="H676" s="27"/>
      <c r="I676" s="27"/>
      <c r="J676" s="27"/>
      <c r="K676" s="27"/>
      <c r="L676" s="23"/>
      <c r="M676" s="23"/>
    </row>
    <row r="677" ht="15.75" customHeight="1">
      <c r="A677" s="23"/>
      <c r="B677" s="24"/>
      <c r="C677" s="25"/>
      <c r="D677" s="26"/>
      <c r="E677" s="26"/>
      <c r="F677" s="26"/>
      <c r="G677" s="27"/>
      <c r="H677" s="27"/>
      <c r="I677" s="27"/>
      <c r="J677" s="27"/>
      <c r="K677" s="27"/>
      <c r="L677" s="23"/>
      <c r="M677" s="23"/>
    </row>
    <row r="678" ht="15.75" customHeight="1">
      <c r="A678" s="23"/>
      <c r="B678" s="24"/>
      <c r="C678" s="25"/>
      <c r="D678" s="26"/>
      <c r="E678" s="26"/>
      <c r="F678" s="26"/>
      <c r="G678" s="27"/>
      <c r="H678" s="27"/>
      <c r="I678" s="27"/>
      <c r="J678" s="27"/>
      <c r="K678" s="27"/>
      <c r="L678" s="23"/>
      <c r="M678" s="23"/>
    </row>
    <row r="679" ht="15.75" customHeight="1">
      <c r="A679" s="23"/>
      <c r="B679" s="24"/>
      <c r="C679" s="25"/>
      <c r="D679" s="26"/>
      <c r="E679" s="26"/>
      <c r="F679" s="26"/>
      <c r="G679" s="27"/>
      <c r="H679" s="27"/>
      <c r="I679" s="27"/>
      <c r="J679" s="27"/>
      <c r="K679" s="27"/>
      <c r="L679" s="23"/>
      <c r="M679" s="23"/>
    </row>
    <row r="680" ht="15.75" customHeight="1">
      <c r="A680" s="23"/>
      <c r="B680" s="24"/>
      <c r="C680" s="25"/>
      <c r="D680" s="26"/>
      <c r="E680" s="26"/>
      <c r="F680" s="26"/>
      <c r="G680" s="27"/>
      <c r="H680" s="27"/>
      <c r="I680" s="27"/>
      <c r="J680" s="27"/>
      <c r="K680" s="27"/>
      <c r="L680" s="23"/>
      <c r="M680" s="23"/>
    </row>
    <row r="681" ht="15.75" customHeight="1">
      <c r="A681" s="23"/>
      <c r="B681" s="24"/>
      <c r="C681" s="25"/>
      <c r="D681" s="26"/>
      <c r="E681" s="26"/>
      <c r="F681" s="26"/>
      <c r="G681" s="27"/>
      <c r="H681" s="27"/>
      <c r="I681" s="27"/>
      <c r="J681" s="27"/>
      <c r="K681" s="27"/>
      <c r="L681" s="23"/>
      <c r="M681" s="23"/>
    </row>
    <row r="682" ht="15.75" customHeight="1">
      <c r="A682" s="23"/>
      <c r="B682" s="24"/>
      <c r="C682" s="25"/>
      <c r="D682" s="26"/>
      <c r="E682" s="26"/>
      <c r="F682" s="26"/>
      <c r="G682" s="27"/>
      <c r="H682" s="27"/>
      <c r="I682" s="27"/>
      <c r="J682" s="27"/>
      <c r="K682" s="27"/>
      <c r="L682" s="23"/>
      <c r="M682" s="23"/>
    </row>
    <row r="683" ht="15.75" customHeight="1">
      <c r="A683" s="23"/>
      <c r="B683" s="24"/>
      <c r="C683" s="25"/>
      <c r="D683" s="26"/>
      <c r="E683" s="26"/>
      <c r="F683" s="26"/>
      <c r="G683" s="27"/>
      <c r="H683" s="27"/>
      <c r="I683" s="27"/>
      <c r="J683" s="27"/>
      <c r="K683" s="27"/>
      <c r="L683" s="23"/>
      <c r="M683" s="23"/>
    </row>
    <row r="684" ht="15.75" customHeight="1">
      <c r="A684" s="23"/>
      <c r="B684" s="24"/>
      <c r="C684" s="25"/>
      <c r="D684" s="26"/>
      <c r="E684" s="26"/>
      <c r="F684" s="26"/>
      <c r="G684" s="27"/>
      <c r="H684" s="27"/>
      <c r="I684" s="27"/>
      <c r="J684" s="27"/>
      <c r="K684" s="27"/>
      <c r="L684" s="23"/>
      <c r="M684" s="23"/>
    </row>
    <row r="685" ht="15.75" customHeight="1">
      <c r="A685" s="23"/>
      <c r="B685" s="24"/>
      <c r="C685" s="25"/>
      <c r="D685" s="26"/>
      <c r="E685" s="26"/>
      <c r="F685" s="26"/>
      <c r="G685" s="27"/>
      <c r="H685" s="27"/>
      <c r="I685" s="27"/>
      <c r="J685" s="27"/>
      <c r="K685" s="27"/>
      <c r="L685" s="23"/>
      <c r="M685" s="23"/>
    </row>
    <row r="686" ht="15.75" customHeight="1">
      <c r="A686" s="23"/>
      <c r="B686" s="24"/>
      <c r="C686" s="25"/>
      <c r="D686" s="26"/>
      <c r="E686" s="26"/>
      <c r="F686" s="26"/>
      <c r="G686" s="27"/>
      <c r="H686" s="27"/>
      <c r="I686" s="27"/>
      <c r="J686" s="27"/>
      <c r="K686" s="27"/>
      <c r="L686" s="23"/>
      <c r="M686" s="23"/>
    </row>
    <row r="687" ht="15.75" customHeight="1">
      <c r="A687" s="23"/>
      <c r="B687" s="24"/>
      <c r="C687" s="25"/>
      <c r="D687" s="26"/>
      <c r="E687" s="26"/>
      <c r="F687" s="26"/>
      <c r="G687" s="27"/>
      <c r="H687" s="27"/>
      <c r="I687" s="27"/>
      <c r="J687" s="27"/>
      <c r="K687" s="27"/>
      <c r="L687" s="23"/>
      <c r="M687" s="23"/>
    </row>
    <row r="688" ht="15.75" customHeight="1">
      <c r="A688" s="23"/>
      <c r="B688" s="24"/>
      <c r="C688" s="25"/>
      <c r="D688" s="26"/>
      <c r="E688" s="26"/>
      <c r="F688" s="26"/>
      <c r="G688" s="27"/>
      <c r="H688" s="27"/>
      <c r="I688" s="27"/>
      <c r="J688" s="27"/>
      <c r="K688" s="27"/>
      <c r="L688" s="23"/>
      <c r="M688" s="23"/>
    </row>
    <row r="689" ht="15.75" customHeight="1">
      <c r="A689" s="23"/>
      <c r="B689" s="24"/>
      <c r="C689" s="25"/>
      <c r="D689" s="26"/>
      <c r="E689" s="26"/>
      <c r="F689" s="26"/>
      <c r="G689" s="27"/>
      <c r="H689" s="27"/>
      <c r="I689" s="27"/>
      <c r="J689" s="27"/>
      <c r="K689" s="27"/>
      <c r="L689" s="23"/>
      <c r="M689" s="23"/>
    </row>
    <row r="690" ht="15.75" customHeight="1">
      <c r="A690" s="23"/>
      <c r="B690" s="24"/>
      <c r="C690" s="25"/>
      <c r="D690" s="26"/>
      <c r="E690" s="26"/>
      <c r="F690" s="26"/>
      <c r="G690" s="27"/>
      <c r="H690" s="27"/>
      <c r="I690" s="27"/>
      <c r="J690" s="27"/>
      <c r="K690" s="27"/>
      <c r="L690" s="23"/>
      <c r="M690" s="23"/>
    </row>
    <row r="691" ht="15.75" customHeight="1">
      <c r="A691" s="23"/>
      <c r="B691" s="24"/>
      <c r="C691" s="25"/>
      <c r="D691" s="26"/>
      <c r="E691" s="26"/>
      <c r="F691" s="26"/>
      <c r="G691" s="27"/>
      <c r="H691" s="27"/>
      <c r="I691" s="27"/>
      <c r="J691" s="27"/>
      <c r="K691" s="27"/>
      <c r="L691" s="23"/>
      <c r="M691" s="23"/>
    </row>
    <row r="692" ht="15.75" customHeight="1">
      <c r="A692" s="23"/>
      <c r="B692" s="24"/>
      <c r="C692" s="25"/>
      <c r="D692" s="26"/>
      <c r="E692" s="26"/>
      <c r="F692" s="26"/>
      <c r="G692" s="27"/>
      <c r="H692" s="27"/>
      <c r="I692" s="27"/>
      <c r="J692" s="27"/>
      <c r="K692" s="27"/>
      <c r="L692" s="23"/>
      <c r="M692" s="23"/>
    </row>
    <row r="693" ht="15.75" customHeight="1">
      <c r="A693" s="23"/>
      <c r="B693" s="24"/>
      <c r="C693" s="25"/>
      <c r="D693" s="26"/>
      <c r="E693" s="26"/>
      <c r="F693" s="26"/>
      <c r="G693" s="27"/>
      <c r="H693" s="27"/>
      <c r="I693" s="27"/>
      <c r="J693" s="27"/>
      <c r="K693" s="27"/>
      <c r="L693" s="23"/>
      <c r="M693" s="23"/>
    </row>
    <row r="694" ht="15.75" customHeight="1">
      <c r="A694" s="23"/>
      <c r="B694" s="24"/>
      <c r="C694" s="25"/>
      <c r="D694" s="26"/>
      <c r="E694" s="26"/>
      <c r="F694" s="26"/>
      <c r="G694" s="27"/>
      <c r="H694" s="27"/>
      <c r="I694" s="27"/>
      <c r="J694" s="27"/>
      <c r="K694" s="27"/>
      <c r="L694" s="23"/>
      <c r="M694" s="23"/>
    </row>
    <row r="695" ht="15.75" customHeight="1">
      <c r="A695" s="23"/>
      <c r="B695" s="24"/>
      <c r="C695" s="25"/>
      <c r="D695" s="26"/>
      <c r="E695" s="26"/>
      <c r="F695" s="26"/>
      <c r="G695" s="27"/>
      <c r="H695" s="27"/>
      <c r="I695" s="27"/>
      <c r="J695" s="27"/>
      <c r="K695" s="27"/>
      <c r="L695" s="23"/>
      <c r="M695" s="23"/>
    </row>
    <row r="696" ht="15.75" customHeight="1">
      <c r="A696" s="23"/>
      <c r="B696" s="24"/>
      <c r="C696" s="25"/>
      <c r="D696" s="26"/>
      <c r="E696" s="26"/>
      <c r="F696" s="26"/>
      <c r="G696" s="27"/>
      <c r="H696" s="27"/>
      <c r="I696" s="27"/>
      <c r="J696" s="27"/>
      <c r="K696" s="27"/>
      <c r="L696" s="23"/>
      <c r="M696" s="23"/>
    </row>
    <row r="697" ht="15.75" customHeight="1">
      <c r="A697" s="23"/>
      <c r="B697" s="24"/>
      <c r="C697" s="25"/>
      <c r="D697" s="26"/>
      <c r="E697" s="26"/>
      <c r="F697" s="26"/>
      <c r="G697" s="27"/>
      <c r="H697" s="27"/>
      <c r="I697" s="27"/>
      <c r="J697" s="27"/>
      <c r="K697" s="27"/>
      <c r="L697" s="23"/>
      <c r="M697" s="23"/>
    </row>
    <row r="698" ht="15.75" customHeight="1">
      <c r="A698" s="23"/>
      <c r="B698" s="24"/>
      <c r="C698" s="25"/>
      <c r="D698" s="26"/>
      <c r="E698" s="26"/>
      <c r="F698" s="26"/>
      <c r="G698" s="27"/>
      <c r="H698" s="27"/>
      <c r="I698" s="27"/>
      <c r="J698" s="27"/>
      <c r="K698" s="27"/>
      <c r="L698" s="23"/>
      <c r="M698" s="23"/>
    </row>
    <row r="699" ht="15.75" customHeight="1">
      <c r="A699" s="23"/>
      <c r="B699" s="24"/>
      <c r="C699" s="25"/>
      <c r="D699" s="26"/>
      <c r="E699" s="26"/>
      <c r="F699" s="26"/>
      <c r="G699" s="27"/>
      <c r="H699" s="27"/>
      <c r="I699" s="27"/>
      <c r="J699" s="27"/>
      <c r="K699" s="27"/>
      <c r="L699" s="23"/>
      <c r="M699" s="23"/>
    </row>
    <row r="700" ht="15.75" customHeight="1">
      <c r="A700" s="23"/>
      <c r="B700" s="24"/>
      <c r="C700" s="25"/>
      <c r="D700" s="26"/>
      <c r="E700" s="26"/>
      <c r="F700" s="26"/>
      <c r="G700" s="27"/>
      <c r="H700" s="27"/>
      <c r="I700" s="27"/>
      <c r="J700" s="27"/>
      <c r="K700" s="27"/>
      <c r="L700" s="23"/>
      <c r="M700" s="23"/>
    </row>
    <row r="701" ht="15.75" customHeight="1">
      <c r="A701" s="23"/>
      <c r="B701" s="24"/>
      <c r="C701" s="25"/>
      <c r="D701" s="26"/>
      <c r="E701" s="26"/>
      <c r="F701" s="26"/>
      <c r="G701" s="27"/>
      <c r="H701" s="27"/>
      <c r="I701" s="27"/>
      <c r="J701" s="27"/>
      <c r="K701" s="27"/>
      <c r="L701" s="23"/>
      <c r="M701" s="23"/>
    </row>
    <row r="702" ht="15.75" customHeight="1">
      <c r="A702" s="23"/>
      <c r="B702" s="24"/>
      <c r="C702" s="25"/>
      <c r="D702" s="26"/>
      <c r="E702" s="26"/>
      <c r="F702" s="26"/>
      <c r="G702" s="27"/>
      <c r="H702" s="27"/>
      <c r="I702" s="27"/>
      <c r="J702" s="27"/>
      <c r="K702" s="27"/>
      <c r="L702" s="23"/>
      <c r="M702" s="23"/>
    </row>
    <row r="703" ht="15.75" customHeight="1">
      <c r="A703" s="23"/>
      <c r="B703" s="24"/>
      <c r="C703" s="25"/>
      <c r="D703" s="26"/>
      <c r="E703" s="26"/>
      <c r="F703" s="26"/>
      <c r="G703" s="27"/>
      <c r="H703" s="27"/>
      <c r="I703" s="27"/>
      <c r="J703" s="27"/>
      <c r="K703" s="27"/>
      <c r="L703" s="23"/>
      <c r="M703" s="23"/>
    </row>
    <row r="704" ht="15.75" customHeight="1">
      <c r="A704" s="23"/>
      <c r="B704" s="24"/>
      <c r="C704" s="25"/>
      <c r="D704" s="26"/>
      <c r="E704" s="26"/>
      <c r="F704" s="26"/>
      <c r="G704" s="27"/>
      <c r="H704" s="27"/>
      <c r="I704" s="27"/>
      <c r="J704" s="27"/>
      <c r="K704" s="27"/>
      <c r="L704" s="23"/>
      <c r="M704" s="23"/>
    </row>
    <row r="705" ht="15.75" customHeight="1">
      <c r="A705" s="23"/>
      <c r="B705" s="24"/>
      <c r="C705" s="25"/>
      <c r="D705" s="26"/>
      <c r="E705" s="26"/>
      <c r="F705" s="26"/>
      <c r="G705" s="27"/>
      <c r="H705" s="27"/>
      <c r="I705" s="27"/>
      <c r="J705" s="27"/>
      <c r="K705" s="27"/>
      <c r="L705" s="23"/>
      <c r="M705" s="23"/>
    </row>
    <row r="706" ht="15.75" customHeight="1">
      <c r="A706" s="23"/>
      <c r="B706" s="24"/>
      <c r="C706" s="25"/>
      <c r="D706" s="26"/>
      <c r="E706" s="26"/>
      <c r="F706" s="26"/>
      <c r="G706" s="27"/>
      <c r="H706" s="27"/>
      <c r="I706" s="27"/>
      <c r="J706" s="27"/>
      <c r="K706" s="27"/>
      <c r="L706" s="23"/>
      <c r="M706" s="23"/>
    </row>
    <row r="707" ht="15.75" customHeight="1">
      <c r="A707" s="23"/>
      <c r="B707" s="24"/>
      <c r="C707" s="25"/>
      <c r="D707" s="26"/>
      <c r="E707" s="26"/>
      <c r="F707" s="26"/>
      <c r="G707" s="27"/>
      <c r="H707" s="27"/>
      <c r="I707" s="27"/>
      <c r="J707" s="27"/>
      <c r="K707" s="27"/>
      <c r="L707" s="23"/>
      <c r="M707" s="23"/>
    </row>
    <row r="708" ht="15.75" customHeight="1">
      <c r="A708" s="23"/>
      <c r="B708" s="24"/>
      <c r="C708" s="25"/>
      <c r="D708" s="26"/>
      <c r="E708" s="26"/>
      <c r="F708" s="26"/>
      <c r="G708" s="27"/>
      <c r="H708" s="27"/>
      <c r="I708" s="27"/>
      <c r="J708" s="27"/>
      <c r="K708" s="27"/>
      <c r="L708" s="23"/>
      <c r="M708" s="23"/>
    </row>
    <row r="709" ht="15.75" customHeight="1">
      <c r="A709" s="23"/>
      <c r="B709" s="24"/>
      <c r="C709" s="25"/>
      <c r="D709" s="26"/>
      <c r="E709" s="26"/>
      <c r="F709" s="26"/>
      <c r="G709" s="27"/>
      <c r="H709" s="27"/>
      <c r="I709" s="27"/>
      <c r="J709" s="27"/>
      <c r="K709" s="27"/>
      <c r="L709" s="23"/>
      <c r="M709" s="23"/>
    </row>
    <row r="710" ht="15.75" customHeight="1">
      <c r="A710" s="23"/>
      <c r="B710" s="24"/>
      <c r="C710" s="25"/>
      <c r="D710" s="26"/>
      <c r="E710" s="26"/>
      <c r="F710" s="26"/>
      <c r="G710" s="27"/>
      <c r="H710" s="27"/>
      <c r="I710" s="27"/>
      <c r="J710" s="27"/>
      <c r="K710" s="27"/>
      <c r="L710" s="23"/>
      <c r="M710" s="23"/>
    </row>
    <row r="711" ht="15.75" customHeight="1">
      <c r="A711" s="23"/>
      <c r="B711" s="24"/>
      <c r="C711" s="25"/>
      <c r="D711" s="26"/>
      <c r="E711" s="26"/>
      <c r="F711" s="26"/>
      <c r="G711" s="27"/>
      <c r="H711" s="27"/>
      <c r="I711" s="27"/>
      <c r="J711" s="27"/>
      <c r="K711" s="27"/>
      <c r="L711" s="23"/>
      <c r="M711" s="23"/>
    </row>
    <row r="712" ht="15.75" customHeight="1">
      <c r="A712" s="23"/>
      <c r="B712" s="24"/>
      <c r="C712" s="25"/>
      <c r="D712" s="26"/>
      <c r="E712" s="26"/>
      <c r="F712" s="26"/>
      <c r="G712" s="27"/>
      <c r="H712" s="27"/>
      <c r="I712" s="27"/>
      <c r="J712" s="27"/>
      <c r="K712" s="27"/>
      <c r="L712" s="23"/>
      <c r="M712" s="23"/>
    </row>
    <row r="713" ht="15.75" customHeight="1">
      <c r="A713" s="23"/>
      <c r="B713" s="24"/>
      <c r="C713" s="25"/>
      <c r="D713" s="26"/>
      <c r="E713" s="26"/>
      <c r="F713" s="26"/>
      <c r="G713" s="27"/>
      <c r="H713" s="27"/>
      <c r="I713" s="27"/>
      <c r="J713" s="27"/>
      <c r="K713" s="27"/>
      <c r="L713" s="23"/>
      <c r="M713" s="23"/>
    </row>
    <row r="714" ht="15.75" customHeight="1">
      <c r="A714" s="23"/>
      <c r="B714" s="24"/>
      <c r="C714" s="25"/>
      <c r="D714" s="26"/>
      <c r="E714" s="26"/>
      <c r="F714" s="26"/>
      <c r="G714" s="27"/>
      <c r="H714" s="27"/>
      <c r="I714" s="27"/>
      <c r="J714" s="27"/>
      <c r="K714" s="27"/>
      <c r="L714" s="23"/>
      <c r="M714" s="23"/>
    </row>
    <row r="715" ht="15.75" customHeight="1">
      <c r="A715" s="23"/>
      <c r="B715" s="24"/>
      <c r="C715" s="25"/>
      <c r="D715" s="26"/>
      <c r="E715" s="26"/>
      <c r="F715" s="26"/>
      <c r="G715" s="27"/>
      <c r="H715" s="27"/>
      <c r="I715" s="27"/>
      <c r="J715" s="27"/>
      <c r="K715" s="27"/>
      <c r="L715" s="23"/>
      <c r="M715" s="23"/>
    </row>
    <row r="716" ht="15.75" customHeight="1">
      <c r="A716" s="23"/>
      <c r="B716" s="24"/>
      <c r="C716" s="25"/>
      <c r="D716" s="26"/>
      <c r="E716" s="26"/>
      <c r="F716" s="26"/>
      <c r="G716" s="27"/>
      <c r="H716" s="27"/>
      <c r="I716" s="27"/>
      <c r="J716" s="27"/>
      <c r="K716" s="27"/>
      <c r="L716" s="23"/>
      <c r="M716" s="23"/>
    </row>
    <row r="717" ht="15.75" customHeight="1">
      <c r="A717" s="23"/>
      <c r="B717" s="24"/>
      <c r="C717" s="25"/>
      <c r="D717" s="26"/>
      <c r="E717" s="26"/>
      <c r="F717" s="26"/>
      <c r="G717" s="27"/>
      <c r="H717" s="27"/>
      <c r="I717" s="27"/>
      <c r="J717" s="27"/>
      <c r="K717" s="27"/>
      <c r="L717" s="23"/>
      <c r="M717" s="23"/>
    </row>
    <row r="718" ht="15.75" customHeight="1">
      <c r="A718" s="23"/>
      <c r="B718" s="24"/>
      <c r="C718" s="25"/>
      <c r="D718" s="26"/>
      <c r="E718" s="26"/>
      <c r="F718" s="26"/>
      <c r="G718" s="27"/>
      <c r="H718" s="27"/>
      <c r="I718" s="27"/>
      <c r="J718" s="27"/>
      <c r="K718" s="27"/>
      <c r="L718" s="23"/>
      <c r="M718" s="23"/>
    </row>
    <row r="719" ht="15.75" customHeight="1">
      <c r="A719" s="23"/>
      <c r="B719" s="24"/>
      <c r="C719" s="25"/>
      <c r="D719" s="26"/>
      <c r="E719" s="26"/>
      <c r="F719" s="26"/>
      <c r="G719" s="27"/>
      <c r="H719" s="27"/>
      <c r="I719" s="27"/>
      <c r="J719" s="27"/>
      <c r="K719" s="27"/>
      <c r="L719" s="23"/>
      <c r="M719" s="23"/>
    </row>
    <row r="720" ht="15.75" customHeight="1">
      <c r="A720" s="23"/>
      <c r="B720" s="24"/>
      <c r="C720" s="25"/>
      <c r="D720" s="26"/>
      <c r="E720" s="26"/>
      <c r="F720" s="26"/>
      <c r="G720" s="27"/>
      <c r="H720" s="27"/>
      <c r="I720" s="27"/>
      <c r="J720" s="27"/>
      <c r="K720" s="27"/>
      <c r="L720" s="23"/>
      <c r="M720" s="23"/>
    </row>
    <row r="721" ht="15.75" customHeight="1">
      <c r="A721" s="23"/>
      <c r="B721" s="24"/>
      <c r="C721" s="25"/>
      <c r="D721" s="26"/>
      <c r="E721" s="26"/>
      <c r="F721" s="26"/>
      <c r="G721" s="27"/>
      <c r="H721" s="27"/>
      <c r="I721" s="27"/>
      <c r="J721" s="27"/>
      <c r="K721" s="27"/>
      <c r="L721" s="23"/>
      <c r="M721" s="23"/>
    </row>
    <row r="722" ht="15.75" customHeight="1">
      <c r="A722" s="23"/>
      <c r="B722" s="24"/>
      <c r="C722" s="25"/>
      <c r="D722" s="26"/>
      <c r="E722" s="26"/>
      <c r="F722" s="26"/>
      <c r="G722" s="27"/>
      <c r="H722" s="27"/>
      <c r="I722" s="27"/>
      <c r="J722" s="27"/>
      <c r="K722" s="27"/>
      <c r="L722" s="23"/>
      <c r="M722" s="23"/>
    </row>
    <row r="723" ht="15.75" customHeight="1">
      <c r="A723" s="23"/>
      <c r="B723" s="24"/>
      <c r="C723" s="25"/>
      <c r="D723" s="26"/>
      <c r="E723" s="26"/>
      <c r="F723" s="26"/>
      <c r="G723" s="27"/>
      <c r="H723" s="27"/>
      <c r="I723" s="27"/>
      <c r="J723" s="27"/>
      <c r="K723" s="27"/>
      <c r="L723" s="23"/>
      <c r="M723" s="23"/>
    </row>
    <row r="724" ht="15.75" customHeight="1">
      <c r="A724" s="23"/>
      <c r="B724" s="24"/>
      <c r="C724" s="25"/>
      <c r="D724" s="26"/>
      <c r="E724" s="26"/>
      <c r="F724" s="26"/>
      <c r="G724" s="27"/>
      <c r="H724" s="27"/>
      <c r="I724" s="27"/>
      <c r="J724" s="27"/>
      <c r="K724" s="27"/>
      <c r="L724" s="23"/>
      <c r="M724" s="23"/>
    </row>
    <row r="725" ht="15.75" customHeight="1">
      <c r="A725" s="23"/>
      <c r="B725" s="24"/>
      <c r="C725" s="25"/>
      <c r="D725" s="26"/>
      <c r="E725" s="26"/>
      <c r="F725" s="26"/>
      <c r="G725" s="27"/>
      <c r="H725" s="27"/>
      <c r="I725" s="27"/>
      <c r="J725" s="27"/>
      <c r="K725" s="27"/>
      <c r="L725" s="23"/>
      <c r="M725" s="23"/>
    </row>
    <row r="726" ht="15.75" customHeight="1">
      <c r="A726" s="23"/>
      <c r="B726" s="24"/>
      <c r="C726" s="25"/>
      <c r="D726" s="26"/>
      <c r="E726" s="26"/>
      <c r="F726" s="26"/>
      <c r="G726" s="27"/>
      <c r="H726" s="27"/>
      <c r="I726" s="27"/>
      <c r="J726" s="27"/>
      <c r="K726" s="27"/>
      <c r="L726" s="23"/>
      <c r="M726" s="23"/>
    </row>
    <row r="727" ht="15.75" customHeight="1">
      <c r="A727" s="23"/>
      <c r="B727" s="24"/>
      <c r="C727" s="25"/>
      <c r="D727" s="26"/>
      <c r="E727" s="26"/>
      <c r="F727" s="26"/>
      <c r="G727" s="27"/>
      <c r="H727" s="27"/>
      <c r="I727" s="27"/>
      <c r="J727" s="27"/>
      <c r="K727" s="27"/>
      <c r="L727" s="23"/>
      <c r="M727" s="23"/>
    </row>
    <row r="728" ht="15.75" customHeight="1">
      <c r="A728" s="23"/>
      <c r="B728" s="24"/>
      <c r="C728" s="25"/>
      <c r="D728" s="26"/>
      <c r="E728" s="26"/>
      <c r="F728" s="26"/>
      <c r="G728" s="27"/>
      <c r="H728" s="27"/>
      <c r="I728" s="27"/>
      <c r="J728" s="27"/>
      <c r="K728" s="27"/>
      <c r="L728" s="23"/>
      <c r="M728" s="23"/>
    </row>
    <row r="729" ht="15.75" customHeight="1">
      <c r="A729" s="23"/>
      <c r="B729" s="24"/>
      <c r="C729" s="25"/>
      <c r="D729" s="26"/>
      <c r="E729" s="26"/>
      <c r="F729" s="26"/>
      <c r="G729" s="27"/>
      <c r="H729" s="27"/>
      <c r="I729" s="27"/>
      <c r="J729" s="27"/>
      <c r="K729" s="27"/>
      <c r="L729" s="23"/>
      <c r="M729" s="23"/>
    </row>
    <row r="730" ht="15.75" customHeight="1">
      <c r="A730" s="23"/>
      <c r="B730" s="24"/>
      <c r="C730" s="25"/>
      <c r="D730" s="26"/>
      <c r="E730" s="26"/>
      <c r="F730" s="26"/>
      <c r="G730" s="27"/>
      <c r="H730" s="27"/>
      <c r="I730" s="27"/>
      <c r="J730" s="27"/>
      <c r="K730" s="27"/>
      <c r="L730" s="23"/>
      <c r="M730" s="23"/>
    </row>
    <row r="731" ht="15.75" customHeight="1">
      <c r="A731" s="23"/>
      <c r="B731" s="24"/>
      <c r="C731" s="25"/>
      <c r="D731" s="26"/>
      <c r="E731" s="26"/>
      <c r="F731" s="26"/>
      <c r="G731" s="27"/>
      <c r="H731" s="27"/>
      <c r="I731" s="27"/>
      <c r="J731" s="27"/>
      <c r="K731" s="27"/>
      <c r="L731" s="23"/>
      <c r="M731" s="23"/>
    </row>
    <row r="732" ht="15.75" customHeight="1">
      <c r="A732" s="23"/>
      <c r="B732" s="24"/>
      <c r="C732" s="25"/>
      <c r="D732" s="26"/>
      <c r="E732" s="26"/>
      <c r="F732" s="26"/>
      <c r="G732" s="27"/>
      <c r="H732" s="27"/>
      <c r="I732" s="27"/>
      <c r="J732" s="27"/>
      <c r="K732" s="27"/>
      <c r="L732" s="23"/>
      <c r="M732" s="23"/>
    </row>
    <row r="733" ht="15.75" customHeight="1">
      <c r="A733" s="23"/>
      <c r="B733" s="24"/>
      <c r="C733" s="25"/>
      <c r="D733" s="26"/>
      <c r="E733" s="26"/>
      <c r="F733" s="26"/>
      <c r="G733" s="27"/>
      <c r="H733" s="27"/>
      <c r="I733" s="27"/>
      <c r="J733" s="27"/>
      <c r="K733" s="27"/>
      <c r="L733" s="23"/>
      <c r="M733" s="23"/>
    </row>
    <row r="734" ht="15.75" customHeight="1">
      <c r="A734" s="23"/>
      <c r="B734" s="24"/>
      <c r="C734" s="25"/>
      <c r="D734" s="26"/>
      <c r="E734" s="26"/>
      <c r="F734" s="26"/>
      <c r="G734" s="27"/>
      <c r="H734" s="27"/>
      <c r="I734" s="27"/>
      <c r="J734" s="27"/>
      <c r="K734" s="27"/>
      <c r="L734" s="23"/>
      <c r="M734" s="23"/>
    </row>
    <row r="735" ht="15.75" customHeight="1">
      <c r="A735" s="23"/>
      <c r="B735" s="24"/>
      <c r="C735" s="25"/>
      <c r="D735" s="26"/>
      <c r="E735" s="26"/>
      <c r="F735" s="26"/>
      <c r="G735" s="27"/>
      <c r="H735" s="27"/>
      <c r="I735" s="27"/>
      <c r="J735" s="27"/>
      <c r="K735" s="27"/>
      <c r="L735" s="23"/>
      <c r="M735" s="23"/>
    </row>
    <row r="736" ht="15.75" customHeight="1">
      <c r="A736" s="23"/>
      <c r="B736" s="24"/>
      <c r="C736" s="25"/>
      <c r="D736" s="26"/>
      <c r="E736" s="26"/>
      <c r="F736" s="26"/>
      <c r="G736" s="27"/>
      <c r="H736" s="27"/>
      <c r="I736" s="27"/>
      <c r="J736" s="27"/>
      <c r="K736" s="27"/>
      <c r="L736" s="23"/>
      <c r="M736" s="23"/>
    </row>
    <row r="737" ht="15.75" customHeight="1">
      <c r="A737" s="23"/>
      <c r="B737" s="24"/>
      <c r="C737" s="25"/>
      <c r="D737" s="26"/>
      <c r="E737" s="26"/>
      <c r="F737" s="26"/>
      <c r="G737" s="27"/>
      <c r="H737" s="27"/>
      <c r="I737" s="27"/>
      <c r="J737" s="27"/>
      <c r="K737" s="27"/>
      <c r="L737" s="23"/>
      <c r="M737" s="23"/>
    </row>
    <row r="738" ht="15.75" customHeight="1">
      <c r="A738" s="23"/>
      <c r="B738" s="24"/>
      <c r="C738" s="25"/>
      <c r="D738" s="26"/>
      <c r="E738" s="26"/>
      <c r="F738" s="26"/>
      <c r="G738" s="27"/>
      <c r="H738" s="27"/>
      <c r="I738" s="27"/>
      <c r="J738" s="27"/>
      <c r="K738" s="27"/>
      <c r="L738" s="23"/>
      <c r="M738" s="23"/>
    </row>
    <row r="739" ht="15.75" customHeight="1">
      <c r="A739" s="23"/>
      <c r="B739" s="24"/>
      <c r="C739" s="25"/>
      <c r="D739" s="26"/>
      <c r="E739" s="26"/>
      <c r="F739" s="26"/>
      <c r="G739" s="27"/>
      <c r="H739" s="27"/>
      <c r="I739" s="27"/>
      <c r="J739" s="27"/>
      <c r="K739" s="27"/>
      <c r="L739" s="23"/>
      <c r="M739" s="23"/>
    </row>
    <row r="740" ht="15.75" customHeight="1">
      <c r="A740" s="23"/>
      <c r="B740" s="24"/>
      <c r="C740" s="25"/>
      <c r="D740" s="26"/>
      <c r="E740" s="26"/>
      <c r="F740" s="26"/>
      <c r="G740" s="27"/>
      <c r="H740" s="27"/>
      <c r="I740" s="27"/>
      <c r="J740" s="27"/>
      <c r="K740" s="27"/>
      <c r="L740" s="23"/>
      <c r="M740" s="23"/>
    </row>
    <row r="741" ht="15.75" customHeight="1">
      <c r="A741" s="23"/>
      <c r="B741" s="24"/>
      <c r="C741" s="25"/>
      <c r="D741" s="26"/>
      <c r="E741" s="26"/>
      <c r="F741" s="26"/>
      <c r="G741" s="27"/>
      <c r="H741" s="27"/>
      <c r="I741" s="27"/>
      <c r="J741" s="27"/>
      <c r="K741" s="27"/>
      <c r="L741" s="23"/>
      <c r="M741" s="23"/>
    </row>
    <row r="742" ht="15.75" customHeight="1">
      <c r="A742" s="23"/>
      <c r="B742" s="24"/>
      <c r="C742" s="25"/>
      <c r="D742" s="26"/>
      <c r="E742" s="26"/>
      <c r="F742" s="26"/>
      <c r="G742" s="27"/>
      <c r="H742" s="27"/>
      <c r="I742" s="27"/>
      <c r="J742" s="27"/>
      <c r="K742" s="27"/>
      <c r="L742" s="23"/>
      <c r="M742" s="23"/>
    </row>
    <row r="743" ht="15.75" customHeight="1">
      <c r="A743" s="23"/>
      <c r="B743" s="24"/>
      <c r="C743" s="25"/>
      <c r="D743" s="26"/>
      <c r="E743" s="26"/>
      <c r="F743" s="26"/>
      <c r="G743" s="27"/>
      <c r="H743" s="27"/>
      <c r="I743" s="27"/>
      <c r="J743" s="27"/>
      <c r="K743" s="27"/>
      <c r="L743" s="23"/>
      <c r="M743" s="23"/>
    </row>
    <row r="744" ht="15.75" customHeight="1">
      <c r="A744" s="23"/>
      <c r="B744" s="24"/>
      <c r="C744" s="25"/>
      <c r="D744" s="26"/>
      <c r="E744" s="26"/>
      <c r="F744" s="26"/>
      <c r="G744" s="27"/>
      <c r="H744" s="27"/>
      <c r="I744" s="27"/>
      <c r="J744" s="27"/>
      <c r="K744" s="27"/>
      <c r="L744" s="23"/>
      <c r="M744" s="23"/>
    </row>
    <row r="745" ht="15.75" customHeight="1">
      <c r="A745" s="23"/>
      <c r="B745" s="24"/>
      <c r="C745" s="25"/>
      <c r="D745" s="26"/>
      <c r="E745" s="26"/>
      <c r="F745" s="26"/>
      <c r="G745" s="27"/>
      <c r="H745" s="27"/>
      <c r="I745" s="27"/>
      <c r="J745" s="27"/>
      <c r="K745" s="27"/>
      <c r="L745" s="23"/>
      <c r="M745" s="23"/>
    </row>
    <row r="746" ht="15.75" customHeight="1">
      <c r="A746" s="23"/>
      <c r="B746" s="24"/>
      <c r="C746" s="25"/>
      <c r="D746" s="26"/>
      <c r="E746" s="26"/>
      <c r="F746" s="26"/>
      <c r="G746" s="27"/>
      <c r="H746" s="27"/>
      <c r="I746" s="27"/>
      <c r="J746" s="27"/>
      <c r="K746" s="27"/>
      <c r="L746" s="23"/>
      <c r="M746" s="23"/>
    </row>
    <row r="747" ht="15.75" customHeight="1">
      <c r="A747" s="23"/>
      <c r="B747" s="24"/>
      <c r="C747" s="25"/>
      <c r="D747" s="26"/>
      <c r="E747" s="26"/>
      <c r="F747" s="26"/>
      <c r="G747" s="27"/>
      <c r="H747" s="27"/>
      <c r="I747" s="27"/>
      <c r="J747" s="27"/>
      <c r="K747" s="27"/>
      <c r="L747" s="23"/>
      <c r="M747" s="23"/>
    </row>
    <row r="748" ht="15.75" customHeight="1">
      <c r="A748" s="23"/>
      <c r="B748" s="24"/>
      <c r="C748" s="25"/>
      <c r="D748" s="26"/>
      <c r="E748" s="26"/>
      <c r="F748" s="26"/>
      <c r="G748" s="27"/>
      <c r="H748" s="27"/>
      <c r="I748" s="27"/>
      <c r="J748" s="27"/>
      <c r="K748" s="27"/>
      <c r="L748" s="23"/>
      <c r="M748" s="23"/>
    </row>
    <row r="749" ht="15.75" customHeight="1">
      <c r="A749" s="23"/>
      <c r="B749" s="24"/>
      <c r="C749" s="25"/>
      <c r="D749" s="26"/>
      <c r="E749" s="26"/>
      <c r="F749" s="26"/>
      <c r="G749" s="27"/>
      <c r="H749" s="27"/>
      <c r="I749" s="27"/>
      <c r="J749" s="27"/>
      <c r="K749" s="27"/>
      <c r="L749" s="23"/>
      <c r="M749" s="23"/>
    </row>
    <row r="750" ht="15.75" customHeight="1">
      <c r="A750" s="23"/>
      <c r="B750" s="24"/>
      <c r="C750" s="25"/>
      <c r="D750" s="26"/>
      <c r="E750" s="26"/>
      <c r="F750" s="26"/>
      <c r="G750" s="27"/>
      <c r="H750" s="27"/>
      <c r="I750" s="27"/>
      <c r="J750" s="27"/>
      <c r="K750" s="27"/>
      <c r="L750" s="23"/>
      <c r="M750" s="23"/>
    </row>
    <row r="751" ht="15.75" customHeight="1">
      <c r="A751" s="23"/>
      <c r="B751" s="24"/>
      <c r="C751" s="25"/>
      <c r="D751" s="26"/>
      <c r="E751" s="26"/>
      <c r="F751" s="26"/>
      <c r="G751" s="27"/>
      <c r="H751" s="27"/>
      <c r="I751" s="27"/>
      <c r="J751" s="27"/>
      <c r="K751" s="27"/>
      <c r="L751" s="23"/>
      <c r="M751" s="23"/>
    </row>
    <row r="752" ht="15.75" customHeight="1">
      <c r="A752" s="23"/>
      <c r="B752" s="24"/>
      <c r="C752" s="25"/>
      <c r="D752" s="26"/>
      <c r="E752" s="26"/>
      <c r="F752" s="26"/>
      <c r="G752" s="27"/>
      <c r="H752" s="27"/>
      <c r="I752" s="27"/>
      <c r="J752" s="27"/>
      <c r="K752" s="27"/>
      <c r="L752" s="23"/>
      <c r="M752" s="23"/>
    </row>
    <row r="753" ht="15.75" customHeight="1">
      <c r="A753" s="23"/>
      <c r="B753" s="24"/>
      <c r="C753" s="25"/>
      <c r="D753" s="26"/>
      <c r="E753" s="26"/>
      <c r="F753" s="26"/>
      <c r="G753" s="27"/>
      <c r="H753" s="27"/>
      <c r="I753" s="27"/>
      <c r="J753" s="27"/>
      <c r="K753" s="27"/>
      <c r="L753" s="23"/>
      <c r="M753" s="23"/>
    </row>
    <row r="754" ht="15.75" customHeight="1">
      <c r="A754" s="23"/>
      <c r="B754" s="24"/>
      <c r="C754" s="25"/>
      <c r="D754" s="26"/>
      <c r="E754" s="26"/>
      <c r="F754" s="26"/>
      <c r="G754" s="27"/>
      <c r="H754" s="27"/>
      <c r="I754" s="27"/>
      <c r="J754" s="27"/>
      <c r="K754" s="27"/>
      <c r="L754" s="23"/>
      <c r="M754" s="23"/>
    </row>
    <row r="755" ht="15.75" customHeight="1">
      <c r="A755" s="23"/>
      <c r="B755" s="24"/>
      <c r="C755" s="25"/>
      <c r="D755" s="26"/>
      <c r="E755" s="26"/>
      <c r="F755" s="26"/>
      <c r="G755" s="27"/>
      <c r="H755" s="27"/>
      <c r="I755" s="27"/>
      <c r="J755" s="27"/>
      <c r="K755" s="27"/>
      <c r="L755" s="23"/>
      <c r="M755" s="23"/>
    </row>
    <row r="756" ht="15.75" customHeight="1">
      <c r="A756" s="23"/>
      <c r="B756" s="24"/>
      <c r="C756" s="25"/>
      <c r="D756" s="26"/>
      <c r="E756" s="26"/>
      <c r="F756" s="26"/>
      <c r="G756" s="27"/>
      <c r="H756" s="27"/>
      <c r="I756" s="27"/>
      <c r="J756" s="27"/>
      <c r="K756" s="27"/>
      <c r="L756" s="23"/>
      <c r="M756" s="23"/>
    </row>
    <row r="757" ht="15.75" customHeight="1">
      <c r="A757" s="23"/>
      <c r="B757" s="24"/>
      <c r="C757" s="25"/>
      <c r="D757" s="26"/>
      <c r="E757" s="26"/>
      <c r="F757" s="26"/>
      <c r="G757" s="27"/>
      <c r="H757" s="27"/>
      <c r="I757" s="27"/>
      <c r="J757" s="27"/>
      <c r="K757" s="27"/>
      <c r="L757" s="23"/>
      <c r="M757" s="23"/>
    </row>
    <row r="758" ht="15.75" customHeight="1">
      <c r="A758" s="23"/>
      <c r="B758" s="24"/>
      <c r="C758" s="25"/>
      <c r="D758" s="26"/>
      <c r="E758" s="26"/>
      <c r="F758" s="26"/>
      <c r="G758" s="27"/>
      <c r="H758" s="27"/>
      <c r="I758" s="27"/>
      <c r="J758" s="27"/>
      <c r="K758" s="27"/>
      <c r="L758" s="23"/>
      <c r="M758" s="23"/>
    </row>
    <row r="759" ht="15.75" customHeight="1">
      <c r="A759" s="23"/>
      <c r="B759" s="24"/>
      <c r="C759" s="25"/>
      <c r="D759" s="26"/>
      <c r="E759" s="26"/>
      <c r="F759" s="26"/>
      <c r="G759" s="27"/>
      <c r="H759" s="27"/>
      <c r="I759" s="27"/>
      <c r="J759" s="27"/>
      <c r="K759" s="27"/>
      <c r="L759" s="23"/>
      <c r="M759" s="23"/>
    </row>
    <row r="760" ht="15.75" customHeight="1">
      <c r="A760" s="23"/>
      <c r="B760" s="24"/>
      <c r="C760" s="25"/>
      <c r="D760" s="26"/>
      <c r="E760" s="26"/>
      <c r="F760" s="26"/>
      <c r="G760" s="27"/>
      <c r="H760" s="27"/>
      <c r="I760" s="27"/>
      <c r="J760" s="27"/>
      <c r="K760" s="27"/>
      <c r="L760" s="23"/>
      <c r="M760" s="23"/>
    </row>
    <row r="761" ht="15.75" customHeight="1">
      <c r="A761" s="23"/>
      <c r="B761" s="24"/>
      <c r="C761" s="25"/>
      <c r="D761" s="26"/>
      <c r="E761" s="26"/>
      <c r="F761" s="26"/>
      <c r="G761" s="27"/>
      <c r="H761" s="27"/>
      <c r="I761" s="27"/>
      <c r="J761" s="27"/>
      <c r="K761" s="27"/>
      <c r="L761" s="23"/>
      <c r="M761" s="23"/>
    </row>
    <row r="762" ht="15.75" customHeight="1">
      <c r="A762" s="23"/>
      <c r="B762" s="24"/>
      <c r="C762" s="25"/>
      <c r="D762" s="26"/>
      <c r="E762" s="26"/>
      <c r="F762" s="26"/>
      <c r="G762" s="27"/>
      <c r="H762" s="27"/>
      <c r="I762" s="27"/>
      <c r="J762" s="27"/>
      <c r="K762" s="27"/>
      <c r="L762" s="23"/>
      <c r="M762" s="23"/>
    </row>
    <row r="763" ht="15.75" customHeight="1">
      <c r="A763" s="23"/>
      <c r="B763" s="24"/>
      <c r="C763" s="25"/>
      <c r="D763" s="26"/>
      <c r="E763" s="26"/>
      <c r="F763" s="26"/>
      <c r="G763" s="27"/>
      <c r="H763" s="27"/>
      <c r="I763" s="27"/>
      <c r="J763" s="27"/>
      <c r="K763" s="27"/>
      <c r="L763" s="23"/>
      <c r="M763" s="23"/>
    </row>
    <row r="764" ht="15.75" customHeight="1">
      <c r="A764" s="23"/>
      <c r="B764" s="24"/>
      <c r="C764" s="25"/>
      <c r="D764" s="26"/>
      <c r="E764" s="26"/>
      <c r="F764" s="26"/>
      <c r="G764" s="27"/>
      <c r="H764" s="27"/>
      <c r="I764" s="27"/>
      <c r="J764" s="27"/>
      <c r="K764" s="27"/>
      <c r="L764" s="23"/>
      <c r="M764" s="23"/>
    </row>
    <row r="765" ht="15.75" customHeight="1">
      <c r="A765" s="23"/>
      <c r="B765" s="24"/>
      <c r="C765" s="25"/>
      <c r="D765" s="26"/>
      <c r="E765" s="26"/>
      <c r="F765" s="26"/>
      <c r="G765" s="27"/>
      <c r="H765" s="27"/>
      <c r="I765" s="27"/>
      <c r="J765" s="27"/>
      <c r="K765" s="27"/>
      <c r="L765" s="23"/>
      <c r="M765" s="23"/>
    </row>
    <row r="766" ht="15.75" customHeight="1">
      <c r="A766" s="23"/>
      <c r="B766" s="24"/>
      <c r="C766" s="25"/>
      <c r="D766" s="26"/>
      <c r="E766" s="26"/>
      <c r="F766" s="26"/>
      <c r="G766" s="27"/>
      <c r="H766" s="27"/>
      <c r="I766" s="27"/>
      <c r="J766" s="27"/>
      <c r="K766" s="27"/>
      <c r="L766" s="23"/>
      <c r="M766" s="23"/>
    </row>
    <row r="767" ht="15.75" customHeight="1">
      <c r="A767" s="23"/>
      <c r="B767" s="24"/>
      <c r="C767" s="25"/>
      <c r="D767" s="26"/>
      <c r="E767" s="26"/>
      <c r="F767" s="26"/>
      <c r="G767" s="27"/>
      <c r="H767" s="27"/>
      <c r="I767" s="27"/>
      <c r="J767" s="27"/>
      <c r="K767" s="27"/>
      <c r="L767" s="23"/>
      <c r="M767" s="23"/>
    </row>
    <row r="768" ht="15.75" customHeight="1">
      <c r="A768" s="23"/>
      <c r="B768" s="24"/>
      <c r="C768" s="25"/>
      <c r="D768" s="26"/>
      <c r="E768" s="26"/>
      <c r="F768" s="26"/>
      <c r="G768" s="27"/>
      <c r="H768" s="27"/>
      <c r="I768" s="27"/>
      <c r="J768" s="27"/>
      <c r="K768" s="27"/>
      <c r="L768" s="23"/>
      <c r="M768" s="23"/>
    </row>
    <row r="769" ht="15.75" customHeight="1">
      <c r="A769" s="23"/>
      <c r="B769" s="24"/>
      <c r="C769" s="25"/>
      <c r="D769" s="26"/>
      <c r="E769" s="26"/>
      <c r="F769" s="26"/>
      <c r="G769" s="27"/>
      <c r="H769" s="27"/>
      <c r="I769" s="27"/>
      <c r="J769" s="27"/>
      <c r="K769" s="27"/>
      <c r="L769" s="23"/>
      <c r="M769" s="23"/>
    </row>
    <row r="770" ht="15.75" customHeight="1">
      <c r="A770" s="23"/>
      <c r="B770" s="24"/>
      <c r="C770" s="25"/>
      <c r="D770" s="26"/>
      <c r="E770" s="26"/>
      <c r="F770" s="26"/>
      <c r="G770" s="27"/>
      <c r="H770" s="27"/>
      <c r="I770" s="27"/>
      <c r="J770" s="27"/>
      <c r="K770" s="27"/>
      <c r="L770" s="23"/>
      <c r="M770" s="23"/>
    </row>
    <row r="771" ht="15.75" customHeight="1">
      <c r="A771" s="23"/>
      <c r="B771" s="24"/>
      <c r="C771" s="25"/>
      <c r="D771" s="26"/>
      <c r="E771" s="26"/>
      <c r="F771" s="26"/>
      <c r="G771" s="27"/>
      <c r="H771" s="27"/>
      <c r="I771" s="27"/>
      <c r="J771" s="27"/>
      <c r="K771" s="27"/>
      <c r="L771" s="23"/>
      <c r="M771" s="23"/>
    </row>
    <row r="772" ht="15.75" customHeight="1">
      <c r="A772" s="23"/>
      <c r="B772" s="24"/>
      <c r="C772" s="25"/>
      <c r="D772" s="26"/>
      <c r="E772" s="26"/>
      <c r="F772" s="26"/>
      <c r="G772" s="27"/>
      <c r="H772" s="27"/>
      <c r="I772" s="27"/>
      <c r="J772" s="27"/>
      <c r="K772" s="27"/>
      <c r="L772" s="23"/>
      <c r="M772" s="23"/>
    </row>
    <row r="773" ht="15.75" customHeight="1">
      <c r="A773" s="23"/>
      <c r="B773" s="24"/>
      <c r="C773" s="25"/>
      <c r="D773" s="26"/>
      <c r="E773" s="26"/>
      <c r="F773" s="26"/>
      <c r="G773" s="27"/>
      <c r="H773" s="27"/>
      <c r="I773" s="27"/>
      <c r="J773" s="27"/>
      <c r="K773" s="27"/>
      <c r="L773" s="23"/>
      <c r="M773" s="23"/>
    </row>
    <row r="774" ht="15.75" customHeight="1">
      <c r="A774" s="23"/>
      <c r="B774" s="24"/>
      <c r="C774" s="25"/>
      <c r="D774" s="26"/>
      <c r="E774" s="26"/>
      <c r="F774" s="26"/>
      <c r="G774" s="27"/>
      <c r="H774" s="27"/>
      <c r="I774" s="27"/>
      <c r="J774" s="27"/>
      <c r="K774" s="27"/>
      <c r="L774" s="23"/>
      <c r="M774" s="23"/>
    </row>
    <row r="775" ht="15.75" customHeight="1">
      <c r="A775" s="23"/>
      <c r="B775" s="24"/>
      <c r="C775" s="25"/>
      <c r="D775" s="26"/>
      <c r="E775" s="26"/>
      <c r="F775" s="26"/>
      <c r="G775" s="27"/>
      <c r="H775" s="27"/>
      <c r="I775" s="27"/>
      <c r="J775" s="27"/>
      <c r="K775" s="27"/>
      <c r="L775" s="23"/>
      <c r="M775" s="23"/>
    </row>
    <row r="776" ht="15.75" customHeight="1">
      <c r="A776" s="23"/>
      <c r="B776" s="24"/>
      <c r="C776" s="25"/>
      <c r="D776" s="26"/>
      <c r="E776" s="26"/>
      <c r="F776" s="26"/>
      <c r="G776" s="27"/>
      <c r="H776" s="27"/>
      <c r="I776" s="27"/>
      <c r="J776" s="27"/>
      <c r="K776" s="27"/>
      <c r="L776" s="23"/>
      <c r="M776" s="23"/>
    </row>
    <row r="777" ht="15.75" customHeight="1">
      <c r="A777" s="23"/>
      <c r="B777" s="24"/>
      <c r="C777" s="25"/>
      <c r="D777" s="26"/>
      <c r="E777" s="26"/>
      <c r="F777" s="26"/>
      <c r="G777" s="27"/>
      <c r="H777" s="27"/>
      <c r="I777" s="27"/>
      <c r="J777" s="27"/>
      <c r="K777" s="27"/>
      <c r="L777" s="23"/>
      <c r="M777" s="23"/>
    </row>
    <row r="778" ht="15.75" customHeight="1">
      <c r="A778" s="23"/>
      <c r="B778" s="24"/>
      <c r="C778" s="25"/>
      <c r="D778" s="26"/>
      <c r="E778" s="26"/>
      <c r="F778" s="26"/>
      <c r="G778" s="27"/>
      <c r="H778" s="27"/>
      <c r="I778" s="27"/>
      <c r="J778" s="27"/>
      <c r="K778" s="27"/>
      <c r="L778" s="23"/>
      <c r="M778" s="23"/>
    </row>
    <row r="779" ht="15.75" customHeight="1">
      <c r="A779" s="23"/>
      <c r="B779" s="24"/>
      <c r="C779" s="25"/>
      <c r="D779" s="26"/>
      <c r="E779" s="26"/>
      <c r="F779" s="26"/>
      <c r="G779" s="27"/>
      <c r="H779" s="27"/>
      <c r="I779" s="27"/>
      <c r="J779" s="27"/>
      <c r="K779" s="27"/>
      <c r="L779" s="23"/>
      <c r="M779" s="23"/>
    </row>
    <row r="780" ht="15.75" customHeight="1">
      <c r="A780" s="23"/>
      <c r="B780" s="24"/>
      <c r="C780" s="25"/>
      <c r="D780" s="26"/>
      <c r="E780" s="26"/>
      <c r="F780" s="26"/>
      <c r="G780" s="27"/>
      <c r="H780" s="27"/>
      <c r="I780" s="27"/>
      <c r="J780" s="27"/>
      <c r="K780" s="27"/>
      <c r="L780" s="23"/>
      <c r="M780" s="23"/>
    </row>
    <row r="781" ht="15.75" customHeight="1">
      <c r="A781" s="23"/>
      <c r="B781" s="24"/>
      <c r="C781" s="25"/>
      <c r="D781" s="26"/>
      <c r="E781" s="26"/>
      <c r="F781" s="26"/>
      <c r="G781" s="27"/>
      <c r="H781" s="27"/>
      <c r="I781" s="27"/>
      <c r="J781" s="27"/>
      <c r="K781" s="27"/>
      <c r="L781" s="23"/>
      <c r="M781" s="23"/>
    </row>
    <row r="782" ht="15.75" customHeight="1">
      <c r="A782" s="23"/>
      <c r="B782" s="24"/>
      <c r="C782" s="25"/>
      <c r="D782" s="26"/>
      <c r="E782" s="26"/>
      <c r="F782" s="26"/>
      <c r="G782" s="27"/>
      <c r="H782" s="27"/>
      <c r="I782" s="27"/>
      <c r="J782" s="27"/>
      <c r="K782" s="27"/>
      <c r="L782" s="23"/>
      <c r="M782" s="23"/>
    </row>
    <row r="783" ht="15.75" customHeight="1">
      <c r="A783" s="23"/>
      <c r="B783" s="24"/>
      <c r="C783" s="25"/>
      <c r="D783" s="26"/>
      <c r="E783" s="26"/>
      <c r="F783" s="26"/>
      <c r="G783" s="27"/>
      <c r="H783" s="27"/>
      <c r="I783" s="27"/>
      <c r="J783" s="27"/>
      <c r="K783" s="27"/>
      <c r="L783" s="23"/>
      <c r="M783" s="23"/>
    </row>
    <row r="784" ht="15.75" customHeight="1">
      <c r="A784" s="23"/>
      <c r="B784" s="24"/>
      <c r="C784" s="25"/>
      <c r="D784" s="26"/>
      <c r="E784" s="26"/>
      <c r="F784" s="26"/>
      <c r="G784" s="27"/>
      <c r="H784" s="27"/>
      <c r="I784" s="27"/>
      <c r="J784" s="27"/>
      <c r="K784" s="27"/>
      <c r="L784" s="23"/>
      <c r="M784" s="23"/>
    </row>
    <row r="785" ht="15.75" customHeight="1">
      <c r="A785" s="23"/>
      <c r="B785" s="24"/>
      <c r="C785" s="25"/>
      <c r="D785" s="26"/>
      <c r="E785" s="26"/>
      <c r="F785" s="26"/>
      <c r="G785" s="27"/>
      <c r="H785" s="27"/>
      <c r="I785" s="27"/>
      <c r="J785" s="27"/>
      <c r="K785" s="27"/>
      <c r="L785" s="23"/>
      <c r="M785" s="23"/>
    </row>
    <row r="786" ht="15.75" customHeight="1">
      <c r="A786" s="23"/>
      <c r="B786" s="24"/>
      <c r="C786" s="25"/>
      <c r="D786" s="26"/>
      <c r="E786" s="26"/>
      <c r="F786" s="26"/>
      <c r="G786" s="27"/>
      <c r="H786" s="27"/>
      <c r="I786" s="27"/>
      <c r="J786" s="27"/>
      <c r="K786" s="27"/>
      <c r="L786" s="23"/>
      <c r="M786" s="23"/>
    </row>
    <row r="787" ht="15.75" customHeight="1">
      <c r="A787" s="23"/>
      <c r="B787" s="24"/>
      <c r="C787" s="25"/>
      <c r="D787" s="26"/>
      <c r="E787" s="26"/>
      <c r="F787" s="26"/>
      <c r="G787" s="27"/>
      <c r="H787" s="27"/>
      <c r="I787" s="27"/>
      <c r="J787" s="27"/>
      <c r="K787" s="27"/>
      <c r="L787" s="23"/>
      <c r="M787" s="23"/>
    </row>
    <row r="788" ht="15.75" customHeight="1">
      <c r="A788" s="23"/>
      <c r="B788" s="24"/>
      <c r="C788" s="25"/>
      <c r="D788" s="26"/>
      <c r="E788" s="26"/>
      <c r="F788" s="26"/>
      <c r="G788" s="27"/>
      <c r="H788" s="27"/>
      <c r="I788" s="27"/>
      <c r="J788" s="27"/>
      <c r="K788" s="27"/>
      <c r="L788" s="23"/>
      <c r="M788" s="23"/>
    </row>
    <row r="789" ht="15.75" customHeight="1">
      <c r="A789" s="23"/>
      <c r="B789" s="24"/>
      <c r="C789" s="25"/>
      <c r="D789" s="26"/>
      <c r="E789" s="26"/>
      <c r="F789" s="26"/>
      <c r="G789" s="27"/>
      <c r="H789" s="27"/>
      <c r="I789" s="27"/>
      <c r="J789" s="27"/>
      <c r="K789" s="27"/>
      <c r="L789" s="23"/>
      <c r="M789" s="23"/>
    </row>
    <row r="790" ht="15.75" customHeight="1">
      <c r="A790" s="23"/>
      <c r="B790" s="24"/>
      <c r="C790" s="25"/>
      <c r="D790" s="26"/>
      <c r="E790" s="26"/>
      <c r="F790" s="26"/>
      <c r="G790" s="27"/>
      <c r="H790" s="27"/>
      <c r="I790" s="27"/>
      <c r="J790" s="27"/>
      <c r="K790" s="27"/>
      <c r="L790" s="23"/>
      <c r="M790" s="23"/>
    </row>
    <row r="791" ht="15.75" customHeight="1">
      <c r="A791" s="23"/>
      <c r="B791" s="24"/>
      <c r="C791" s="25"/>
      <c r="D791" s="26"/>
      <c r="E791" s="26"/>
      <c r="F791" s="26"/>
      <c r="G791" s="27"/>
      <c r="H791" s="27"/>
      <c r="I791" s="27"/>
      <c r="J791" s="27"/>
      <c r="K791" s="27"/>
      <c r="L791" s="23"/>
      <c r="M791" s="23"/>
    </row>
    <row r="792" ht="15.75" customHeight="1">
      <c r="A792" s="23"/>
      <c r="B792" s="24"/>
      <c r="C792" s="25"/>
      <c r="D792" s="26"/>
      <c r="E792" s="26"/>
      <c r="F792" s="26"/>
      <c r="G792" s="27"/>
      <c r="H792" s="27"/>
      <c r="I792" s="27"/>
      <c r="J792" s="27"/>
      <c r="K792" s="27"/>
      <c r="L792" s="23"/>
      <c r="M792" s="23"/>
    </row>
    <row r="793" ht="15.75" customHeight="1">
      <c r="A793" s="23"/>
      <c r="B793" s="24"/>
      <c r="C793" s="25"/>
      <c r="D793" s="26"/>
      <c r="E793" s="26"/>
      <c r="F793" s="26"/>
      <c r="G793" s="27"/>
      <c r="H793" s="27"/>
      <c r="I793" s="27"/>
      <c r="J793" s="27"/>
      <c r="K793" s="27"/>
      <c r="L793" s="23"/>
      <c r="M793" s="23"/>
    </row>
    <row r="794" ht="15.75" customHeight="1">
      <c r="A794" s="23"/>
      <c r="B794" s="24"/>
      <c r="C794" s="25"/>
      <c r="D794" s="26"/>
      <c r="E794" s="26"/>
      <c r="F794" s="26"/>
      <c r="G794" s="27"/>
      <c r="H794" s="27"/>
      <c r="I794" s="27"/>
      <c r="J794" s="27"/>
      <c r="K794" s="27"/>
      <c r="L794" s="23"/>
      <c r="M794" s="23"/>
    </row>
    <row r="795" ht="15.75" customHeight="1">
      <c r="A795" s="23"/>
      <c r="B795" s="24"/>
      <c r="C795" s="25"/>
      <c r="D795" s="26"/>
      <c r="E795" s="26"/>
      <c r="F795" s="26"/>
      <c r="G795" s="27"/>
      <c r="H795" s="27"/>
      <c r="I795" s="27"/>
      <c r="J795" s="27"/>
      <c r="K795" s="27"/>
      <c r="L795" s="23"/>
      <c r="M795" s="23"/>
    </row>
    <row r="796" ht="15.75" customHeight="1">
      <c r="A796" s="23"/>
      <c r="B796" s="24"/>
      <c r="C796" s="25"/>
      <c r="D796" s="26"/>
      <c r="E796" s="26"/>
      <c r="F796" s="26"/>
      <c r="G796" s="27"/>
      <c r="H796" s="27"/>
      <c r="I796" s="27"/>
      <c r="J796" s="27"/>
      <c r="K796" s="27"/>
      <c r="L796" s="23"/>
      <c r="M796" s="23"/>
    </row>
    <row r="797" ht="15.75" customHeight="1">
      <c r="A797" s="23"/>
      <c r="B797" s="24"/>
      <c r="C797" s="25"/>
      <c r="D797" s="26"/>
      <c r="E797" s="26"/>
      <c r="F797" s="26"/>
      <c r="G797" s="27"/>
      <c r="H797" s="27"/>
      <c r="I797" s="27"/>
      <c r="J797" s="27"/>
      <c r="K797" s="27"/>
      <c r="L797" s="23"/>
      <c r="M797" s="23"/>
    </row>
    <row r="798" ht="15.75" customHeight="1">
      <c r="A798" s="23"/>
      <c r="B798" s="24"/>
      <c r="C798" s="25"/>
      <c r="D798" s="26"/>
      <c r="E798" s="26"/>
      <c r="F798" s="26"/>
      <c r="G798" s="27"/>
      <c r="H798" s="27"/>
      <c r="I798" s="27"/>
      <c r="J798" s="27"/>
      <c r="K798" s="27"/>
      <c r="L798" s="23"/>
      <c r="M798" s="23"/>
    </row>
    <row r="799" ht="15.75" customHeight="1">
      <c r="A799" s="23"/>
      <c r="B799" s="24"/>
      <c r="C799" s="25"/>
      <c r="D799" s="26"/>
      <c r="E799" s="26"/>
      <c r="F799" s="26"/>
      <c r="G799" s="27"/>
      <c r="H799" s="27"/>
      <c r="I799" s="27"/>
      <c r="J799" s="27"/>
      <c r="K799" s="27"/>
      <c r="L799" s="23"/>
      <c r="M799" s="23"/>
    </row>
    <row r="800" ht="15.75" customHeight="1">
      <c r="A800" s="23"/>
      <c r="B800" s="24"/>
      <c r="C800" s="25"/>
      <c r="D800" s="26"/>
      <c r="E800" s="26"/>
      <c r="F800" s="26"/>
      <c r="G800" s="27"/>
      <c r="H800" s="27"/>
      <c r="I800" s="27"/>
      <c r="J800" s="27"/>
      <c r="K800" s="27"/>
      <c r="L800" s="23"/>
      <c r="M800" s="23"/>
    </row>
    <row r="801" ht="15.75" customHeight="1">
      <c r="A801" s="23"/>
      <c r="B801" s="24"/>
      <c r="C801" s="25"/>
      <c r="D801" s="26"/>
      <c r="E801" s="26"/>
      <c r="F801" s="26"/>
      <c r="G801" s="27"/>
      <c r="H801" s="27"/>
      <c r="I801" s="27"/>
      <c r="J801" s="27"/>
      <c r="K801" s="27"/>
      <c r="L801" s="23"/>
      <c r="M801" s="23"/>
    </row>
    <row r="802" ht="15.75" customHeight="1">
      <c r="A802" s="23"/>
      <c r="B802" s="24"/>
      <c r="C802" s="25"/>
      <c r="D802" s="26"/>
      <c r="E802" s="26"/>
      <c r="F802" s="26"/>
      <c r="G802" s="27"/>
      <c r="H802" s="27"/>
      <c r="I802" s="27"/>
      <c r="J802" s="27"/>
      <c r="K802" s="27"/>
      <c r="L802" s="23"/>
      <c r="M802" s="23"/>
    </row>
    <row r="803" ht="15.75" customHeight="1">
      <c r="A803" s="23"/>
      <c r="B803" s="24"/>
      <c r="C803" s="25"/>
      <c r="D803" s="26"/>
      <c r="E803" s="26"/>
      <c r="F803" s="26"/>
      <c r="G803" s="27"/>
      <c r="H803" s="27"/>
      <c r="I803" s="27"/>
      <c r="J803" s="27"/>
      <c r="K803" s="27"/>
      <c r="L803" s="23"/>
      <c r="M803" s="23"/>
    </row>
    <row r="804" ht="15.75" customHeight="1">
      <c r="A804" s="23"/>
      <c r="B804" s="24"/>
      <c r="C804" s="25"/>
      <c r="D804" s="26"/>
      <c r="E804" s="26"/>
      <c r="F804" s="26"/>
      <c r="G804" s="27"/>
      <c r="H804" s="27"/>
      <c r="I804" s="27"/>
      <c r="J804" s="27"/>
      <c r="K804" s="27"/>
      <c r="L804" s="23"/>
      <c r="M804" s="23"/>
    </row>
    <row r="805" ht="15.75" customHeight="1">
      <c r="A805" s="23"/>
      <c r="B805" s="24"/>
      <c r="C805" s="25"/>
      <c r="D805" s="26"/>
      <c r="E805" s="26"/>
      <c r="F805" s="26"/>
      <c r="G805" s="27"/>
      <c r="H805" s="27"/>
      <c r="I805" s="27"/>
      <c r="J805" s="27"/>
      <c r="K805" s="27"/>
      <c r="L805" s="23"/>
      <c r="M805" s="23"/>
    </row>
    <row r="806" ht="15.75" customHeight="1">
      <c r="A806" s="23"/>
      <c r="B806" s="24"/>
      <c r="C806" s="25"/>
      <c r="D806" s="26"/>
      <c r="E806" s="26"/>
      <c r="F806" s="26"/>
      <c r="G806" s="27"/>
      <c r="H806" s="27"/>
      <c r="I806" s="27"/>
      <c r="J806" s="27"/>
      <c r="K806" s="27"/>
      <c r="L806" s="23"/>
      <c r="M806" s="23"/>
    </row>
    <row r="807" ht="15.75" customHeight="1">
      <c r="A807" s="23"/>
      <c r="B807" s="24"/>
      <c r="C807" s="25"/>
      <c r="D807" s="26"/>
      <c r="E807" s="26"/>
      <c r="F807" s="26"/>
      <c r="G807" s="27"/>
      <c r="H807" s="27"/>
      <c r="I807" s="27"/>
      <c r="J807" s="27"/>
      <c r="K807" s="27"/>
      <c r="L807" s="23"/>
      <c r="M807" s="23"/>
    </row>
    <row r="808" ht="15.75" customHeight="1">
      <c r="A808" s="23"/>
      <c r="B808" s="24"/>
      <c r="C808" s="25"/>
      <c r="D808" s="26"/>
      <c r="E808" s="26"/>
      <c r="F808" s="26"/>
      <c r="G808" s="27"/>
      <c r="H808" s="27"/>
      <c r="I808" s="27"/>
      <c r="J808" s="27"/>
      <c r="K808" s="27"/>
      <c r="L808" s="23"/>
      <c r="M808" s="23"/>
    </row>
    <row r="809" ht="15.75" customHeight="1">
      <c r="A809" s="23"/>
      <c r="B809" s="24"/>
      <c r="C809" s="25"/>
      <c r="D809" s="26"/>
      <c r="E809" s="26"/>
      <c r="F809" s="26"/>
      <c r="G809" s="27"/>
      <c r="H809" s="27"/>
      <c r="I809" s="27"/>
      <c r="J809" s="27"/>
      <c r="K809" s="27"/>
      <c r="L809" s="23"/>
      <c r="M809" s="23"/>
    </row>
    <row r="810" ht="15.75" customHeight="1">
      <c r="A810" s="23"/>
      <c r="B810" s="24"/>
      <c r="C810" s="25"/>
      <c r="D810" s="26"/>
      <c r="E810" s="26"/>
      <c r="F810" s="26"/>
      <c r="G810" s="27"/>
      <c r="H810" s="27"/>
      <c r="I810" s="27"/>
      <c r="J810" s="27"/>
      <c r="K810" s="27"/>
      <c r="L810" s="23"/>
      <c r="M810" s="23"/>
    </row>
    <row r="811" ht="15.75" customHeight="1">
      <c r="A811" s="23"/>
      <c r="B811" s="24"/>
      <c r="C811" s="25"/>
      <c r="D811" s="26"/>
      <c r="E811" s="26"/>
      <c r="F811" s="26"/>
      <c r="G811" s="27"/>
      <c r="H811" s="27"/>
      <c r="I811" s="27"/>
      <c r="J811" s="27"/>
      <c r="K811" s="27"/>
      <c r="L811" s="23"/>
      <c r="M811" s="23"/>
    </row>
    <row r="812" ht="15.75" customHeight="1">
      <c r="A812" s="23"/>
      <c r="B812" s="24"/>
      <c r="C812" s="25"/>
      <c r="D812" s="26"/>
      <c r="E812" s="26"/>
      <c r="F812" s="26"/>
      <c r="G812" s="27"/>
      <c r="H812" s="27"/>
      <c r="I812" s="27"/>
      <c r="J812" s="27"/>
      <c r="K812" s="27"/>
      <c r="L812" s="23"/>
      <c r="M812" s="23"/>
    </row>
    <row r="813" ht="15.75" customHeight="1">
      <c r="A813" s="23"/>
      <c r="B813" s="24"/>
      <c r="C813" s="25"/>
      <c r="D813" s="26"/>
      <c r="E813" s="26"/>
      <c r="F813" s="26"/>
      <c r="G813" s="27"/>
      <c r="H813" s="27"/>
      <c r="I813" s="27"/>
      <c r="J813" s="27"/>
      <c r="K813" s="27"/>
      <c r="L813" s="23"/>
      <c r="M813" s="23"/>
    </row>
    <row r="814" ht="15.75" customHeight="1">
      <c r="A814" s="23"/>
      <c r="B814" s="24"/>
      <c r="C814" s="25"/>
      <c r="D814" s="26"/>
      <c r="E814" s="26"/>
      <c r="F814" s="26"/>
      <c r="G814" s="27"/>
      <c r="H814" s="27"/>
      <c r="I814" s="27"/>
      <c r="J814" s="27"/>
      <c r="K814" s="27"/>
      <c r="L814" s="23"/>
      <c r="M814" s="23"/>
    </row>
    <row r="815" ht="15.75" customHeight="1">
      <c r="A815" s="23"/>
      <c r="B815" s="24"/>
      <c r="C815" s="25"/>
      <c r="D815" s="26"/>
      <c r="E815" s="26"/>
      <c r="F815" s="26"/>
      <c r="G815" s="27"/>
      <c r="H815" s="27"/>
      <c r="I815" s="27"/>
      <c r="J815" s="27"/>
      <c r="K815" s="27"/>
      <c r="L815" s="23"/>
      <c r="M815" s="23"/>
    </row>
    <row r="816" ht="15.75" customHeight="1">
      <c r="A816" s="23"/>
      <c r="B816" s="24"/>
      <c r="C816" s="25"/>
      <c r="D816" s="26"/>
      <c r="E816" s="26"/>
      <c r="F816" s="26"/>
      <c r="G816" s="27"/>
      <c r="H816" s="27"/>
      <c r="I816" s="27"/>
      <c r="J816" s="27"/>
      <c r="K816" s="27"/>
      <c r="L816" s="23"/>
      <c r="M816" s="23"/>
    </row>
    <row r="817" ht="15.75" customHeight="1">
      <c r="A817" s="23"/>
      <c r="B817" s="24"/>
      <c r="C817" s="25"/>
      <c r="D817" s="26"/>
      <c r="E817" s="26"/>
      <c r="F817" s="26"/>
      <c r="G817" s="27"/>
      <c r="H817" s="27"/>
      <c r="I817" s="27"/>
      <c r="J817" s="27"/>
      <c r="K817" s="27"/>
      <c r="L817" s="23"/>
      <c r="M817" s="23"/>
    </row>
    <row r="818" ht="15.75" customHeight="1">
      <c r="A818" s="23"/>
      <c r="B818" s="24"/>
      <c r="C818" s="25"/>
      <c r="D818" s="26"/>
      <c r="E818" s="26"/>
      <c r="F818" s="26"/>
      <c r="G818" s="27"/>
      <c r="H818" s="27"/>
      <c r="I818" s="27"/>
      <c r="J818" s="27"/>
      <c r="K818" s="27"/>
      <c r="L818" s="23"/>
      <c r="M818" s="23"/>
    </row>
    <row r="819" ht="15.75" customHeight="1">
      <c r="A819" s="23"/>
      <c r="B819" s="24"/>
      <c r="C819" s="25"/>
      <c r="D819" s="26"/>
      <c r="E819" s="26"/>
      <c r="F819" s="26"/>
      <c r="G819" s="27"/>
      <c r="H819" s="27"/>
      <c r="I819" s="27"/>
      <c r="J819" s="27"/>
      <c r="K819" s="27"/>
      <c r="L819" s="23"/>
      <c r="M819" s="23"/>
    </row>
    <row r="820" ht="15.75" customHeight="1">
      <c r="A820" s="23"/>
      <c r="B820" s="24"/>
      <c r="C820" s="25"/>
      <c r="D820" s="26"/>
      <c r="E820" s="26"/>
      <c r="F820" s="26"/>
      <c r="G820" s="27"/>
      <c r="H820" s="27"/>
      <c r="I820" s="27"/>
      <c r="J820" s="27"/>
      <c r="K820" s="27"/>
      <c r="L820" s="23"/>
      <c r="M820" s="23"/>
    </row>
    <row r="821" ht="15.75" customHeight="1">
      <c r="A821" s="23"/>
      <c r="B821" s="24"/>
      <c r="C821" s="25"/>
      <c r="D821" s="26"/>
      <c r="E821" s="26"/>
      <c r="F821" s="26"/>
      <c r="G821" s="27"/>
      <c r="H821" s="27"/>
      <c r="I821" s="27"/>
      <c r="J821" s="27"/>
      <c r="K821" s="27"/>
      <c r="L821" s="23"/>
      <c r="M821" s="23"/>
    </row>
    <row r="822" ht="15.75" customHeight="1">
      <c r="A822" s="23"/>
      <c r="B822" s="24"/>
      <c r="C822" s="25"/>
      <c r="D822" s="26"/>
      <c r="E822" s="26"/>
      <c r="F822" s="26"/>
      <c r="G822" s="27"/>
      <c r="H822" s="27"/>
      <c r="I822" s="27"/>
      <c r="J822" s="27"/>
      <c r="K822" s="27"/>
      <c r="L822" s="23"/>
      <c r="M822" s="23"/>
    </row>
    <row r="823" ht="15.75" customHeight="1">
      <c r="A823" s="23"/>
      <c r="B823" s="24"/>
      <c r="C823" s="25"/>
      <c r="D823" s="26"/>
      <c r="E823" s="26"/>
      <c r="F823" s="26"/>
      <c r="G823" s="27"/>
      <c r="H823" s="27"/>
      <c r="I823" s="27"/>
      <c r="J823" s="27"/>
      <c r="K823" s="27"/>
      <c r="L823" s="23"/>
      <c r="M823" s="23"/>
    </row>
    <row r="824" ht="15.75" customHeight="1">
      <c r="A824" s="23"/>
      <c r="B824" s="24"/>
      <c r="C824" s="25"/>
      <c r="D824" s="26"/>
      <c r="E824" s="26"/>
      <c r="F824" s="26"/>
      <c r="G824" s="27"/>
      <c r="H824" s="27"/>
      <c r="I824" s="27"/>
      <c r="J824" s="27"/>
      <c r="K824" s="27"/>
      <c r="L824" s="23"/>
      <c r="M824" s="23"/>
    </row>
    <row r="825" ht="15.75" customHeight="1">
      <c r="A825" s="23"/>
      <c r="B825" s="24"/>
      <c r="C825" s="25"/>
      <c r="D825" s="26"/>
      <c r="E825" s="26"/>
      <c r="F825" s="26"/>
      <c r="G825" s="27"/>
      <c r="H825" s="27"/>
      <c r="I825" s="27"/>
      <c r="J825" s="27"/>
      <c r="K825" s="27"/>
      <c r="L825" s="23"/>
      <c r="M825" s="23"/>
    </row>
    <row r="826" ht="15.75" customHeight="1">
      <c r="A826" s="23"/>
      <c r="B826" s="24"/>
      <c r="C826" s="25"/>
      <c r="D826" s="26"/>
      <c r="E826" s="26"/>
      <c r="F826" s="26"/>
      <c r="G826" s="27"/>
      <c r="H826" s="27"/>
      <c r="I826" s="27"/>
      <c r="J826" s="27"/>
      <c r="K826" s="27"/>
      <c r="L826" s="23"/>
      <c r="M826" s="23"/>
    </row>
    <row r="827" ht="15.75" customHeight="1">
      <c r="A827" s="23"/>
      <c r="B827" s="24"/>
      <c r="C827" s="25"/>
      <c r="D827" s="26"/>
      <c r="E827" s="26"/>
      <c r="F827" s="26"/>
      <c r="G827" s="27"/>
      <c r="H827" s="27"/>
      <c r="I827" s="27"/>
      <c r="J827" s="27"/>
      <c r="K827" s="27"/>
      <c r="L827" s="23"/>
      <c r="M827" s="23"/>
    </row>
    <row r="828" ht="15.75" customHeight="1">
      <c r="A828" s="23"/>
      <c r="B828" s="24"/>
      <c r="C828" s="25"/>
      <c r="D828" s="26"/>
      <c r="E828" s="26"/>
      <c r="F828" s="26"/>
      <c r="G828" s="27"/>
      <c r="H828" s="27"/>
      <c r="I828" s="27"/>
      <c r="J828" s="27"/>
      <c r="K828" s="27"/>
      <c r="L828" s="23"/>
      <c r="M828" s="23"/>
    </row>
    <row r="829" ht="15.75" customHeight="1">
      <c r="A829" s="23"/>
      <c r="B829" s="24"/>
      <c r="C829" s="25"/>
      <c r="D829" s="26"/>
      <c r="E829" s="26"/>
      <c r="F829" s="26"/>
      <c r="G829" s="27"/>
      <c r="H829" s="27"/>
      <c r="I829" s="27"/>
      <c r="J829" s="27"/>
      <c r="K829" s="27"/>
      <c r="L829" s="23"/>
      <c r="M829" s="23"/>
    </row>
    <row r="830" ht="15.75" customHeight="1">
      <c r="A830" s="23"/>
      <c r="B830" s="24"/>
      <c r="C830" s="25"/>
      <c r="D830" s="26"/>
      <c r="E830" s="26"/>
      <c r="F830" s="26"/>
      <c r="G830" s="27"/>
      <c r="H830" s="27"/>
      <c r="I830" s="27"/>
      <c r="J830" s="27"/>
      <c r="K830" s="27"/>
      <c r="L830" s="23"/>
      <c r="M830" s="23"/>
    </row>
    <row r="831" ht="15.75" customHeight="1">
      <c r="A831" s="23"/>
      <c r="B831" s="24"/>
      <c r="C831" s="25"/>
      <c r="D831" s="26"/>
      <c r="E831" s="26"/>
      <c r="F831" s="26"/>
      <c r="G831" s="27"/>
      <c r="H831" s="27"/>
      <c r="I831" s="27"/>
      <c r="J831" s="27"/>
      <c r="K831" s="27"/>
      <c r="L831" s="23"/>
      <c r="M831" s="23"/>
    </row>
    <row r="832" ht="15.75" customHeight="1">
      <c r="A832" s="23"/>
      <c r="B832" s="24"/>
      <c r="C832" s="25"/>
      <c r="D832" s="26"/>
      <c r="E832" s="26"/>
      <c r="F832" s="26"/>
      <c r="G832" s="27"/>
      <c r="H832" s="27"/>
      <c r="I832" s="27"/>
      <c r="J832" s="27"/>
      <c r="K832" s="27"/>
      <c r="L832" s="23"/>
      <c r="M832" s="23"/>
    </row>
    <row r="833" ht="15.75" customHeight="1">
      <c r="A833" s="23"/>
      <c r="B833" s="24"/>
      <c r="C833" s="25"/>
      <c r="D833" s="26"/>
      <c r="E833" s="26"/>
      <c r="F833" s="26"/>
      <c r="G833" s="27"/>
      <c r="H833" s="27"/>
      <c r="I833" s="27"/>
      <c r="J833" s="27"/>
      <c r="K833" s="27"/>
      <c r="L833" s="23"/>
      <c r="M833" s="23"/>
    </row>
    <row r="834" ht="15.75" customHeight="1">
      <c r="A834" s="23"/>
      <c r="B834" s="24"/>
      <c r="C834" s="25"/>
      <c r="D834" s="26"/>
      <c r="E834" s="26"/>
      <c r="F834" s="26"/>
      <c r="G834" s="27"/>
      <c r="H834" s="27"/>
      <c r="I834" s="27"/>
      <c r="J834" s="27"/>
      <c r="K834" s="27"/>
      <c r="L834" s="23"/>
      <c r="M834" s="23"/>
    </row>
    <row r="835" ht="15.75" customHeight="1">
      <c r="A835" s="23"/>
      <c r="B835" s="24"/>
      <c r="C835" s="25"/>
      <c r="D835" s="26"/>
      <c r="E835" s="26"/>
      <c r="F835" s="26"/>
      <c r="G835" s="27"/>
      <c r="H835" s="27"/>
      <c r="I835" s="27"/>
      <c r="J835" s="27"/>
      <c r="K835" s="27"/>
      <c r="L835" s="23"/>
      <c r="M835" s="23"/>
    </row>
    <row r="836" ht="15.75" customHeight="1">
      <c r="A836" s="23"/>
      <c r="B836" s="24"/>
      <c r="C836" s="25"/>
      <c r="D836" s="26"/>
      <c r="E836" s="26"/>
      <c r="F836" s="26"/>
      <c r="G836" s="27"/>
      <c r="H836" s="27"/>
      <c r="I836" s="27"/>
      <c r="J836" s="27"/>
      <c r="K836" s="27"/>
      <c r="L836" s="23"/>
      <c r="M836" s="23"/>
    </row>
    <row r="837" ht="15.75" customHeight="1">
      <c r="A837" s="23"/>
      <c r="B837" s="24"/>
      <c r="C837" s="25"/>
      <c r="D837" s="26"/>
      <c r="E837" s="26"/>
      <c r="F837" s="26"/>
      <c r="G837" s="27"/>
      <c r="H837" s="27"/>
      <c r="I837" s="27"/>
      <c r="J837" s="27"/>
      <c r="K837" s="27"/>
      <c r="L837" s="23"/>
      <c r="M837" s="23"/>
    </row>
    <row r="838" ht="15.75" customHeight="1">
      <c r="A838" s="23"/>
      <c r="B838" s="24"/>
      <c r="C838" s="25"/>
      <c r="D838" s="26"/>
      <c r="E838" s="26"/>
      <c r="F838" s="26"/>
      <c r="G838" s="27"/>
      <c r="H838" s="27"/>
      <c r="I838" s="27"/>
      <c r="J838" s="27"/>
      <c r="K838" s="27"/>
      <c r="L838" s="23"/>
      <c r="M838" s="23"/>
    </row>
    <row r="839" ht="15.75" customHeight="1">
      <c r="A839" s="23"/>
      <c r="B839" s="24"/>
      <c r="C839" s="25"/>
      <c r="D839" s="26"/>
      <c r="E839" s="26"/>
      <c r="F839" s="26"/>
      <c r="G839" s="27"/>
      <c r="H839" s="27"/>
      <c r="I839" s="27"/>
      <c r="J839" s="27"/>
      <c r="K839" s="27"/>
      <c r="L839" s="23"/>
      <c r="M839" s="23"/>
    </row>
    <row r="840" ht="15.75" customHeight="1">
      <c r="A840" s="23"/>
      <c r="B840" s="24"/>
      <c r="C840" s="25"/>
      <c r="D840" s="26"/>
      <c r="E840" s="26"/>
      <c r="F840" s="26"/>
      <c r="G840" s="27"/>
      <c r="H840" s="27"/>
      <c r="I840" s="27"/>
      <c r="J840" s="27"/>
      <c r="K840" s="27"/>
      <c r="L840" s="23"/>
      <c r="M840" s="23"/>
    </row>
    <row r="841" ht="15.75" customHeight="1">
      <c r="A841" s="23"/>
      <c r="B841" s="24"/>
      <c r="C841" s="25"/>
      <c r="D841" s="26"/>
      <c r="E841" s="26"/>
      <c r="F841" s="26"/>
      <c r="G841" s="27"/>
      <c r="H841" s="27"/>
      <c r="I841" s="27"/>
      <c r="J841" s="27"/>
      <c r="K841" s="27"/>
      <c r="L841" s="23"/>
      <c r="M841" s="23"/>
    </row>
    <row r="842" ht="15.75" customHeight="1">
      <c r="A842" s="23"/>
      <c r="B842" s="24"/>
      <c r="C842" s="25"/>
      <c r="D842" s="26"/>
      <c r="E842" s="26"/>
      <c r="F842" s="26"/>
      <c r="G842" s="27"/>
      <c r="H842" s="27"/>
      <c r="I842" s="27"/>
      <c r="J842" s="27"/>
      <c r="K842" s="27"/>
      <c r="L842" s="23"/>
      <c r="M842" s="23"/>
    </row>
    <row r="843" ht="15.75" customHeight="1">
      <c r="A843" s="23"/>
      <c r="B843" s="24"/>
      <c r="C843" s="25"/>
      <c r="D843" s="26"/>
      <c r="E843" s="26"/>
      <c r="F843" s="26"/>
      <c r="G843" s="27"/>
      <c r="H843" s="27"/>
      <c r="I843" s="27"/>
      <c r="J843" s="27"/>
      <c r="K843" s="27"/>
      <c r="L843" s="23"/>
      <c r="M843" s="23"/>
    </row>
    <row r="844" ht="15.75" customHeight="1">
      <c r="A844" s="23"/>
      <c r="B844" s="24"/>
      <c r="C844" s="25"/>
      <c r="D844" s="26"/>
      <c r="E844" s="26"/>
      <c r="F844" s="26"/>
      <c r="G844" s="27"/>
      <c r="H844" s="27"/>
      <c r="I844" s="27"/>
      <c r="J844" s="27"/>
      <c r="K844" s="27"/>
      <c r="L844" s="23"/>
      <c r="M844" s="23"/>
    </row>
    <row r="845" ht="15.75" customHeight="1">
      <c r="A845" s="23"/>
      <c r="B845" s="24"/>
      <c r="C845" s="25"/>
      <c r="D845" s="26"/>
      <c r="E845" s="26"/>
      <c r="F845" s="26"/>
      <c r="G845" s="27"/>
      <c r="H845" s="27"/>
      <c r="I845" s="27"/>
      <c r="J845" s="27"/>
      <c r="K845" s="27"/>
      <c r="L845" s="23"/>
      <c r="M845" s="23"/>
    </row>
    <row r="846" ht="15.75" customHeight="1">
      <c r="A846" s="23"/>
      <c r="B846" s="24"/>
      <c r="C846" s="25"/>
      <c r="D846" s="26"/>
      <c r="E846" s="26"/>
      <c r="F846" s="26"/>
      <c r="G846" s="27"/>
      <c r="H846" s="27"/>
      <c r="I846" s="27"/>
      <c r="J846" s="27"/>
      <c r="K846" s="27"/>
      <c r="L846" s="23"/>
      <c r="M846" s="23"/>
    </row>
    <row r="847" ht="15.75" customHeight="1">
      <c r="A847" s="23"/>
      <c r="B847" s="24"/>
      <c r="C847" s="25"/>
      <c r="D847" s="26"/>
      <c r="E847" s="26"/>
      <c r="F847" s="26"/>
      <c r="G847" s="27"/>
      <c r="H847" s="27"/>
      <c r="I847" s="27"/>
      <c r="J847" s="27"/>
      <c r="K847" s="27"/>
      <c r="L847" s="23"/>
      <c r="M847" s="23"/>
    </row>
    <row r="848" ht="15.75" customHeight="1">
      <c r="A848" s="23"/>
      <c r="B848" s="24"/>
      <c r="C848" s="25"/>
      <c r="D848" s="26"/>
      <c r="E848" s="26"/>
      <c r="F848" s="26"/>
      <c r="G848" s="27"/>
      <c r="H848" s="27"/>
      <c r="I848" s="27"/>
      <c r="J848" s="27"/>
      <c r="K848" s="27"/>
      <c r="L848" s="23"/>
      <c r="M848" s="23"/>
    </row>
    <row r="849" ht="15.75" customHeight="1">
      <c r="A849" s="23"/>
      <c r="B849" s="24"/>
      <c r="C849" s="25"/>
      <c r="D849" s="26"/>
      <c r="E849" s="26"/>
      <c r="F849" s="26"/>
      <c r="G849" s="27"/>
      <c r="H849" s="27"/>
      <c r="I849" s="27"/>
      <c r="J849" s="27"/>
      <c r="K849" s="27"/>
      <c r="L849" s="23"/>
      <c r="M849" s="23"/>
    </row>
    <row r="850" ht="15.75" customHeight="1">
      <c r="A850" s="23"/>
      <c r="B850" s="24"/>
      <c r="C850" s="25"/>
      <c r="D850" s="26"/>
      <c r="E850" s="26"/>
      <c r="F850" s="26"/>
      <c r="G850" s="27"/>
      <c r="H850" s="27"/>
      <c r="I850" s="27"/>
      <c r="J850" s="27"/>
      <c r="K850" s="27"/>
      <c r="L850" s="23"/>
      <c r="M850" s="23"/>
    </row>
    <row r="851" ht="15.75" customHeight="1">
      <c r="A851" s="23"/>
      <c r="B851" s="24"/>
      <c r="C851" s="25"/>
      <c r="D851" s="26"/>
      <c r="E851" s="26"/>
      <c r="F851" s="26"/>
      <c r="G851" s="27"/>
      <c r="H851" s="27"/>
      <c r="I851" s="27"/>
      <c r="J851" s="27"/>
      <c r="K851" s="27"/>
      <c r="L851" s="23"/>
      <c r="M851" s="23"/>
    </row>
    <row r="852" ht="15.75" customHeight="1">
      <c r="A852" s="23"/>
      <c r="B852" s="24"/>
      <c r="C852" s="25"/>
      <c r="D852" s="26"/>
      <c r="E852" s="26"/>
      <c r="F852" s="26"/>
      <c r="G852" s="27"/>
      <c r="H852" s="27"/>
      <c r="I852" s="27"/>
      <c r="J852" s="27"/>
      <c r="K852" s="27"/>
      <c r="L852" s="23"/>
      <c r="M852" s="23"/>
    </row>
    <row r="853" ht="15.75" customHeight="1">
      <c r="A853" s="23"/>
      <c r="B853" s="24"/>
      <c r="C853" s="25"/>
      <c r="D853" s="26"/>
      <c r="E853" s="26"/>
      <c r="F853" s="26"/>
      <c r="G853" s="27"/>
      <c r="H853" s="27"/>
      <c r="I853" s="27"/>
      <c r="J853" s="27"/>
      <c r="K853" s="27"/>
      <c r="L853" s="23"/>
      <c r="M853" s="23"/>
    </row>
    <row r="854" ht="15.75" customHeight="1">
      <c r="A854" s="23"/>
      <c r="B854" s="24"/>
      <c r="C854" s="25"/>
      <c r="D854" s="26"/>
      <c r="E854" s="26"/>
      <c r="F854" s="26"/>
      <c r="G854" s="27"/>
      <c r="H854" s="27"/>
      <c r="I854" s="27"/>
      <c r="J854" s="27"/>
      <c r="K854" s="27"/>
      <c r="L854" s="23"/>
      <c r="M854" s="23"/>
    </row>
    <row r="855" ht="15.75" customHeight="1">
      <c r="A855" s="23"/>
      <c r="B855" s="24"/>
      <c r="C855" s="25"/>
      <c r="D855" s="26"/>
      <c r="E855" s="26"/>
      <c r="F855" s="26"/>
      <c r="G855" s="27"/>
      <c r="H855" s="27"/>
      <c r="I855" s="27"/>
      <c r="J855" s="27"/>
      <c r="K855" s="27"/>
      <c r="L855" s="23"/>
      <c r="M855" s="23"/>
    </row>
    <row r="856" ht="15.75" customHeight="1">
      <c r="A856" s="23"/>
      <c r="B856" s="24"/>
      <c r="C856" s="25"/>
      <c r="D856" s="26"/>
      <c r="E856" s="26"/>
      <c r="F856" s="26"/>
      <c r="G856" s="27"/>
      <c r="H856" s="27"/>
      <c r="I856" s="27"/>
      <c r="J856" s="27"/>
      <c r="K856" s="27"/>
      <c r="L856" s="23"/>
      <c r="M856" s="23"/>
    </row>
    <row r="857" ht="15.75" customHeight="1">
      <c r="A857" s="23"/>
      <c r="B857" s="24"/>
      <c r="C857" s="25"/>
      <c r="D857" s="26"/>
      <c r="E857" s="26"/>
      <c r="F857" s="26"/>
      <c r="G857" s="27"/>
      <c r="H857" s="27"/>
      <c r="I857" s="27"/>
      <c r="J857" s="27"/>
      <c r="K857" s="27"/>
      <c r="L857" s="23"/>
      <c r="M857" s="23"/>
    </row>
    <row r="858" ht="15.75" customHeight="1">
      <c r="A858" s="23"/>
      <c r="B858" s="24"/>
      <c r="C858" s="25"/>
      <c r="D858" s="26"/>
      <c r="E858" s="26"/>
      <c r="F858" s="26"/>
      <c r="G858" s="27"/>
      <c r="H858" s="27"/>
      <c r="I858" s="27"/>
      <c r="J858" s="27"/>
      <c r="K858" s="27"/>
      <c r="L858" s="23"/>
      <c r="M858" s="23"/>
    </row>
    <row r="859" ht="15.75" customHeight="1">
      <c r="A859" s="23"/>
      <c r="B859" s="24"/>
      <c r="C859" s="25"/>
      <c r="D859" s="26"/>
      <c r="E859" s="26"/>
      <c r="F859" s="26"/>
      <c r="G859" s="27"/>
      <c r="H859" s="27"/>
      <c r="I859" s="27"/>
      <c r="J859" s="27"/>
      <c r="K859" s="27"/>
      <c r="L859" s="23"/>
      <c r="M859" s="23"/>
    </row>
    <row r="860" ht="15.75" customHeight="1">
      <c r="A860" s="23"/>
      <c r="B860" s="24"/>
      <c r="C860" s="25"/>
      <c r="D860" s="26"/>
      <c r="E860" s="26"/>
      <c r="F860" s="26"/>
      <c r="G860" s="27"/>
      <c r="H860" s="27"/>
      <c r="I860" s="27"/>
      <c r="J860" s="27"/>
      <c r="K860" s="27"/>
      <c r="L860" s="23"/>
      <c r="M860" s="23"/>
    </row>
    <row r="861" ht="15.75" customHeight="1">
      <c r="A861" s="23"/>
      <c r="B861" s="24"/>
      <c r="C861" s="25"/>
      <c r="D861" s="26"/>
      <c r="E861" s="26"/>
      <c r="F861" s="26"/>
      <c r="G861" s="27"/>
      <c r="H861" s="27"/>
      <c r="I861" s="27"/>
      <c r="J861" s="27"/>
      <c r="K861" s="27"/>
      <c r="L861" s="23"/>
      <c r="M861" s="23"/>
    </row>
    <row r="862" ht="15.75" customHeight="1">
      <c r="A862" s="23"/>
      <c r="B862" s="24"/>
      <c r="C862" s="25"/>
      <c r="D862" s="26"/>
      <c r="E862" s="26"/>
      <c r="F862" s="26"/>
      <c r="G862" s="27"/>
      <c r="H862" s="27"/>
      <c r="I862" s="27"/>
      <c r="J862" s="27"/>
      <c r="K862" s="27"/>
      <c r="L862" s="23"/>
      <c r="M862" s="23"/>
    </row>
    <row r="863" ht="15.75" customHeight="1">
      <c r="A863" s="23"/>
      <c r="B863" s="24"/>
      <c r="C863" s="25"/>
      <c r="D863" s="26"/>
      <c r="E863" s="26"/>
      <c r="F863" s="26"/>
      <c r="G863" s="27"/>
      <c r="H863" s="27"/>
      <c r="I863" s="27"/>
      <c r="J863" s="27"/>
      <c r="K863" s="27"/>
      <c r="L863" s="23"/>
      <c r="M863" s="23"/>
    </row>
    <row r="864" ht="15.75" customHeight="1">
      <c r="A864" s="23"/>
      <c r="B864" s="24"/>
      <c r="C864" s="25"/>
      <c r="D864" s="26"/>
      <c r="E864" s="26"/>
      <c r="F864" s="26"/>
      <c r="G864" s="27"/>
      <c r="H864" s="27"/>
      <c r="I864" s="27"/>
      <c r="J864" s="27"/>
      <c r="K864" s="27"/>
      <c r="L864" s="23"/>
      <c r="M864" s="23"/>
    </row>
    <row r="865" ht="15.75" customHeight="1">
      <c r="A865" s="23"/>
      <c r="B865" s="24"/>
      <c r="C865" s="25"/>
      <c r="D865" s="26"/>
      <c r="E865" s="26"/>
      <c r="F865" s="26"/>
      <c r="G865" s="27"/>
      <c r="H865" s="27"/>
      <c r="I865" s="27"/>
      <c r="J865" s="27"/>
      <c r="K865" s="27"/>
      <c r="L865" s="23"/>
      <c r="M865" s="23"/>
    </row>
    <row r="866" ht="15.75" customHeight="1">
      <c r="A866" s="23"/>
      <c r="B866" s="24"/>
      <c r="C866" s="25"/>
      <c r="D866" s="26"/>
      <c r="E866" s="26"/>
      <c r="F866" s="26"/>
      <c r="G866" s="27"/>
      <c r="H866" s="27"/>
      <c r="I866" s="27"/>
      <c r="J866" s="27"/>
      <c r="K866" s="27"/>
      <c r="L866" s="23"/>
      <c r="M866" s="23"/>
    </row>
    <row r="867" ht="15.75" customHeight="1">
      <c r="A867" s="23"/>
      <c r="B867" s="24"/>
      <c r="C867" s="25"/>
      <c r="D867" s="26"/>
      <c r="E867" s="26"/>
      <c r="F867" s="26"/>
      <c r="G867" s="27"/>
      <c r="H867" s="27"/>
      <c r="I867" s="27"/>
      <c r="J867" s="27"/>
      <c r="K867" s="27"/>
      <c r="L867" s="23"/>
      <c r="M867" s="23"/>
    </row>
    <row r="868" ht="15.75" customHeight="1">
      <c r="A868" s="23"/>
      <c r="B868" s="24"/>
      <c r="C868" s="25"/>
      <c r="D868" s="26"/>
      <c r="E868" s="26"/>
      <c r="F868" s="26"/>
      <c r="G868" s="27"/>
      <c r="H868" s="27"/>
      <c r="I868" s="27"/>
      <c r="J868" s="27"/>
      <c r="K868" s="27"/>
      <c r="L868" s="23"/>
      <c r="M868" s="23"/>
    </row>
    <row r="869" ht="15.75" customHeight="1">
      <c r="A869" s="23"/>
      <c r="B869" s="24"/>
      <c r="C869" s="25"/>
      <c r="D869" s="26"/>
      <c r="E869" s="26"/>
      <c r="F869" s="26"/>
      <c r="G869" s="27"/>
      <c r="H869" s="27"/>
      <c r="I869" s="27"/>
      <c r="J869" s="27"/>
      <c r="K869" s="27"/>
      <c r="L869" s="23"/>
      <c r="M869" s="23"/>
    </row>
    <row r="870" ht="15.75" customHeight="1">
      <c r="A870" s="23"/>
      <c r="B870" s="24"/>
      <c r="C870" s="25"/>
      <c r="D870" s="26"/>
      <c r="E870" s="26"/>
      <c r="F870" s="26"/>
      <c r="G870" s="27"/>
      <c r="H870" s="27"/>
      <c r="I870" s="27"/>
      <c r="J870" s="27"/>
      <c r="K870" s="27"/>
      <c r="L870" s="23"/>
      <c r="M870" s="23"/>
    </row>
    <row r="871" ht="15.75" customHeight="1">
      <c r="A871" s="23"/>
      <c r="B871" s="24"/>
      <c r="C871" s="25"/>
      <c r="D871" s="26"/>
      <c r="E871" s="26"/>
      <c r="F871" s="26"/>
      <c r="G871" s="27"/>
      <c r="H871" s="27"/>
      <c r="I871" s="27"/>
      <c r="J871" s="27"/>
      <c r="K871" s="27"/>
      <c r="L871" s="23"/>
      <c r="M871" s="23"/>
    </row>
    <row r="872" ht="15.75" customHeight="1">
      <c r="A872" s="23"/>
      <c r="B872" s="24"/>
      <c r="C872" s="25"/>
      <c r="D872" s="26"/>
      <c r="E872" s="26"/>
      <c r="F872" s="26"/>
      <c r="G872" s="27"/>
      <c r="H872" s="27"/>
      <c r="I872" s="27"/>
      <c r="J872" s="27"/>
      <c r="K872" s="27"/>
      <c r="L872" s="23"/>
      <c r="M872" s="23"/>
    </row>
    <row r="873" ht="15.75" customHeight="1">
      <c r="A873" s="23"/>
      <c r="B873" s="24"/>
      <c r="C873" s="25"/>
      <c r="D873" s="26"/>
      <c r="E873" s="26"/>
      <c r="F873" s="26"/>
      <c r="G873" s="27"/>
      <c r="H873" s="27"/>
      <c r="I873" s="27"/>
      <c r="J873" s="27"/>
      <c r="K873" s="27"/>
      <c r="L873" s="23"/>
      <c r="M873" s="23"/>
    </row>
    <row r="874" ht="15.75" customHeight="1">
      <c r="A874" s="23"/>
      <c r="B874" s="24"/>
      <c r="C874" s="25"/>
      <c r="D874" s="26"/>
      <c r="E874" s="26"/>
      <c r="F874" s="26"/>
      <c r="G874" s="27"/>
      <c r="H874" s="27"/>
      <c r="I874" s="27"/>
      <c r="J874" s="27"/>
      <c r="K874" s="27"/>
      <c r="L874" s="23"/>
      <c r="M874" s="23"/>
    </row>
    <row r="875" ht="15.75" customHeight="1">
      <c r="A875" s="23"/>
      <c r="B875" s="24"/>
      <c r="C875" s="25"/>
      <c r="D875" s="26"/>
      <c r="E875" s="26"/>
      <c r="F875" s="26"/>
      <c r="G875" s="27"/>
      <c r="H875" s="27"/>
      <c r="I875" s="27"/>
      <c r="J875" s="27"/>
      <c r="K875" s="27"/>
      <c r="L875" s="23"/>
      <c r="M875" s="23"/>
    </row>
    <row r="876" ht="15.75" customHeight="1">
      <c r="A876" s="23"/>
      <c r="B876" s="24"/>
      <c r="C876" s="25"/>
      <c r="D876" s="26"/>
      <c r="E876" s="26"/>
      <c r="F876" s="26"/>
      <c r="G876" s="27"/>
      <c r="H876" s="27"/>
      <c r="I876" s="27"/>
      <c r="J876" s="27"/>
      <c r="K876" s="27"/>
      <c r="L876" s="23"/>
      <c r="M876" s="23"/>
    </row>
    <row r="877" ht="15.75" customHeight="1">
      <c r="A877" s="23"/>
      <c r="B877" s="24"/>
      <c r="C877" s="25"/>
      <c r="D877" s="26"/>
      <c r="E877" s="26"/>
      <c r="F877" s="26"/>
      <c r="G877" s="27"/>
      <c r="H877" s="27"/>
      <c r="I877" s="27"/>
      <c r="J877" s="27"/>
      <c r="K877" s="27"/>
      <c r="L877" s="23"/>
      <c r="M877" s="23"/>
    </row>
    <row r="878" ht="15.75" customHeight="1">
      <c r="A878" s="23"/>
      <c r="B878" s="24"/>
      <c r="C878" s="25"/>
      <c r="D878" s="26"/>
      <c r="E878" s="26"/>
      <c r="F878" s="26"/>
      <c r="G878" s="27"/>
      <c r="H878" s="27"/>
      <c r="I878" s="27"/>
      <c r="J878" s="27"/>
      <c r="K878" s="27"/>
      <c r="L878" s="23"/>
      <c r="M878" s="23"/>
    </row>
    <row r="879" ht="15.75" customHeight="1">
      <c r="A879" s="23"/>
      <c r="B879" s="24"/>
      <c r="C879" s="25"/>
      <c r="D879" s="26"/>
      <c r="E879" s="26"/>
      <c r="F879" s="26"/>
      <c r="G879" s="27"/>
      <c r="H879" s="27"/>
      <c r="I879" s="27"/>
      <c r="J879" s="27"/>
      <c r="K879" s="27"/>
      <c r="L879" s="23"/>
      <c r="M879" s="23"/>
    </row>
    <row r="880" ht="15.75" customHeight="1">
      <c r="A880" s="23"/>
      <c r="B880" s="24"/>
      <c r="C880" s="25"/>
      <c r="D880" s="26"/>
      <c r="E880" s="26"/>
      <c r="F880" s="26"/>
      <c r="G880" s="27"/>
      <c r="H880" s="27"/>
      <c r="I880" s="27"/>
      <c r="J880" s="27"/>
      <c r="K880" s="27"/>
      <c r="L880" s="23"/>
      <c r="M880" s="23"/>
    </row>
    <row r="881" ht="15.75" customHeight="1">
      <c r="A881" s="23"/>
      <c r="B881" s="24"/>
      <c r="C881" s="25"/>
      <c r="D881" s="26"/>
      <c r="E881" s="26"/>
      <c r="F881" s="26"/>
      <c r="G881" s="27"/>
      <c r="H881" s="27"/>
      <c r="I881" s="27"/>
      <c r="J881" s="27"/>
      <c r="K881" s="27"/>
      <c r="L881" s="23"/>
      <c r="M881" s="23"/>
    </row>
    <row r="882" ht="15.75" customHeight="1">
      <c r="A882" s="23"/>
      <c r="B882" s="24"/>
      <c r="C882" s="25"/>
      <c r="D882" s="26"/>
      <c r="E882" s="26"/>
      <c r="F882" s="26"/>
      <c r="G882" s="27"/>
      <c r="H882" s="27"/>
      <c r="I882" s="27"/>
      <c r="J882" s="27"/>
      <c r="K882" s="27"/>
      <c r="L882" s="23"/>
      <c r="M882" s="23"/>
    </row>
    <row r="883" ht="15.75" customHeight="1">
      <c r="A883" s="23"/>
      <c r="B883" s="24"/>
      <c r="C883" s="25"/>
      <c r="D883" s="26"/>
      <c r="E883" s="26"/>
      <c r="F883" s="26"/>
      <c r="G883" s="27"/>
      <c r="H883" s="27"/>
      <c r="I883" s="27"/>
      <c r="J883" s="27"/>
      <c r="K883" s="27"/>
      <c r="L883" s="23"/>
      <c r="M883" s="23"/>
    </row>
    <row r="884" ht="15.75" customHeight="1">
      <c r="A884" s="23"/>
      <c r="B884" s="24"/>
      <c r="C884" s="25"/>
      <c r="D884" s="26"/>
      <c r="E884" s="26"/>
      <c r="F884" s="26"/>
      <c r="G884" s="27"/>
      <c r="H884" s="27"/>
      <c r="I884" s="27"/>
      <c r="J884" s="27"/>
      <c r="K884" s="27"/>
      <c r="L884" s="23"/>
      <c r="M884" s="23"/>
    </row>
    <row r="885" ht="15.75" customHeight="1">
      <c r="A885" s="23"/>
      <c r="B885" s="24"/>
      <c r="C885" s="25"/>
      <c r="D885" s="26"/>
      <c r="E885" s="26"/>
      <c r="F885" s="26"/>
      <c r="G885" s="27"/>
      <c r="H885" s="27"/>
      <c r="I885" s="27"/>
      <c r="J885" s="27"/>
      <c r="K885" s="27"/>
      <c r="L885" s="23"/>
      <c r="M885" s="23"/>
    </row>
    <row r="886" ht="15.75" customHeight="1">
      <c r="A886" s="23"/>
      <c r="B886" s="24"/>
      <c r="C886" s="25"/>
      <c r="D886" s="26"/>
      <c r="E886" s="26"/>
      <c r="F886" s="26"/>
      <c r="G886" s="27"/>
      <c r="H886" s="27"/>
      <c r="I886" s="27"/>
      <c r="J886" s="27"/>
      <c r="K886" s="27"/>
      <c r="L886" s="23"/>
      <c r="M886" s="23"/>
    </row>
    <row r="887" ht="15.75" customHeight="1">
      <c r="A887" s="23"/>
      <c r="B887" s="24"/>
      <c r="C887" s="25"/>
      <c r="D887" s="26"/>
      <c r="E887" s="26"/>
      <c r="F887" s="26"/>
      <c r="G887" s="27"/>
      <c r="H887" s="27"/>
      <c r="I887" s="27"/>
      <c r="J887" s="27"/>
      <c r="K887" s="27"/>
      <c r="L887" s="23"/>
      <c r="M887" s="23"/>
    </row>
    <row r="888" ht="15.75" customHeight="1">
      <c r="A888" s="23"/>
      <c r="B888" s="24"/>
      <c r="C888" s="25"/>
      <c r="D888" s="26"/>
      <c r="E888" s="26"/>
      <c r="F888" s="26"/>
      <c r="G888" s="27"/>
      <c r="H888" s="27"/>
      <c r="I888" s="27"/>
      <c r="J888" s="27"/>
      <c r="K888" s="27"/>
      <c r="L888" s="23"/>
      <c r="M888" s="23"/>
    </row>
    <row r="889" ht="15.75" customHeight="1">
      <c r="A889" s="23"/>
      <c r="B889" s="24"/>
      <c r="C889" s="25"/>
      <c r="D889" s="26"/>
      <c r="E889" s="26"/>
      <c r="F889" s="26"/>
      <c r="G889" s="27"/>
      <c r="H889" s="27"/>
      <c r="I889" s="27"/>
      <c r="J889" s="27"/>
      <c r="K889" s="27"/>
      <c r="L889" s="23"/>
      <c r="M889" s="23"/>
    </row>
    <row r="890" ht="15.75" customHeight="1">
      <c r="A890" s="23"/>
      <c r="B890" s="24"/>
      <c r="C890" s="25"/>
      <c r="D890" s="26"/>
      <c r="E890" s="26"/>
      <c r="F890" s="26"/>
      <c r="G890" s="27"/>
      <c r="H890" s="27"/>
      <c r="I890" s="27"/>
      <c r="J890" s="27"/>
      <c r="K890" s="27"/>
      <c r="L890" s="23"/>
      <c r="M890" s="23"/>
    </row>
    <row r="891" ht="15.75" customHeight="1">
      <c r="A891" s="23"/>
      <c r="B891" s="24"/>
      <c r="C891" s="25"/>
      <c r="D891" s="26"/>
      <c r="E891" s="26"/>
      <c r="F891" s="26"/>
      <c r="G891" s="27"/>
      <c r="H891" s="27"/>
      <c r="I891" s="27"/>
      <c r="J891" s="27"/>
      <c r="K891" s="27"/>
      <c r="L891" s="23"/>
      <c r="M891" s="23"/>
    </row>
    <row r="892" ht="15.75" customHeight="1">
      <c r="A892" s="23"/>
      <c r="B892" s="24"/>
      <c r="C892" s="25"/>
      <c r="D892" s="26"/>
      <c r="E892" s="26"/>
      <c r="F892" s="26"/>
      <c r="G892" s="27"/>
      <c r="H892" s="27"/>
      <c r="I892" s="27"/>
      <c r="J892" s="27"/>
      <c r="K892" s="27"/>
      <c r="L892" s="23"/>
      <c r="M892" s="23"/>
    </row>
    <row r="893" ht="15.75" customHeight="1">
      <c r="A893" s="23"/>
      <c r="B893" s="24"/>
      <c r="C893" s="25"/>
      <c r="D893" s="26"/>
      <c r="E893" s="26"/>
      <c r="F893" s="26"/>
      <c r="G893" s="27"/>
      <c r="H893" s="27"/>
      <c r="I893" s="27"/>
      <c r="J893" s="27"/>
      <c r="K893" s="27"/>
      <c r="L893" s="23"/>
      <c r="M893" s="23"/>
    </row>
    <row r="894" ht="15.75" customHeight="1">
      <c r="A894" s="23"/>
      <c r="B894" s="24"/>
      <c r="C894" s="25"/>
      <c r="D894" s="26"/>
      <c r="E894" s="26"/>
      <c r="F894" s="26"/>
      <c r="G894" s="27"/>
      <c r="H894" s="27"/>
      <c r="I894" s="27"/>
      <c r="J894" s="27"/>
      <c r="K894" s="27"/>
      <c r="L894" s="23"/>
      <c r="M894" s="23"/>
    </row>
    <row r="895" ht="15.75" customHeight="1">
      <c r="A895" s="23"/>
      <c r="B895" s="24"/>
      <c r="C895" s="25"/>
      <c r="D895" s="26"/>
      <c r="E895" s="26"/>
      <c r="F895" s="26"/>
      <c r="G895" s="27"/>
      <c r="H895" s="27"/>
      <c r="I895" s="27"/>
      <c r="J895" s="27"/>
      <c r="K895" s="27"/>
      <c r="L895" s="23"/>
      <c r="M895" s="23"/>
    </row>
    <row r="896" ht="15.75" customHeight="1">
      <c r="A896" s="23"/>
      <c r="B896" s="24"/>
      <c r="C896" s="25"/>
      <c r="D896" s="26"/>
      <c r="E896" s="26"/>
      <c r="F896" s="26"/>
      <c r="G896" s="27"/>
      <c r="H896" s="27"/>
      <c r="I896" s="27"/>
      <c r="J896" s="27"/>
      <c r="K896" s="27"/>
      <c r="L896" s="23"/>
      <c r="M896" s="23"/>
    </row>
    <row r="897" ht="15.75" customHeight="1">
      <c r="A897" s="23"/>
      <c r="B897" s="24"/>
      <c r="C897" s="25"/>
      <c r="D897" s="26"/>
      <c r="E897" s="26"/>
      <c r="F897" s="26"/>
      <c r="G897" s="27"/>
      <c r="H897" s="27"/>
      <c r="I897" s="27"/>
      <c r="J897" s="27"/>
      <c r="K897" s="27"/>
      <c r="L897" s="23"/>
      <c r="M897" s="23"/>
    </row>
    <row r="898" ht="15.75" customHeight="1">
      <c r="A898" s="23"/>
      <c r="B898" s="24"/>
      <c r="C898" s="25"/>
      <c r="D898" s="26"/>
      <c r="E898" s="26"/>
      <c r="F898" s="26"/>
      <c r="G898" s="27"/>
      <c r="H898" s="27"/>
      <c r="I898" s="27"/>
      <c r="J898" s="27"/>
      <c r="K898" s="27"/>
      <c r="L898" s="23"/>
      <c r="M898" s="23"/>
    </row>
    <row r="899" ht="15.75" customHeight="1">
      <c r="A899" s="23"/>
      <c r="B899" s="24"/>
      <c r="C899" s="25"/>
      <c r="D899" s="26"/>
      <c r="E899" s="26"/>
      <c r="F899" s="26"/>
      <c r="G899" s="27"/>
      <c r="H899" s="27"/>
      <c r="I899" s="27"/>
      <c r="J899" s="27"/>
      <c r="K899" s="27"/>
      <c r="L899" s="23"/>
      <c r="M899" s="23"/>
    </row>
    <row r="900" ht="15.75" customHeight="1">
      <c r="A900" s="23"/>
      <c r="B900" s="24"/>
      <c r="C900" s="25"/>
      <c r="D900" s="26"/>
      <c r="E900" s="26"/>
      <c r="F900" s="26"/>
      <c r="G900" s="27"/>
      <c r="H900" s="27"/>
      <c r="I900" s="27"/>
      <c r="J900" s="27"/>
      <c r="K900" s="27"/>
      <c r="L900" s="23"/>
      <c r="M900" s="23"/>
    </row>
    <row r="901" ht="15.75" customHeight="1">
      <c r="A901" s="23"/>
      <c r="B901" s="24"/>
      <c r="C901" s="25"/>
      <c r="D901" s="26"/>
      <c r="E901" s="26"/>
      <c r="F901" s="26"/>
      <c r="G901" s="27"/>
      <c r="H901" s="27"/>
      <c r="I901" s="27"/>
      <c r="J901" s="27"/>
      <c r="K901" s="27"/>
      <c r="L901" s="23"/>
      <c r="M901" s="23"/>
    </row>
    <row r="902" ht="15.75" customHeight="1">
      <c r="A902" s="23"/>
      <c r="B902" s="24"/>
      <c r="C902" s="25"/>
      <c r="D902" s="26"/>
      <c r="E902" s="26"/>
      <c r="F902" s="26"/>
      <c r="G902" s="27"/>
      <c r="H902" s="27"/>
      <c r="I902" s="27"/>
      <c r="J902" s="27"/>
      <c r="K902" s="27"/>
      <c r="L902" s="23"/>
      <c r="M902" s="23"/>
    </row>
    <row r="903" ht="15.75" customHeight="1">
      <c r="A903" s="23"/>
      <c r="B903" s="24"/>
      <c r="C903" s="25"/>
      <c r="D903" s="26"/>
      <c r="E903" s="26"/>
      <c r="F903" s="26"/>
      <c r="G903" s="27"/>
      <c r="H903" s="27"/>
      <c r="I903" s="27"/>
      <c r="J903" s="27"/>
      <c r="K903" s="27"/>
      <c r="L903" s="23"/>
      <c r="M903" s="23"/>
    </row>
    <row r="904" ht="15.75" customHeight="1">
      <c r="A904" s="23"/>
      <c r="B904" s="24"/>
      <c r="C904" s="25"/>
      <c r="D904" s="26"/>
      <c r="E904" s="26"/>
      <c r="F904" s="26"/>
      <c r="G904" s="27"/>
      <c r="H904" s="27"/>
      <c r="I904" s="27"/>
      <c r="J904" s="27"/>
      <c r="K904" s="27"/>
      <c r="L904" s="23"/>
      <c r="M904" s="23"/>
    </row>
    <row r="905" ht="15.75" customHeight="1">
      <c r="A905" s="23"/>
      <c r="B905" s="24"/>
      <c r="C905" s="25"/>
      <c r="D905" s="26"/>
      <c r="E905" s="26"/>
      <c r="F905" s="26"/>
      <c r="G905" s="27"/>
      <c r="H905" s="27"/>
      <c r="I905" s="27"/>
      <c r="J905" s="27"/>
      <c r="K905" s="27"/>
      <c r="L905" s="23"/>
      <c r="M905" s="23"/>
    </row>
    <row r="906" ht="15.75" customHeight="1">
      <c r="A906" s="23"/>
      <c r="B906" s="24"/>
      <c r="C906" s="25"/>
      <c r="D906" s="26"/>
      <c r="E906" s="26"/>
      <c r="F906" s="26"/>
      <c r="G906" s="27"/>
      <c r="H906" s="27"/>
      <c r="I906" s="27"/>
      <c r="J906" s="27"/>
      <c r="K906" s="27"/>
      <c r="L906" s="23"/>
      <c r="M906" s="23"/>
    </row>
    <row r="907" ht="15.75" customHeight="1">
      <c r="A907" s="23"/>
      <c r="B907" s="24"/>
      <c r="C907" s="25"/>
      <c r="D907" s="26"/>
      <c r="E907" s="26"/>
      <c r="F907" s="26"/>
      <c r="G907" s="27"/>
      <c r="H907" s="27"/>
      <c r="I907" s="27"/>
      <c r="J907" s="27"/>
      <c r="K907" s="27"/>
      <c r="L907" s="23"/>
      <c r="M907" s="23"/>
    </row>
    <row r="908" ht="15.75" customHeight="1">
      <c r="A908" s="23"/>
      <c r="B908" s="24"/>
      <c r="C908" s="25"/>
      <c r="D908" s="26"/>
      <c r="E908" s="26"/>
      <c r="F908" s="26"/>
      <c r="G908" s="27"/>
      <c r="H908" s="27"/>
      <c r="I908" s="27"/>
      <c r="J908" s="27"/>
      <c r="K908" s="27"/>
      <c r="L908" s="23"/>
      <c r="M908" s="23"/>
    </row>
    <row r="909" ht="15.75" customHeight="1">
      <c r="A909" s="23"/>
      <c r="B909" s="24"/>
      <c r="C909" s="25"/>
      <c r="D909" s="26"/>
      <c r="E909" s="26"/>
      <c r="F909" s="26"/>
      <c r="G909" s="27"/>
      <c r="H909" s="27"/>
      <c r="I909" s="27"/>
      <c r="J909" s="27"/>
      <c r="K909" s="27"/>
      <c r="L909" s="23"/>
      <c r="M909" s="23"/>
    </row>
    <row r="910" ht="15.75" customHeight="1">
      <c r="A910" s="23"/>
      <c r="B910" s="24"/>
      <c r="C910" s="25"/>
      <c r="D910" s="26"/>
      <c r="E910" s="26"/>
      <c r="F910" s="26"/>
      <c r="G910" s="27"/>
      <c r="H910" s="27"/>
      <c r="I910" s="27"/>
      <c r="J910" s="27"/>
      <c r="K910" s="27"/>
      <c r="L910" s="23"/>
      <c r="M910" s="23"/>
    </row>
    <row r="911" ht="15.75" customHeight="1">
      <c r="A911" s="23"/>
      <c r="B911" s="24"/>
      <c r="C911" s="25"/>
      <c r="D911" s="26"/>
      <c r="E911" s="26"/>
      <c r="F911" s="26"/>
      <c r="G911" s="27"/>
      <c r="H911" s="27"/>
      <c r="I911" s="27"/>
      <c r="J911" s="27"/>
      <c r="K911" s="27"/>
      <c r="L911" s="23"/>
      <c r="M911" s="23"/>
    </row>
    <row r="912" ht="15.75" customHeight="1">
      <c r="A912" s="23"/>
      <c r="B912" s="24"/>
      <c r="C912" s="25"/>
      <c r="D912" s="26"/>
      <c r="E912" s="26"/>
      <c r="F912" s="26"/>
      <c r="G912" s="27"/>
      <c r="H912" s="27"/>
      <c r="I912" s="27"/>
      <c r="J912" s="27"/>
      <c r="K912" s="27"/>
      <c r="L912" s="23"/>
      <c r="M912" s="23"/>
    </row>
    <row r="913" ht="15.75" customHeight="1">
      <c r="A913" s="23"/>
      <c r="B913" s="24"/>
      <c r="C913" s="25"/>
      <c r="D913" s="26"/>
      <c r="E913" s="26"/>
      <c r="F913" s="26"/>
      <c r="G913" s="27"/>
      <c r="H913" s="27"/>
      <c r="I913" s="27"/>
      <c r="J913" s="27"/>
      <c r="K913" s="27"/>
      <c r="L913" s="23"/>
      <c r="M913" s="23"/>
    </row>
    <row r="914" ht="15.75" customHeight="1">
      <c r="A914" s="23"/>
      <c r="B914" s="24"/>
      <c r="C914" s="25"/>
      <c r="D914" s="26"/>
      <c r="E914" s="26"/>
      <c r="F914" s="26"/>
      <c r="G914" s="27"/>
      <c r="H914" s="27"/>
      <c r="I914" s="27"/>
      <c r="J914" s="27"/>
      <c r="K914" s="27"/>
      <c r="L914" s="23"/>
      <c r="M914" s="23"/>
    </row>
    <row r="915" ht="15.75" customHeight="1">
      <c r="A915" s="23"/>
      <c r="B915" s="24"/>
      <c r="C915" s="25"/>
      <c r="D915" s="26"/>
      <c r="E915" s="26"/>
      <c r="F915" s="26"/>
      <c r="G915" s="27"/>
      <c r="H915" s="27"/>
      <c r="I915" s="27"/>
      <c r="J915" s="27"/>
      <c r="K915" s="27"/>
      <c r="L915" s="23"/>
      <c r="M915" s="23"/>
    </row>
    <row r="916" ht="15.75" customHeight="1">
      <c r="A916" s="23"/>
      <c r="B916" s="24"/>
      <c r="C916" s="25"/>
      <c r="D916" s="26"/>
      <c r="E916" s="26"/>
      <c r="F916" s="26"/>
      <c r="G916" s="27"/>
      <c r="H916" s="27"/>
      <c r="I916" s="27"/>
      <c r="J916" s="27"/>
      <c r="K916" s="27"/>
      <c r="L916" s="23"/>
      <c r="M916" s="23"/>
    </row>
    <row r="917" ht="15.75" customHeight="1">
      <c r="A917" s="23"/>
      <c r="B917" s="24"/>
      <c r="C917" s="25"/>
      <c r="D917" s="26"/>
      <c r="E917" s="26"/>
      <c r="F917" s="26"/>
      <c r="G917" s="27"/>
      <c r="H917" s="27"/>
      <c r="I917" s="27"/>
      <c r="J917" s="27"/>
      <c r="K917" s="27"/>
      <c r="L917" s="23"/>
      <c r="M917" s="23"/>
    </row>
    <row r="918" ht="15.75" customHeight="1">
      <c r="A918" s="23"/>
      <c r="B918" s="24"/>
      <c r="C918" s="25"/>
      <c r="D918" s="26"/>
      <c r="E918" s="26"/>
      <c r="F918" s="26"/>
      <c r="G918" s="27"/>
      <c r="H918" s="27"/>
      <c r="I918" s="27"/>
      <c r="J918" s="27"/>
      <c r="K918" s="27"/>
      <c r="L918" s="23"/>
      <c r="M918" s="23"/>
    </row>
    <row r="919" ht="15.75" customHeight="1">
      <c r="A919" s="23"/>
      <c r="B919" s="24"/>
      <c r="C919" s="25"/>
      <c r="D919" s="26"/>
      <c r="E919" s="26"/>
      <c r="F919" s="26"/>
      <c r="G919" s="27"/>
      <c r="H919" s="27"/>
      <c r="I919" s="27"/>
      <c r="J919" s="27"/>
      <c r="K919" s="27"/>
      <c r="L919" s="23"/>
      <c r="M919" s="23"/>
    </row>
    <row r="920" ht="15.75" customHeight="1">
      <c r="A920" s="23"/>
      <c r="B920" s="24"/>
      <c r="C920" s="25"/>
      <c r="D920" s="26"/>
      <c r="E920" s="26"/>
      <c r="F920" s="26"/>
      <c r="G920" s="27"/>
      <c r="H920" s="27"/>
      <c r="I920" s="27"/>
      <c r="J920" s="27"/>
      <c r="K920" s="27"/>
      <c r="L920" s="23"/>
      <c r="M920" s="23"/>
    </row>
    <row r="921" ht="15.75" customHeight="1">
      <c r="A921" s="23"/>
      <c r="B921" s="24"/>
      <c r="C921" s="25"/>
      <c r="D921" s="26"/>
      <c r="E921" s="26"/>
      <c r="F921" s="26"/>
      <c r="G921" s="27"/>
      <c r="H921" s="27"/>
      <c r="I921" s="27"/>
      <c r="J921" s="27"/>
      <c r="K921" s="27"/>
      <c r="L921" s="23"/>
      <c r="M921" s="23"/>
    </row>
    <row r="922" ht="15.75" customHeight="1">
      <c r="A922" s="23"/>
      <c r="B922" s="24"/>
      <c r="C922" s="25"/>
      <c r="D922" s="26"/>
      <c r="E922" s="26"/>
      <c r="F922" s="26"/>
      <c r="G922" s="27"/>
      <c r="H922" s="27"/>
      <c r="I922" s="27"/>
      <c r="J922" s="27"/>
      <c r="K922" s="27"/>
      <c r="L922" s="23"/>
      <c r="M922" s="23"/>
    </row>
    <row r="923" ht="15.75" customHeight="1">
      <c r="A923" s="23"/>
      <c r="B923" s="24"/>
      <c r="C923" s="25"/>
      <c r="D923" s="26"/>
      <c r="E923" s="26"/>
      <c r="F923" s="26"/>
      <c r="G923" s="27"/>
      <c r="H923" s="27"/>
      <c r="I923" s="27"/>
      <c r="J923" s="27"/>
      <c r="K923" s="27"/>
      <c r="L923" s="23"/>
      <c r="M923" s="23"/>
    </row>
    <row r="924" ht="15.75" customHeight="1">
      <c r="A924" s="23"/>
      <c r="B924" s="24"/>
      <c r="C924" s="25"/>
      <c r="D924" s="26"/>
      <c r="E924" s="26"/>
      <c r="F924" s="26"/>
      <c r="G924" s="27"/>
      <c r="H924" s="27"/>
      <c r="I924" s="27"/>
      <c r="J924" s="27"/>
      <c r="K924" s="27"/>
      <c r="L924" s="23"/>
      <c r="M924" s="23"/>
    </row>
    <row r="925" ht="15.75" customHeight="1">
      <c r="A925" s="23"/>
      <c r="B925" s="24"/>
      <c r="C925" s="25"/>
      <c r="D925" s="26"/>
      <c r="E925" s="26"/>
      <c r="F925" s="26"/>
      <c r="G925" s="27"/>
      <c r="H925" s="27"/>
      <c r="I925" s="27"/>
      <c r="J925" s="27"/>
      <c r="K925" s="27"/>
      <c r="L925" s="23"/>
      <c r="M925" s="23"/>
    </row>
    <row r="926" ht="15.75" customHeight="1">
      <c r="A926" s="23"/>
      <c r="B926" s="24"/>
      <c r="C926" s="25"/>
      <c r="D926" s="26"/>
      <c r="E926" s="26"/>
      <c r="F926" s="26"/>
      <c r="G926" s="27"/>
      <c r="H926" s="27"/>
      <c r="I926" s="27"/>
      <c r="J926" s="27"/>
      <c r="K926" s="27"/>
      <c r="L926" s="23"/>
      <c r="M926" s="23"/>
    </row>
    <row r="927" ht="15.75" customHeight="1">
      <c r="A927" s="23"/>
      <c r="B927" s="24"/>
      <c r="C927" s="25"/>
      <c r="D927" s="26"/>
      <c r="E927" s="26"/>
      <c r="F927" s="26"/>
      <c r="G927" s="27"/>
      <c r="H927" s="27"/>
      <c r="I927" s="27"/>
      <c r="J927" s="27"/>
      <c r="K927" s="27"/>
      <c r="L927" s="23"/>
      <c r="M927" s="23"/>
    </row>
    <row r="928" ht="15.75" customHeight="1">
      <c r="A928" s="23"/>
      <c r="B928" s="24"/>
      <c r="C928" s="25"/>
      <c r="D928" s="26"/>
      <c r="E928" s="26"/>
      <c r="F928" s="26"/>
      <c r="G928" s="27"/>
      <c r="H928" s="27"/>
      <c r="I928" s="27"/>
      <c r="J928" s="27"/>
      <c r="K928" s="27"/>
      <c r="L928" s="23"/>
      <c r="M928" s="23"/>
    </row>
    <row r="929" ht="15.75" customHeight="1">
      <c r="A929" s="23"/>
      <c r="B929" s="24"/>
      <c r="C929" s="25"/>
      <c r="D929" s="26"/>
      <c r="E929" s="26"/>
      <c r="F929" s="26"/>
      <c r="G929" s="27"/>
      <c r="H929" s="27"/>
      <c r="I929" s="27"/>
      <c r="J929" s="27"/>
      <c r="K929" s="27"/>
      <c r="L929" s="23"/>
      <c r="M929" s="23"/>
    </row>
    <row r="930" ht="15.75" customHeight="1">
      <c r="A930" s="23"/>
      <c r="B930" s="24"/>
      <c r="C930" s="25"/>
      <c r="D930" s="26"/>
      <c r="E930" s="26"/>
      <c r="F930" s="26"/>
      <c r="G930" s="27"/>
      <c r="H930" s="27"/>
      <c r="I930" s="27"/>
      <c r="J930" s="27"/>
      <c r="K930" s="27"/>
      <c r="L930" s="23"/>
      <c r="M930" s="23"/>
    </row>
    <row r="931" ht="15.75" customHeight="1">
      <c r="A931" s="23"/>
      <c r="B931" s="24"/>
      <c r="C931" s="25"/>
      <c r="D931" s="26"/>
      <c r="E931" s="26"/>
      <c r="F931" s="26"/>
      <c r="G931" s="27"/>
      <c r="H931" s="27"/>
      <c r="I931" s="27"/>
      <c r="J931" s="27"/>
      <c r="K931" s="27"/>
      <c r="L931" s="23"/>
      <c r="M931" s="23"/>
    </row>
    <row r="932" ht="15.75" customHeight="1">
      <c r="A932" s="23"/>
      <c r="B932" s="24"/>
      <c r="C932" s="25"/>
      <c r="D932" s="26"/>
      <c r="E932" s="26"/>
      <c r="F932" s="26"/>
      <c r="G932" s="27"/>
      <c r="H932" s="27"/>
      <c r="I932" s="27"/>
      <c r="J932" s="27"/>
      <c r="K932" s="27"/>
      <c r="L932" s="23"/>
      <c r="M932" s="23"/>
    </row>
    <row r="933" ht="15.75" customHeight="1">
      <c r="A933" s="23"/>
      <c r="B933" s="24"/>
      <c r="C933" s="25"/>
      <c r="D933" s="26"/>
      <c r="E933" s="26"/>
      <c r="F933" s="26"/>
      <c r="G933" s="27"/>
      <c r="H933" s="27"/>
      <c r="I933" s="27"/>
      <c r="J933" s="27"/>
      <c r="K933" s="27"/>
      <c r="L933" s="23"/>
      <c r="M933" s="23"/>
    </row>
    <row r="934" ht="15.75" customHeight="1">
      <c r="A934" s="23"/>
      <c r="B934" s="24"/>
      <c r="C934" s="25"/>
      <c r="D934" s="26"/>
      <c r="E934" s="26"/>
      <c r="F934" s="26"/>
      <c r="G934" s="27"/>
      <c r="H934" s="27"/>
      <c r="I934" s="27"/>
      <c r="J934" s="27"/>
      <c r="K934" s="27"/>
      <c r="L934" s="23"/>
      <c r="M934" s="23"/>
    </row>
    <row r="935" ht="15.75" customHeight="1">
      <c r="A935" s="23"/>
      <c r="B935" s="24"/>
      <c r="C935" s="25"/>
      <c r="D935" s="26"/>
      <c r="E935" s="26"/>
      <c r="F935" s="26"/>
      <c r="G935" s="27"/>
      <c r="H935" s="27"/>
      <c r="I935" s="27"/>
      <c r="J935" s="27"/>
      <c r="K935" s="27"/>
      <c r="L935" s="23"/>
      <c r="M935" s="23"/>
    </row>
    <row r="936" ht="15.75" customHeight="1">
      <c r="A936" s="23"/>
      <c r="B936" s="24"/>
      <c r="C936" s="25"/>
      <c r="D936" s="26"/>
      <c r="E936" s="26"/>
      <c r="F936" s="26"/>
      <c r="G936" s="27"/>
      <c r="H936" s="27"/>
      <c r="I936" s="27"/>
      <c r="J936" s="27"/>
      <c r="K936" s="27"/>
      <c r="L936" s="23"/>
      <c r="M936" s="23"/>
    </row>
    <row r="937" ht="15.75" customHeight="1">
      <c r="A937" s="23"/>
      <c r="B937" s="24"/>
      <c r="C937" s="25"/>
      <c r="D937" s="26"/>
      <c r="E937" s="26"/>
      <c r="F937" s="26"/>
      <c r="G937" s="27"/>
      <c r="H937" s="27"/>
      <c r="I937" s="27"/>
      <c r="J937" s="27"/>
      <c r="K937" s="27"/>
      <c r="L937" s="23"/>
      <c r="M937" s="23"/>
    </row>
    <row r="938" ht="15.75" customHeight="1">
      <c r="A938" s="23"/>
      <c r="B938" s="24"/>
      <c r="C938" s="25"/>
      <c r="D938" s="26"/>
      <c r="E938" s="26"/>
      <c r="F938" s="26"/>
      <c r="G938" s="27"/>
      <c r="H938" s="27"/>
      <c r="I938" s="27"/>
      <c r="J938" s="27"/>
      <c r="K938" s="27"/>
      <c r="L938" s="23"/>
      <c r="M938" s="23"/>
    </row>
    <row r="939" ht="15.75" customHeight="1">
      <c r="A939" s="23"/>
      <c r="B939" s="24"/>
      <c r="C939" s="25"/>
      <c r="D939" s="26"/>
      <c r="E939" s="26"/>
      <c r="F939" s="26"/>
      <c r="G939" s="27"/>
      <c r="H939" s="27"/>
      <c r="I939" s="27"/>
      <c r="J939" s="27"/>
      <c r="K939" s="27"/>
      <c r="L939" s="23"/>
      <c r="M939" s="23"/>
    </row>
    <row r="940" ht="15.75" customHeight="1">
      <c r="A940" s="23"/>
      <c r="B940" s="24"/>
      <c r="C940" s="25"/>
      <c r="D940" s="26"/>
      <c r="E940" s="26"/>
      <c r="F940" s="26"/>
      <c r="G940" s="27"/>
      <c r="H940" s="27"/>
      <c r="I940" s="27"/>
      <c r="J940" s="27"/>
      <c r="K940" s="27"/>
      <c r="L940" s="23"/>
      <c r="M940" s="23"/>
    </row>
    <row r="941" ht="15.75" customHeight="1">
      <c r="A941" s="23"/>
      <c r="B941" s="24"/>
      <c r="C941" s="25"/>
      <c r="D941" s="26"/>
      <c r="E941" s="26"/>
      <c r="F941" s="26"/>
      <c r="G941" s="27"/>
      <c r="H941" s="27"/>
      <c r="I941" s="27"/>
      <c r="J941" s="27"/>
      <c r="K941" s="27"/>
      <c r="L941" s="23"/>
      <c r="M941" s="23"/>
    </row>
    <row r="942" ht="15.75" customHeight="1">
      <c r="A942" s="23"/>
      <c r="B942" s="24"/>
      <c r="C942" s="25"/>
      <c r="D942" s="26"/>
      <c r="E942" s="26"/>
      <c r="F942" s="26"/>
      <c r="G942" s="27"/>
      <c r="H942" s="27"/>
      <c r="I942" s="27"/>
      <c r="J942" s="27"/>
      <c r="K942" s="27"/>
      <c r="L942" s="23"/>
      <c r="M942" s="23"/>
    </row>
    <row r="943" ht="15.75" customHeight="1">
      <c r="A943" s="23"/>
      <c r="B943" s="24"/>
      <c r="C943" s="25"/>
      <c r="D943" s="26"/>
      <c r="E943" s="26"/>
      <c r="F943" s="26"/>
      <c r="G943" s="27"/>
      <c r="H943" s="27"/>
      <c r="I943" s="27"/>
      <c r="J943" s="27"/>
      <c r="K943" s="27"/>
      <c r="L943" s="23"/>
      <c r="M943" s="23"/>
    </row>
    <row r="944" ht="15.75" customHeight="1">
      <c r="A944" s="23"/>
      <c r="B944" s="24"/>
      <c r="C944" s="25"/>
      <c r="D944" s="26"/>
      <c r="E944" s="26"/>
      <c r="F944" s="26"/>
      <c r="G944" s="27"/>
      <c r="H944" s="27"/>
      <c r="I944" s="27"/>
      <c r="J944" s="27"/>
      <c r="K944" s="27"/>
      <c r="L944" s="23"/>
      <c r="M944" s="23"/>
    </row>
    <row r="945" ht="15.75" customHeight="1">
      <c r="A945" s="23"/>
      <c r="B945" s="24"/>
      <c r="C945" s="25"/>
      <c r="D945" s="26"/>
      <c r="E945" s="26"/>
      <c r="F945" s="26"/>
      <c r="G945" s="27"/>
      <c r="H945" s="27"/>
      <c r="I945" s="27"/>
      <c r="J945" s="27"/>
      <c r="K945" s="27"/>
      <c r="L945" s="23"/>
      <c r="M945" s="23"/>
    </row>
    <row r="946" ht="15.75" customHeight="1">
      <c r="A946" s="23"/>
      <c r="B946" s="24"/>
      <c r="C946" s="25"/>
      <c r="D946" s="26"/>
      <c r="E946" s="26"/>
      <c r="F946" s="26"/>
      <c r="G946" s="27"/>
      <c r="H946" s="27"/>
      <c r="I946" s="27"/>
      <c r="J946" s="27"/>
      <c r="K946" s="27"/>
      <c r="L946" s="23"/>
      <c r="M946" s="23"/>
    </row>
    <row r="947" ht="15.75" customHeight="1">
      <c r="A947" s="23"/>
      <c r="B947" s="24"/>
      <c r="C947" s="25"/>
      <c r="D947" s="26"/>
      <c r="E947" s="26"/>
      <c r="F947" s="26"/>
      <c r="G947" s="27"/>
      <c r="H947" s="27"/>
      <c r="I947" s="27"/>
      <c r="J947" s="27"/>
      <c r="K947" s="27"/>
      <c r="L947" s="23"/>
      <c r="M947" s="23"/>
    </row>
    <row r="948" ht="15.75" customHeight="1">
      <c r="A948" s="23"/>
      <c r="B948" s="24"/>
      <c r="C948" s="25"/>
      <c r="D948" s="26"/>
      <c r="E948" s="26"/>
      <c r="F948" s="26"/>
      <c r="G948" s="27"/>
      <c r="H948" s="27"/>
      <c r="I948" s="27"/>
      <c r="J948" s="27"/>
      <c r="K948" s="27"/>
      <c r="L948" s="23"/>
      <c r="M948" s="23"/>
    </row>
    <row r="949" ht="15.75" customHeight="1">
      <c r="A949" s="23"/>
      <c r="B949" s="24"/>
      <c r="C949" s="25"/>
      <c r="D949" s="26"/>
      <c r="E949" s="26"/>
      <c r="F949" s="26"/>
      <c r="G949" s="27"/>
      <c r="H949" s="27"/>
      <c r="I949" s="27"/>
      <c r="J949" s="27"/>
      <c r="K949" s="27"/>
      <c r="L949" s="23"/>
      <c r="M949" s="23"/>
    </row>
    <row r="950" ht="15.75" customHeight="1">
      <c r="A950" s="23"/>
      <c r="B950" s="24"/>
      <c r="C950" s="25"/>
      <c r="D950" s="26"/>
      <c r="E950" s="26"/>
      <c r="F950" s="26"/>
      <c r="G950" s="27"/>
      <c r="H950" s="27"/>
      <c r="I950" s="27"/>
      <c r="J950" s="27"/>
      <c r="K950" s="27"/>
      <c r="L950" s="23"/>
      <c r="M950" s="23"/>
    </row>
    <row r="951" ht="15.75" customHeight="1">
      <c r="A951" s="23"/>
      <c r="B951" s="24"/>
      <c r="C951" s="25"/>
      <c r="D951" s="26"/>
      <c r="E951" s="26"/>
      <c r="F951" s="26"/>
      <c r="G951" s="27"/>
      <c r="H951" s="27"/>
      <c r="I951" s="27"/>
      <c r="J951" s="27"/>
      <c r="K951" s="27"/>
      <c r="L951" s="23"/>
      <c r="M951" s="23"/>
    </row>
    <row r="952" ht="15.75" customHeight="1">
      <c r="A952" s="23"/>
      <c r="B952" s="24"/>
      <c r="C952" s="25"/>
      <c r="D952" s="26"/>
      <c r="E952" s="26"/>
      <c r="F952" s="26"/>
      <c r="G952" s="27"/>
      <c r="H952" s="27"/>
      <c r="I952" s="27"/>
      <c r="J952" s="27"/>
      <c r="K952" s="27"/>
      <c r="L952" s="23"/>
      <c r="M952" s="23"/>
    </row>
    <row r="953" ht="15.75" customHeight="1">
      <c r="A953" s="23"/>
      <c r="B953" s="24"/>
      <c r="C953" s="25"/>
      <c r="D953" s="26"/>
      <c r="E953" s="26"/>
      <c r="F953" s="26"/>
      <c r="G953" s="27"/>
      <c r="H953" s="27"/>
      <c r="I953" s="27"/>
      <c r="J953" s="27"/>
      <c r="K953" s="27"/>
      <c r="L953" s="23"/>
      <c r="M953" s="23"/>
    </row>
    <row r="954" ht="15.75" customHeight="1">
      <c r="A954" s="23"/>
      <c r="B954" s="24"/>
      <c r="C954" s="25"/>
      <c r="D954" s="26"/>
      <c r="E954" s="26"/>
      <c r="F954" s="26"/>
      <c r="G954" s="27"/>
      <c r="H954" s="27"/>
      <c r="I954" s="27"/>
      <c r="J954" s="27"/>
      <c r="K954" s="27"/>
      <c r="L954" s="23"/>
      <c r="M954" s="23"/>
    </row>
    <row r="955" ht="15.75" customHeight="1">
      <c r="A955" s="23"/>
      <c r="B955" s="24"/>
      <c r="C955" s="25"/>
      <c r="D955" s="26"/>
      <c r="E955" s="26"/>
      <c r="F955" s="26"/>
      <c r="G955" s="27"/>
      <c r="H955" s="27"/>
      <c r="I955" s="27"/>
      <c r="J955" s="27"/>
      <c r="K955" s="27"/>
      <c r="L955" s="23"/>
      <c r="M955" s="23"/>
    </row>
    <row r="956" ht="15.75" customHeight="1">
      <c r="A956" s="23"/>
      <c r="B956" s="24"/>
      <c r="C956" s="25"/>
      <c r="D956" s="26"/>
      <c r="E956" s="26"/>
      <c r="F956" s="26"/>
      <c r="G956" s="27"/>
      <c r="H956" s="27"/>
      <c r="I956" s="27"/>
      <c r="J956" s="27"/>
      <c r="K956" s="27"/>
      <c r="L956" s="23"/>
      <c r="M956" s="23"/>
    </row>
    <row r="957" ht="15.75" customHeight="1">
      <c r="A957" s="23"/>
      <c r="B957" s="24"/>
      <c r="C957" s="25"/>
      <c r="D957" s="26"/>
      <c r="E957" s="26"/>
      <c r="F957" s="26"/>
      <c r="G957" s="27"/>
      <c r="H957" s="27"/>
      <c r="I957" s="27"/>
      <c r="J957" s="27"/>
      <c r="K957" s="27"/>
      <c r="L957" s="23"/>
      <c r="M957" s="23"/>
    </row>
    <row r="958" ht="15.75" customHeight="1">
      <c r="A958" s="23"/>
      <c r="B958" s="24"/>
      <c r="C958" s="25"/>
      <c r="D958" s="26"/>
      <c r="E958" s="26"/>
      <c r="F958" s="26"/>
      <c r="G958" s="27"/>
      <c r="H958" s="27"/>
      <c r="I958" s="27"/>
      <c r="J958" s="27"/>
      <c r="K958" s="27"/>
      <c r="L958" s="23"/>
      <c r="M958" s="23"/>
    </row>
    <row r="959" ht="15.75" customHeight="1">
      <c r="A959" s="23"/>
      <c r="B959" s="24"/>
      <c r="C959" s="25"/>
      <c r="D959" s="26"/>
      <c r="E959" s="26"/>
      <c r="F959" s="26"/>
      <c r="G959" s="27"/>
      <c r="H959" s="27"/>
      <c r="I959" s="27"/>
      <c r="J959" s="27"/>
      <c r="K959" s="27"/>
      <c r="L959" s="23"/>
      <c r="M959" s="23"/>
    </row>
    <row r="960" ht="15.75" customHeight="1">
      <c r="A960" s="23"/>
      <c r="B960" s="24"/>
      <c r="C960" s="25"/>
      <c r="D960" s="26"/>
      <c r="E960" s="26"/>
      <c r="F960" s="26"/>
      <c r="G960" s="27"/>
      <c r="H960" s="27"/>
      <c r="I960" s="27"/>
      <c r="J960" s="27"/>
      <c r="K960" s="27"/>
      <c r="L960" s="23"/>
      <c r="M960" s="23"/>
    </row>
    <row r="961" ht="15.75" customHeight="1">
      <c r="A961" s="23"/>
      <c r="B961" s="24"/>
      <c r="C961" s="25"/>
      <c r="D961" s="26"/>
      <c r="E961" s="26"/>
      <c r="F961" s="26"/>
      <c r="G961" s="27"/>
      <c r="H961" s="27"/>
      <c r="I961" s="27"/>
      <c r="J961" s="27"/>
      <c r="K961" s="27"/>
      <c r="L961" s="23"/>
      <c r="M961" s="23"/>
    </row>
    <row r="962" ht="15.75" customHeight="1">
      <c r="A962" s="23"/>
      <c r="B962" s="24"/>
      <c r="C962" s="25"/>
      <c r="D962" s="26"/>
      <c r="E962" s="26"/>
      <c r="F962" s="26"/>
      <c r="G962" s="27"/>
      <c r="H962" s="27"/>
      <c r="I962" s="27"/>
      <c r="J962" s="27"/>
      <c r="K962" s="27"/>
      <c r="L962" s="23"/>
      <c r="M962" s="23"/>
    </row>
    <row r="963" ht="15.75" customHeight="1">
      <c r="A963" s="23"/>
      <c r="B963" s="24"/>
      <c r="C963" s="25"/>
      <c r="D963" s="26"/>
      <c r="E963" s="26"/>
      <c r="F963" s="26"/>
      <c r="G963" s="27"/>
      <c r="H963" s="27"/>
      <c r="I963" s="27"/>
      <c r="J963" s="27"/>
      <c r="K963" s="27"/>
      <c r="L963" s="23"/>
      <c r="M963" s="23"/>
    </row>
    <row r="964" ht="15.75" customHeight="1">
      <c r="A964" s="23"/>
      <c r="B964" s="24"/>
      <c r="C964" s="25"/>
      <c r="D964" s="26"/>
      <c r="E964" s="26"/>
      <c r="F964" s="26"/>
      <c r="G964" s="27"/>
      <c r="H964" s="27"/>
      <c r="I964" s="27"/>
      <c r="J964" s="27"/>
      <c r="K964" s="27"/>
      <c r="L964" s="23"/>
      <c r="M964" s="23"/>
    </row>
    <row r="965" ht="15.75" customHeight="1">
      <c r="A965" s="23"/>
      <c r="B965" s="24"/>
      <c r="C965" s="25"/>
      <c r="D965" s="26"/>
      <c r="E965" s="26"/>
      <c r="F965" s="26"/>
      <c r="G965" s="27"/>
      <c r="H965" s="27"/>
      <c r="I965" s="27"/>
      <c r="J965" s="27"/>
      <c r="K965" s="27"/>
      <c r="L965" s="23"/>
      <c r="M965" s="23"/>
    </row>
    <row r="966" ht="15.75" customHeight="1">
      <c r="A966" s="23"/>
      <c r="B966" s="24"/>
      <c r="C966" s="25"/>
      <c r="D966" s="26"/>
      <c r="E966" s="26"/>
      <c r="F966" s="26"/>
      <c r="G966" s="27"/>
      <c r="H966" s="27"/>
      <c r="I966" s="27"/>
      <c r="J966" s="27"/>
      <c r="K966" s="27"/>
      <c r="L966" s="23"/>
      <c r="M966" s="23"/>
    </row>
    <row r="967" ht="15.75" customHeight="1">
      <c r="A967" s="23"/>
      <c r="B967" s="24"/>
      <c r="C967" s="25"/>
      <c r="D967" s="26"/>
      <c r="E967" s="26"/>
      <c r="F967" s="26"/>
      <c r="G967" s="27"/>
      <c r="H967" s="27"/>
      <c r="I967" s="27"/>
      <c r="J967" s="27"/>
      <c r="K967" s="27"/>
      <c r="L967" s="23"/>
      <c r="M967" s="23"/>
    </row>
    <row r="968" ht="15.75" customHeight="1">
      <c r="A968" s="23"/>
      <c r="B968" s="24"/>
      <c r="C968" s="25"/>
      <c r="D968" s="26"/>
      <c r="E968" s="26"/>
      <c r="F968" s="26"/>
      <c r="G968" s="27"/>
      <c r="H968" s="27"/>
      <c r="I968" s="27"/>
      <c r="J968" s="27"/>
      <c r="K968" s="27"/>
      <c r="L968" s="23"/>
      <c r="M968" s="23"/>
    </row>
    <row r="969" ht="15.75" customHeight="1">
      <c r="A969" s="23"/>
      <c r="B969" s="24"/>
      <c r="C969" s="25"/>
      <c r="D969" s="26"/>
      <c r="E969" s="26"/>
      <c r="F969" s="26"/>
      <c r="G969" s="27"/>
      <c r="H969" s="27"/>
      <c r="I969" s="27"/>
      <c r="J969" s="27"/>
      <c r="K969" s="27"/>
      <c r="L969" s="23"/>
      <c r="M969" s="23"/>
    </row>
    <row r="970" ht="15.75" customHeight="1">
      <c r="A970" s="23"/>
      <c r="B970" s="24"/>
      <c r="C970" s="25"/>
      <c r="D970" s="26"/>
      <c r="E970" s="26"/>
      <c r="F970" s="26"/>
      <c r="G970" s="27"/>
      <c r="H970" s="27"/>
      <c r="I970" s="27"/>
      <c r="J970" s="27"/>
      <c r="K970" s="27"/>
      <c r="L970" s="23"/>
      <c r="M970" s="23"/>
    </row>
    <row r="971" ht="15.75" customHeight="1">
      <c r="A971" s="23"/>
      <c r="B971" s="24"/>
      <c r="C971" s="25"/>
      <c r="D971" s="26"/>
      <c r="E971" s="26"/>
      <c r="F971" s="26"/>
      <c r="G971" s="27"/>
      <c r="H971" s="27"/>
      <c r="I971" s="27"/>
      <c r="J971" s="27"/>
      <c r="K971" s="27"/>
      <c r="L971" s="23"/>
      <c r="M971" s="23"/>
    </row>
    <row r="972" ht="15.75" customHeight="1">
      <c r="A972" s="23"/>
      <c r="B972" s="24"/>
      <c r="C972" s="25"/>
      <c r="D972" s="26"/>
      <c r="E972" s="26"/>
      <c r="F972" s="26"/>
      <c r="G972" s="27"/>
      <c r="H972" s="27"/>
      <c r="I972" s="27"/>
      <c r="J972" s="27"/>
      <c r="K972" s="27"/>
      <c r="L972" s="23"/>
      <c r="M972" s="23"/>
    </row>
    <row r="973" ht="15.75" customHeight="1">
      <c r="A973" s="23"/>
      <c r="B973" s="24"/>
      <c r="C973" s="25"/>
      <c r="D973" s="26"/>
      <c r="E973" s="26"/>
      <c r="F973" s="26"/>
      <c r="G973" s="27"/>
      <c r="H973" s="27"/>
      <c r="I973" s="27"/>
      <c r="J973" s="27"/>
      <c r="K973" s="27"/>
      <c r="L973" s="23"/>
      <c r="M973" s="23"/>
    </row>
    <row r="974" ht="15.75" customHeight="1">
      <c r="A974" s="23"/>
      <c r="B974" s="24"/>
      <c r="C974" s="25"/>
      <c r="D974" s="26"/>
      <c r="E974" s="26"/>
      <c r="F974" s="26"/>
      <c r="G974" s="27"/>
      <c r="H974" s="27"/>
      <c r="I974" s="27"/>
      <c r="J974" s="27"/>
      <c r="K974" s="27"/>
      <c r="L974" s="23"/>
      <c r="M974" s="23"/>
    </row>
    <row r="975" ht="15.75" customHeight="1">
      <c r="A975" s="23"/>
      <c r="B975" s="24"/>
      <c r="C975" s="25"/>
      <c r="D975" s="26"/>
      <c r="E975" s="26"/>
      <c r="F975" s="26"/>
      <c r="G975" s="27"/>
      <c r="H975" s="27"/>
      <c r="I975" s="27"/>
      <c r="J975" s="27"/>
      <c r="K975" s="27"/>
      <c r="L975" s="23"/>
      <c r="M975" s="23"/>
    </row>
    <row r="976" ht="15.75" customHeight="1">
      <c r="A976" s="23"/>
      <c r="B976" s="24"/>
      <c r="C976" s="25"/>
      <c r="D976" s="26"/>
      <c r="E976" s="26"/>
      <c r="F976" s="26"/>
      <c r="G976" s="27"/>
      <c r="H976" s="27"/>
      <c r="I976" s="27"/>
      <c r="J976" s="27"/>
      <c r="K976" s="27"/>
      <c r="L976" s="23"/>
      <c r="M976" s="23"/>
    </row>
    <row r="977" ht="15.75" customHeight="1">
      <c r="A977" s="23"/>
      <c r="B977" s="24"/>
      <c r="C977" s="25"/>
      <c r="D977" s="26"/>
      <c r="E977" s="26"/>
      <c r="F977" s="26"/>
      <c r="G977" s="27"/>
      <c r="H977" s="27"/>
      <c r="I977" s="27"/>
      <c r="J977" s="27"/>
      <c r="K977" s="27"/>
      <c r="L977" s="23"/>
      <c r="M977" s="23"/>
    </row>
    <row r="978" ht="15.75" customHeight="1">
      <c r="A978" s="23"/>
      <c r="B978" s="24"/>
      <c r="C978" s="25"/>
      <c r="D978" s="26"/>
      <c r="E978" s="26"/>
      <c r="F978" s="26"/>
      <c r="G978" s="27"/>
      <c r="H978" s="27"/>
      <c r="I978" s="27"/>
      <c r="J978" s="27"/>
      <c r="K978" s="27"/>
      <c r="L978" s="23"/>
      <c r="M978" s="23"/>
    </row>
    <row r="979" ht="15.75" customHeight="1">
      <c r="A979" s="23"/>
      <c r="B979" s="24"/>
      <c r="C979" s="25"/>
      <c r="D979" s="26"/>
      <c r="E979" s="26"/>
      <c r="F979" s="26"/>
      <c r="G979" s="27"/>
      <c r="H979" s="27"/>
      <c r="I979" s="27"/>
      <c r="J979" s="27"/>
      <c r="K979" s="27"/>
      <c r="L979" s="23"/>
      <c r="M979" s="23"/>
    </row>
    <row r="980" ht="15.75" customHeight="1">
      <c r="A980" s="23"/>
      <c r="B980" s="24"/>
      <c r="C980" s="25"/>
      <c r="D980" s="26"/>
      <c r="E980" s="26"/>
      <c r="F980" s="26"/>
      <c r="G980" s="27"/>
      <c r="H980" s="27"/>
      <c r="I980" s="27"/>
      <c r="J980" s="27"/>
      <c r="K980" s="27"/>
      <c r="L980" s="23"/>
      <c r="M980" s="23"/>
    </row>
    <row r="981" ht="15.75" customHeight="1">
      <c r="A981" s="23"/>
      <c r="B981" s="24"/>
      <c r="C981" s="25"/>
      <c r="D981" s="26"/>
      <c r="E981" s="26"/>
      <c r="F981" s="26"/>
      <c r="G981" s="27"/>
      <c r="H981" s="27"/>
      <c r="I981" s="27"/>
      <c r="J981" s="27"/>
      <c r="K981" s="27"/>
      <c r="L981" s="23"/>
      <c r="M981" s="23"/>
    </row>
    <row r="982" ht="15.75" customHeight="1">
      <c r="A982" s="23"/>
      <c r="B982" s="24"/>
      <c r="C982" s="25"/>
      <c r="D982" s="26"/>
      <c r="E982" s="26"/>
      <c r="F982" s="26"/>
      <c r="G982" s="27"/>
      <c r="H982" s="27"/>
      <c r="I982" s="27"/>
      <c r="J982" s="27"/>
      <c r="K982" s="27"/>
      <c r="L982" s="23"/>
      <c r="M982" s="23"/>
    </row>
    <row r="983" ht="15.75" customHeight="1">
      <c r="A983" s="23"/>
      <c r="B983" s="24"/>
      <c r="C983" s="25"/>
      <c r="D983" s="26"/>
      <c r="E983" s="26"/>
      <c r="F983" s="26"/>
      <c r="G983" s="27"/>
      <c r="H983" s="27"/>
      <c r="I983" s="27"/>
      <c r="J983" s="27"/>
      <c r="K983" s="27"/>
      <c r="L983" s="23"/>
      <c r="M983" s="23"/>
    </row>
    <row r="984" ht="15.75" customHeight="1">
      <c r="A984" s="23"/>
      <c r="B984" s="24"/>
      <c r="C984" s="25"/>
      <c r="D984" s="26"/>
      <c r="E984" s="26"/>
      <c r="F984" s="26"/>
      <c r="G984" s="27"/>
      <c r="H984" s="27"/>
      <c r="I984" s="27"/>
      <c r="J984" s="27"/>
      <c r="K984" s="27"/>
      <c r="L984" s="23"/>
      <c r="M984" s="23"/>
    </row>
    <row r="985" ht="15.75" customHeight="1">
      <c r="A985" s="23"/>
      <c r="B985" s="24"/>
      <c r="C985" s="25"/>
      <c r="D985" s="26"/>
      <c r="E985" s="26"/>
      <c r="F985" s="26"/>
      <c r="G985" s="27"/>
      <c r="H985" s="27"/>
      <c r="I985" s="27"/>
      <c r="J985" s="27"/>
      <c r="K985" s="27"/>
      <c r="L985" s="23"/>
      <c r="M985" s="23"/>
    </row>
    <row r="986" ht="15.75" customHeight="1">
      <c r="A986" s="23"/>
      <c r="B986" s="24"/>
      <c r="C986" s="25"/>
      <c r="D986" s="26"/>
      <c r="E986" s="26"/>
      <c r="F986" s="26"/>
      <c r="G986" s="27"/>
      <c r="H986" s="27"/>
      <c r="I986" s="27"/>
      <c r="J986" s="27"/>
      <c r="K986" s="27"/>
      <c r="L986" s="23"/>
      <c r="M986" s="23"/>
    </row>
    <row r="987" ht="15.75" customHeight="1">
      <c r="A987" s="23"/>
      <c r="B987" s="24"/>
      <c r="C987" s="25"/>
      <c r="D987" s="26"/>
      <c r="E987" s="26"/>
      <c r="F987" s="26"/>
      <c r="G987" s="27"/>
      <c r="H987" s="27"/>
      <c r="I987" s="27"/>
      <c r="J987" s="27"/>
      <c r="K987" s="27"/>
      <c r="L987" s="23"/>
      <c r="M987" s="23"/>
    </row>
    <row r="988" ht="15.75" customHeight="1">
      <c r="A988" s="23"/>
      <c r="B988" s="24"/>
      <c r="C988" s="25"/>
      <c r="D988" s="26"/>
      <c r="E988" s="26"/>
      <c r="F988" s="26"/>
      <c r="G988" s="27"/>
      <c r="H988" s="27"/>
      <c r="I988" s="27"/>
      <c r="J988" s="27"/>
      <c r="K988" s="27"/>
      <c r="L988" s="23"/>
      <c r="M988" s="23"/>
    </row>
    <row r="989" ht="15.75" customHeight="1">
      <c r="A989" s="23"/>
      <c r="B989" s="24"/>
      <c r="C989" s="25"/>
      <c r="D989" s="26"/>
      <c r="E989" s="26"/>
      <c r="F989" s="26"/>
      <c r="G989" s="27"/>
      <c r="H989" s="27"/>
      <c r="I989" s="27"/>
      <c r="J989" s="27"/>
      <c r="K989" s="27"/>
      <c r="L989" s="23"/>
      <c r="M989" s="23"/>
    </row>
    <row r="990" ht="15.75" customHeight="1">
      <c r="A990" s="23"/>
      <c r="B990" s="24"/>
      <c r="C990" s="25"/>
      <c r="D990" s="26"/>
      <c r="E990" s="26"/>
      <c r="F990" s="26"/>
      <c r="G990" s="27"/>
      <c r="H990" s="27"/>
      <c r="I990" s="27"/>
      <c r="J990" s="27"/>
      <c r="K990" s="27"/>
      <c r="L990" s="23"/>
      <c r="M990" s="23"/>
    </row>
    <row r="991" ht="15.75" customHeight="1">
      <c r="A991" s="23"/>
      <c r="B991" s="24"/>
      <c r="C991" s="25"/>
      <c r="D991" s="26"/>
      <c r="E991" s="26"/>
      <c r="F991" s="26"/>
      <c r="G991" s="27"/>
      <c r="H991" s="27"/>
      <c r="I991" s="27"/>
      <c r="J991" s="27"/>
      <c r="K991" s="27"/>
      <c r="L991" s="23"/>
      <c r="M991" s="23"/>
    </row>
    <row r="992" ht="15.75" customHeight="1">
      <c r="A992" s="23"/>
      <c r="B992" s="24"/>
      <c r="C992" s="25"/>
      <c r="D992" s="26"/>
      <c r="E992" s="26"/>
      <c r="F992" s="26"/>
      <c r="G992" s="27"/>
      <c r="H992" s="27"/>
      <c r="I992" s="27"/>
      <c r="J992" s="27"/>
      <c r="K992" s="27"/>
      <c r="L992" s="23"/>
      <c r="M992" s="23"/>
    </row>
    <row r="993" ht="15.75" customHeight="1">
      <c r="A993" s="23"/>
      <c r="B993" s="24"/>
      <c r="C993" s="25"/>
      <c r="D993" s="26"/>
      <c r="E993" s="26"/>
      <c r="F993" s="26"/>
      <c r="G993" s="27"/>
      <c r="H993" s="27"/>
      <c r="I993" s="27"/>
      <c r="J993" s="27"/>
      <c r="K993" s="27"/>
      <c r="L993" s="23"/>
      <c r="M993" s="23"/>
    </row>
    <row r="994" ht="15.75" customHeight="1">
      <c r="A994" s="23"/>
      <c r="B994" s="24"/>
      <c r="C994" s="25"/>
      <c r="D994" s="26"/>
      <c r="E994" s="26"/>
      <c r="F994" s="26"/>
      <c r="G994" s="27"/>
      <c r="H994" s="27"/>
      <c r="I994" s="27"/>
      <c r="J994" s="27"/>
      <c r="K994" s="27"/>
      <c r="L994" s="23"/>
      <c r="M994" s="23"/>
    </row>
    <row r="995" ht="15.75" customHeight="1">
      <c r="A995" s="23"/>
      <c r="B995" s="24"/>
      <c r="C995" s="25"/>
      <c r="D995" s="26"/>
      <c r="E995" s="26"/>
      <c r="F995" s="26"/>
      <c r="G995" s="27"/>
      <c r="H995" s="27"/>
      <c r="I995" s="27"/>
      <c r="J995" s="27"/>
      <c r="K995" s="27"/>
      <c r="L995" s="23"/>
      <c r="M995" s="23"/>
    </row>
    <row r="996" ht="15.75" customHeight="1">
      <c r="A996" s="23"/>
      <c r="B996" s="24"/>
      <c r="C996" s="25"/>
      <c r="D996" s="26"/>
      <c r="E996" s="26"/>
      <c r="F996" s="26"/>
      <c r="G996" s="27"/>
      <c r="H996" s="27"/>
      <c r="I996" s="27"/>
      <c r="J996" s="27"/>
      <c r="K996" s="27"/>
      <c r="L996" s="23"/>
      <c r="M996" s="23"/>
    </row>
    <row r="997" ht="15.75" customHeight="1">
      <c r="A997" s="23"/>
      <c r="B997" s="24"/>
      <c r="C997" s="25"/>
      <c r="D997" s="26"/>
      <c r="E997" s="26"/>
      <c r="F997" s="26"/>
      <c r="G997" s="27"/>
      <c r="H997" s="27"/>
      <c r="I997" s="27"/>
      <c r="J997" s="27"/>
      <c r="K997" s="27"/>
      <c r="L997" s="23"/>
      <c r="M997" s="23"/>
    </row>
    <row r="998" ht="15.75" customHeight="1">
      <c r="A998" s="23"/>
      <c r="B998" s="24"/>
      <c r="C998" s="25"/>
      <c r="D998" s="26"/>
      <c r="E998" s="26"/>
      <c r="F998" s="26"/>
      <c r="G998" s="27"/>
      <c r="H998" s="27"/>
      <c r="I998" s="27"/>
      <c r="J998" s="27"/>
      <c r="K998" s="27"/>
      <c r="L998" s="23"/>
      <c r="M998" s="23"/>
    </row>
    <row r="999" ht="15.75" customHeight="1">
      <c r="A999" s="23"/>
      <c r="B999" s="24"/>
      <c r="C999" s="25"/>
      <c r="D999" s="26"/>
      <c r="E999" s="26"/>
      <c r="F999" s="26"/>
      <c r="G999" s="27"/>
      <c r="H999" s="27"/>
      <c r="I999" s="27"/>
      <c r="J999" s="27"/>
      <c r="K999" s="27"/>
      <c r="L999" s="23"/>
      <c r="M999" s="23"/>
    </row>
    <row r="1000" ht="15.75" customHeight="1">
      <c r="A1000" s="23"/>
      <c r="B1000" s="24"/>
      <c r="C1000" s="25"/>
      <c r="D1000" s="26"/>
      <c r="E1000" s="26"/>
      <c r="F1000" s="26"/>
      <c r="G1000" s="27"/>
      <c r="H1000" s="27"/>
      <c r="I1000" s="27"/>
      <c r="J1000" s="27"/>
      <c r="K1000" s="27"/>
      <c r="L1000" s="23"/>
      <c r="M1000" s="23"/>
    </row>
  </sheetData>
  <mergeCells count="1">
    <mergeCell ref="P1:T2"/>
  </mergeCells>
  <hyperlinks>
    <hyperlink display="RETORNAR AO MENU DE SELEÇÃO " location="null!A1" ref="P1"/>
  </hyperlinks>
  <printOptions/>
  <pageMargins bottom="0.787401575" footer="0.0" header="0.0" left="0.511811024" right="0.511811024" top="0.787401575"/>
  <pageSetup orientation="landscape"/>
  <drawing r:id="rId2"/>
  <legacyDrawing r:id="rId3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showGridLines="0" workbookViewId="0"/>
  </sheetViews>
  <sheetFormatPr customHeight="1" defaultColWidth="12.63" defaultRowHeight="15.0"/>
  <cols>
    <col customWidth="1" hidden="1" min="1" max="1" width="7.13"/>
    <col customWidth="1" min="2" max="2" width="15.0"/>
    <col customWidth="1" hidden="1" min="3" max="3" width="9.38"/>
    <col customWidth="1" hidden="1" min="4" max="4" width="8.75"/>
    <col customWidth="1" hidden="1" min="5" max="5" width="16.38"/>
    <col customWidth="1" min="6" max="6" width="22.75"/>
    <col customWidth="1" min="7" max="7" width="11.75"/>
    <col customWidth="1" min="8" max="8" width="12.75"/>
    <col customWidth="1" min="9" max="9" width="19.88"/>
    <col customWidth="1" min="10" max="10" width="16.75"/>
    <col customWidth="1" min="11" max="11" width="19.38"/>
    <col customWidth="1" min="12" max="12" width="23.63"/>
    <col customWidth="1" min="13" max="13" width="26.88"/>
    <col customWidth="1" min="14" max="14" width="33.13"/>
    <col customWidth="1" hidden="1" min="15" max="15" width="9.13"/>
    <col customWidth="1" min="16" max="16" width="9.88"/>
    <col customWidth="1" min="17" max="26" width="8.63"/>
  </cols>
  <sheetData>
    <row r="1">
      <c r="A1" s="3" t="s">
        <v>1</v>
      </c>
      <c r="B1" s="4" t="s">
        <v>2</v>
      </c>
      <c r="C1" s="5" t="s">
        <v>3</v>
      </c>
      <c r="D1" s="6" t="s">
        <v>4</v>
      </c>
      <c r="E1" s="3" t="s">
        <v>5</v>
      </c>
      <c r="F1" s="3" t="s">
        <v>6</v>
      </c>
      <c r="G1" s="34" t="s">
        <v>7</v>
      </c>
      <c r="H1" s="34" t="s">
        <v>8</v>
      </c>
      <c r="I1" s="34" t="s">
        <v>9</v>
      </c>
      <c r="J1" s="34" t="s">
        <v>10</v>
      </c>
      <c r="K1" s="34" t="s">
        <v>11</v>
      </c>
      <c r="L1" s="3" t="s">
        <v>12</v>
      </c>
      <c r="M1" s="3" t="s">
        <v>13</v>
      </c>
      <c r="N1" s="7" t="s">
        <v>14</v>
      </c>
      <c r="O1" s="3" t="s">
        <v>15</v>
      </c>
      <c r="P1" s="8" t="s">
        <v>16</v>
      </c>
      <c r="U1" s="9"/>
      <c r="V1" s="9"/>
      <c r="W1" s="9"/>
      <c r="X1" s="9"/>
      <c r="Y1" s="9"/>
      <c r="Z1" s="9"/>
    </row>
    <row r="2">
      <c r="A2" s="10">
        <v>17.0</v>
      </c>
      <c r="B2" s="11" t="s">
        <v>254</v>
      </c>
      <c r="C2" s="12">
        <v>11.0</v>
      </c>
      <c r="D2" s="10" t="s">
        <v>18</v>
      </c>
      <c r="E2" s="10">
        <v>2025.0</v>
      </c>
      <c r="F2" s="10" t="s">
        <v>26</v>
      </c>
      <c r="G2" s="35">
        <v>25038.0</v>
      </c>
      <c r="H2" s="35"/>
      <c r="I2" s="36">
        <f>IFERROR(_xlfn.FORECAST.LINEAR('BD_LeiturasHidrômetro_PRJ03'!$A2,G:G,A:A),"000000")</f>
        <v>25047.83264</v>
      </c>
      <c r="J2" s="36" t="str">
        <f>IF('BD_LeiturasHidrômetro_PRJ03'!$G2&amp;'BD_LeiturasHidrômetro_PRJ03'!$H2="",'BD_LeiturasHidrômetro_PRJ03'!$I2,'BD_LeiturasHidrômetro_PRJ03'!$G2&amp;'BD_LeiturasHidrômetro_PRJ03'!$H2)</f>
        <v>25038</v>
      </c>
      <c r="K2" s="36"/>
      <c r="L2" s="15" t="s">
        <v>260</v>
      </c>
      <c r="M2" s="16">
        <v>0.5833333333333334</v>
      </c>
      <c r="N2" s="17">
        <v>0.0</v>
      </c>
      <c r="O2" s="15" t="s">
        <v>261</v>
      </c>
      <c r="R2" s="18"/>
      <c r="S2" s="19"/>
    </row>
    <row r="3">
      <c r="A3" s="10">
        <v>18.0</v>
      </c>
      <c r="B3" s="11" t="s">
        <v>255</v>
      </c>
      <c r="C3" s="12">
        <v>12.0</v>
      </c>
      <c r="D3" s="10" t="s">
        <v>18</v>
      </c>
      <c r="E3" s="10">
        <v>2025.0</v>
      </c>
      <c r="F3" s="10" t="s">
        <v>28</v>
      </c>
      <c r="G3" s="35">
        <v>25081.0</v>
      </c>
      <c r="H3" s="35"/>
      <c r="I3" s="36">
        <f>IFERROR(_xlfn.FORECAST.LINEAR('BD_LeiturasHidrômetro_PRJ03'!$A3,G:G,A:A),"0000")</f>
        <v>25066.91213</v>
      </c>
      <c r="J3" s="36" t="str">
        <f>IF('BD_LeiturasHidrômetro_PRJ03'!$G3&amp;'BD_LeiturasHidrômetro_PRJ03'!$H3="",'BD_LeiturasHidrômetro_PRJ03'!$I3,'BD_LeiturasHidrômetro_PRJ03'!$G3&amp;'BD_LeiturasHidrômetro_PRJ03'!$H3)</f>
        <v>25081</v>
      </c>
      <c r="K3" s="36" t="str">
        <f t="shared" ref="K3:K205" si="1">J2</f>
        <v>25038</v>
      </c>
      <c r="L3" s="15" t="s">
        <v>260</v>
      </c>
      <c r="M3" s="16">
        <v>0.5833333333333334</v>
      </c>
      <c r="N3" s="17">
        <v>0.0</v>
      </c>
      <c r="O3" s="15" t="s">
        <v>261</v>
      </c>
      <c r="R3" s="18"/>
      <c r="S3" s="19"/>
    </row>
    <row r="4">
      <c r="A4" s="10">
        <v>19.0</v>
      </c>
      <c r="B4" s="11" t="s">
        <v>256</v>
      </c>
      <c r="C4" s="12">
        <v>13.0</v>
      </c>
      <c r="D4" s="10" t="s">
        <v>18</v>
      </c>
      <c r="E4" s="10">
        <v>2025.0</v>
      </c>
      <c r="F4" s="10" t="s">
        <v>30</v>
      </c>
      <c r="G4" s="35">
        <v>25087.0</v>
      </c>
      <c r="H4" s="35"/>
      <c r="I4" s="36">
        <f>IFERROR(_xlfn.FORECAST.LINEAR('BD_LeiturasHidrômetro_PRJ03'!$A4,G:G,A:A),"0000")</f>
        <v>25085.99163</v>
      </c>
      <c r="J4" s="36" t="str">
        <f>IF('BD_LeiturasHidrômetro_PRJ03'!$G4&amp;'BD_LeiturasHidrômetro_PRJ03'!$H4="",'BD_LeiturasHidrômetro_PRJ03'!$I4,'BD_LeiturasHidrômetro_PRJ03'!$G4&amp;'BD_LeiturasHidrômetro_PRJ03'!$H4)</f>
        <v>25087</v>
      </c>
      <c r="K4" s="36" t="str">
        <f t="shared" si="1"/>
        <v>25081</v>
      </c>
      <c r="L4" s="15" t="s">
        <v>260</v>
      </c>
      <c r="M4" s="16">
        <v>0.5833333333333334</v>
      </c>
      <c r="N4" s="17">
        <f t="shared" ref="N4:N205" si="2">J3-K3</f>
        <v>43</v>
      </c>
      <c r="O4" s="15" t="s">
        <v>261</v>
      </c>
      <c r="R4" s="18"/>
      <c r="S4" s="19"/>
    </row>
    <row r="5">
      <c r="A5" s="10">
        <v>20.0</v>
      </c>
      <c r="B5" s="11" t="s">
        <v>257</v>
      </c>
      <c r="C5" s="12">
        <v>14.0</v>
      </c>
      <c r="D5" s="10" t="s">
        <v>18</v>
      </c>
      <c r="E5" s="10">
        <v>2025.0</v>
      </c>
      <c r="F5" s="10" t="s">
        <v>32</v>
      </c>
      <c r="G5" s="35"/>
      <c r="H5" s="35">
        <v>25104.666666666668</v>
      </c>
      <c r="I5" s="36">
        <f>IFERROR(_xlfn.FORECAST.LINEAR('BD_LeiturasHidrômetro_PRJ03'!$A5,G:G,A:A),"0000")</f>
        <v>25105.07113</v>
      </c>
      <c r="J5" s="36" t="str">
        <f>IF('BD_LeiturasHidrômetro_PRJ03'!$G5&amp;'BD_LeiturasHidrômetro_PRJ03'!$H5="",'BD_LeiturasHidrômetro_PRJ03'!$I5,'BD_LeiturasHidrômetro_PRJ03'!$G5&amp;'BD_LeiturasHidrômetro_PRJ03'!$H5)</f>
        <v>25104,6666666667</v>
      </c>
      <c r="K5" s="36" t="str">
        <f t="shared" si="1"/>
        <v>25087</v>
      </c>
      <c r="L5" s="15"/>
      <c r="M5" s="15"/>
      <c r="N5" s="17">
        <f t="shared" si="2"/>
        <v>6</v>
      </c>
      <c r="O5" s="15" t="s">
        <v>261</v>
      </c>
      <c r="R5" s="18"/>
      <c r="S5" s="19"/>
    </row>
    <row r="6">
      <c r="A6" s="10">
        <v>21.0</v>
      </c>
      <c r="B6" s="11" t="s">
        <v>258</v>
      </c>
      <c r="C6" s="12">
        <v>15.0</v>
      </c>
      <c r="D6" s="10" t="s">
        <v>18</v>
      </c>
      <c r="E6" s="10">
        <v>2025.0</v>
      </c>
      <c r="F6" s="10" t="s">
        <v>34</v>
      </c>
      <c r="G6" s="35"/>
      <c r="H6" s="35">
        <v>25122.333333333332</v>
      </c>
      <c r="I6" s="36">
        <f>IFERROR(_xlfn.FORECAST.LINEAR('BD_LeiturasHidrômetro_PRJ03'!$A6,G:G,A:A),"0000")</f>
        <v>25124.15063</v>
      </c>
      <c r="J6" s="36" t="str">
        <f>IF('BD_LeiturasHidrômetro_PRJ03'!$G6&amp;'BD_LeiturasHidrômetro_PRJ03'!$H6="",'BD_LeiturasHidrômetro_PRJ03'!$I6,'BD_LeiturasHidrômetro_PRJ03'!$G6&amp;'BD_LeiturasHidrômetro_PRJ03'!$H6)</f>
        <v>25122,3333333333</v>
      </c>
      <c r="K6" s="36" t="str">
        <f t="shared" si="1"/>
        <v>25104,6666666667</v>
      </c>
      <c r="L6" s="15"/>
      <c r="M6" s="15"/>
      <c r="N6" s="17">
        <f t="shared" si="2"/>
        <v>17.66666667</v>
      </c>
      <c r="O6" s="15" t="s">
        <v>261</v>
      </c>
      <c r="R6" s="18"/>
      <c r="S6" s="19"/>
    </row>
    <row r="7">
      <c r="A7" s="10">
        <v>22.0</v>
      </c>
      <c r="B7" s="11" t="s">
        <v>17</v>
      </c>
      <c r="C7" s="12">
        <v>16.0</v>
      </c>
      <c r="D7" s="10" t="s">
        <v>18</v>
      </c>
      <c r="E7" s="10">
        <v>2025.0</v>
      </c>
      <c r="F7" s="10" t="s">
        <v>19</v>
      </c>
      <c r="G7" s="35">
        <v>25140.0</v>
      </c>
      <c r="H7" s="35"/>
      <c r="I7" s="36">
        <f>IFERROR(_xlfn.FORECAST.LINEAR('BD_LeiturasHidrômetro_PRJ03'!$A7,G:G,A:A),"0000")</f>
        <v>25143.23013</v>
      </c>
      <c r="J7" s="36" t="str">
        <f>IF('BD_LeiturasHidrômetro_PRJ03'!$G7&amp;'BD_LeiturasHidrômetro_PRJ03'!$H7="",'BD_LeiturasHidrômetro_PRJ03'!$I7,'BD_LeiturasHidrômetro_PRJ03'!$G7&amp;'BD_LeiturasHidrômetro_PRJ03'!$H7)</f>
        <v>25140</v>
      </c>
      <c r="K7" s="36" t="str">
        <f t="shared" si="1"/>
        <v>25122,3333333333</v>
      </c>
      <c r="L7" s="15" t="s">
        <v>260</v>
      </c>
      <c r="M7" s="16">
        <v>0.5833333333333334</v>
      </c>
      <c r="N7" s="17">
        <f t="shared" si="2"/>
        <v>17.66666667</v>
      </c>
      <c r="O7" s="15" t="s">
        <v>261</v>
      </c>
      <c r="R7" s="18"/>
      <c r="S7" s="19"/>
    </row>
    <row r="8">
      <c r="A8" s="10">
        <v>23.0</v>
      </c>
      <c r="B8" s="11" t="s">
        <v>22</v>
      </c>
      <c r="C8" s="12">
        <v>17.0</v>
      </c>
      <c r="D8" s="10" t="s">
        <v>18</v>
      </c>
      <c r="E8" s="10">
        <v>2025.0</v>
      </c>
      <c r="F8" s="10" t="s">
        <v>23</v>
      </c>
      <c r="G8" s="35">
        <v>25165.0</v>
      </c>
      <c r="H8" s="35"/>
      <c r="I8" s="36">
        <f>IFERROR(_xlfn.FORECAST.LINEAR('BD_LeiturasHidrômetro_PRJ03'!$A8,G:G,A:A),"0000")</f>
        <v>25162.30962</v>
      </c>
      <c r="J8" s="36" t="str">
        <f>IF('BD_LeiturasHidrômetro_PRJ03'!$G8&amp;'BD_LeiturasHidrômetro_PRJ03'!$H8="",'BD_LeiturasHidrômetro_PRJ03'!$I8,'BD_LeiturasHidrômetro_PRJ03'!$G8&amp;'BD_LeiturasHidrômetro_PRJ03'!$H8)</f>
        <v>25165</v>
      </c>
      <c r="K8" s="36" t="str">
        <f t="shared" si="1"/>
        <v>25140</v>
      </c>
      <c r="L8" s="15" t="s">
        <v>260</v>
      </c>
      <c r="M8" s="16">
        <v>0.5833333333333334</v>
      </c>
      <c r="N8" s="17">
        <f t="shared" si="2"/>
        <v>17.66666667</v>
      </c>
      <c r="O8" s="15" t="s">
        <v>261</v>
      </c>
      <c r="R8" s="18"/>
      <c r="S8" s="19"/>
    </row>
    <row r="9">
      <c r="A9" s="10">
        <v>24.0</v>
      </c>
      <c r="B9" s="11" t="s">
        <v>25</v>
      </c>
      <c r="C9" s="12">
        <v>18.0</v>
      </c>
      <c r="D9" s="10" t="s">
        <v>18</v>
      </c>
      <c r="E9" s="10">
        <v>2025.0</v>
      </c>
      <c r="F9" s="10" t="s">
        <v>26</v>
      </c>
      <c r="G9" s="35">
        <v>25170.0</v>
      </c>
      <c r="H9" s="35"/>
      <c r="I9" s="36">
        <f>IFERROR(_xlfn.FORECAST.LINEAR('BD_LeiturasHidrômetro_PRJ03'!$A9,G:G,A:A),"0000")</f>
        <v>25181.38912</v>
      </c>
      <c r="J9" s="36" t="str">
        <f>IF('BD_LeiturasHidrômetro_PRJ03'!$G9&amp;'BD_LeiturasHidrômetro_PRJ03'!$H9="",'BD_LeiturasHidrômetro_PRJ03'!$I9,'BD_LeiturasHidrômetro_PRJ03'!$G9&amp;'BD_LeiturasHidrômetro_PRJ03'!$H9)</f>
        <v>25170</v>
      </c>
      <c r="K9" s="36" t="str">
        <f t="shared" si="1"/>
        <v>25165</v>
      </c>
      <c r="L9" s="15" t="s">
        <v>260</v>
      </c>
      <c r="M9" s="16">
        <v>0.3368055555555556</v>
      </c>
      <c r="N9" s="17">
        <f t="shared" si="2"/>
        <v>25</v>
      </c>
      <c r="O9" s="15" t="s">
        <v>261</v>
      </c>
      <c r="R9" s="18"/>
      <c r="S9" s="19"/>
    </row>
    <row r="10">
      <c r="A10" s="10">
        <v>25.0</v>
      </c>
      <c r="B10" s="11" t="s">
        <v>27</v>
      </c>
      <c r="C10" s="12">
        <v>19.0</v>
      </c>
      <c r="D10" s="10" t="s">
        <v>18</v>
      </c>
      <c r="E10" s="10">
        <v>2025.0</v>
      </c>
      <c r="F10" s="10" t="s">
        <v>28</v>
      </c>
      <c r="G10" s="35"/>
      <c r="H10" s="35">
        <v>25197.5</v>
      </c>
      <c r="I10" s="36">
        <f>IFERROR(_xlfn.FORECAST.LINEAR('BD_LeiturasHidrômetro_PRJ03'!$A10,G:G,A:A),"0000")</f>
        <v>25200.46862</v>
      </c>
      <c r="J10" s="36" t="str">
        <f>IF('BD_LeiturasHidrômetro_PRJ03'!$G10&amp;'BD_LeiturasHidrômetro_PRJ03'!$H10="",'BD_LeiturasHidrômetro_PRJ03'!$I10,'BD_LeiturasHidrômetro_PRJ03'!$G10&amp;'BD_LeiturasHidrômetro_PRJ03'!$H10)</f>
        <v>25197,5</v>
      </c>
      <c r="K10" s="36" t="str">
        <f t="shared" si="1"/>
        <v>25170</v>
      </c>
      <c r="L10" s="15"/>
      <c r="M10" s="15"/>
      <c r="N10" s="17">
        <f t="shared" si="2"/>
        <v>5</v>
      </c>
      <c r="O10" s="15" t="s">
        <v>261</v>
      </c>
      <c r="R10" s="18"/>
      <c r="S10" s="19"/>
    </row>
    <row r="11">
      <c r="A11" s="10">
        <v>26.0</v>
      </c>
      <c r="B11" s="11" t="s">
        <v>29</v>
      </c>
      <c r="C11" s="12">
        <v>20.0</v>
      </c>
      <c r="D11" s="10" t="s">
        <v>18</v>
      </c>
      <c r="E11" s="10">
        <v>2025.0</v>
      </c>
      <c r="F11" s="10" t="s">
        <v>30</v>
      </c>
      <c r="G11" s="35">
        <v>25225.0</v>
      </c>
      <c r="H11" s="35"/>
      <c r="I11" s="36">
        <f>IFERROR(_xlfn.FORECAST.LINEAR('BD_LeiturasHidrômetro_PRJ03'!$A11,G:G,A:A),"0000")</f>
        <v>25219.54812</v>
      </c>
      <c r="J11" s="36" t="str">
        <f>IF('BD_LeiturasHidrômetro_PRJ03'!$G11&amp;'BD_LeiturasHidrômetro_PRJ03'!$H11="",'BD_LeiturasHidrômetro_PRJ03'!$I11,'BD_LeiturasHidrômetro_PRJ03'!$G11&amp;'BD_LeiturasHidrômetro_PRJ03'!$H11)</f>
        <v>25225</v>
      </c>
      <c r="K11" s="36" t="str">
        <f t="shared" si="1"/>
        <v>25197,5</v>
      </c>
      <c r="L11" s="15" t="s">
        <v>260</v>
      </c>
      <c r="M11" s="16">
        <v>0.3284722222222222</v>
      </c>
      <c r="N11" s="17">
        <f t="shared" si="2"/>
        <v>27.5</v>
      </c>
      <c r="O11" s="15" t="s">
        <v>261</v>
      </c>
      <c r="R11" s="18"/>
      <c r="S11" s="19"/>
    </row>
    <row r="12">
      <c r="A12" s="10">
        <v>27.0</v>
      </c>
      <c r="B12" s="11" t="s">
        <v>31</v>
      </c>
      <c r="C12" s="12">
        <v>21.0</v>
      </c>
      <c r="D12" s="10" t="s">
        <v>18</v>
      </c>
      <c r="E12" s="10">
        <v>2025.0</v>
      </c>
      <c r="F12" s="10" t="s">
        <v>32</v>
      </c>
      <c r="G12" s="35"/>
      <c r="H12" s="35">
        <v>25242.666666666668</v>
      </c>
      <c r="I12" s="36">
        <f>IFERROR(_xlfn.FORECAST.LINEAR('BD_LeiturasHidrômetro_PRJ03'!$A12,G:G,A:A),"0000")</f>
        <v>25238.62762</v>
      </c>
      <c r="J12" s="36" t="str">
        <f>IF('BD_LeiturasHidrômetro_PRJ03'!$G12&amp;'BD_LeiturasHidrômetro_PRJ03'!$H12="",'BD_LeiturasHidrômetro_PRJ03'!$I12,'BD_LeiturasHidrômetro_PRJ03'!$G12&amp;'BD_LeiturasHidrômetro_PRJ03'!$H12)</f>
        <v>25242,6666666667</v>
      </c>
      <c r="K12" s="36" t="str">
        <f t="shared" si="1"/>
        <v>25225</v>
      </c>
      <c r="L12" s="15"/>
      <c r="M12" s="15"/>
      <c r="N12" s="17">
        <f t="shared" si="2"/>
        <v>27.5</v>
      </c>
      <c r="O12" s="15" t="s">
        <v>261</v>
      </c>
      <c r="R12" s="18"/>
      <c r="S12" s="19"/>
    </row>
    <row r="13">
      <c r="A13" s="10">
        <v>28.0</v>
      </c>
      <c r="B13" s="11" t="s">
        <v>33</v>
      </c>
      <c r="C13" s="12">
        <v>22.0</v>
      </c>
      <c r="D13" s="10" t="s">
        <v>18</v>
      </c>
      <c r="E13" s="10">
        <v>2025.0</v>
      </c>
      <c r="F13" s="10" t="s">
        <v>34</v>
      </c>
      <c r="G13" s="35"/>
      <c r="H13" s="35">
        <v>25260.333333333332</v>
      </c>
      <c r="I13" s="36">
        <f>IFERROR(_xlfn.FORECAST.LINEAR('BD_LeiturasHidrômetro_PRJ03'!$A13,G:G,A:A),"0000")</f>
        <v>25257.70711</v>
      </c>
      <c r="J13" s="36" t="str">
        <f>IF('BD_LeiturasHidrômetro_PRJ03'!$G13&amp;'BD_LeiturasHidrômetro_PRJ03'!$H13="",'BD_LeiturasHidrômetro_PRJ03'!$I13,'BD_LeiturasHidrômetro_PRJ03'!$G13&amp;'BD_LeiturasHidrômetro_PRJ03'!$H13)</f>
        <v>25260,3333333333</v>
      </c>
      <c r="K13" s="36" t="str">
        <f t="shared" si="1"/>
        <v>25242,6666666667</v>
      </c>
      <c r="L13" s="15"/>
      <c r="M13" s="15"/>
      <c r="N13" s="17">
        <f t="shared" si="2"/>
        <v>17.66666667</v>
      </c>
      <c r="O13" s="15" t="s">
        <v>261</v>
      </c>
      <c r="R13" s="18"/>
      <c r="S13" s="19"/>
    </row>
    <row r="14">
      <c r="A14" s="10">
        <v>29.0</v>
      </c>
      <c r="B14" s="11" t="s">
        <v>35</v>
      </c>
      <c r="C14" s="12">
        <v>23.0</v>
      </c>
      <c r="D14" s="10" t="s">
        <v>18</v>
      </c>
      <c r="E14" s="10">
        <v>2025.0</v>
      </c>
      <c r="F14" s="10" t="s">
        <v>19</v>
      </c>
      <c r="G14" s="35">
        <v>25278.0</v>
      </c>
      <c r="H14" s="35"/>
      <c r="I14" s="36">
        <f>IFERROR(_xlfn.FORECAST.LINEAR('BD_LeiturasHidrômetro_PRJ03'!$A14,G:G,A:A),"0000")</f>
        <v>25276.78661</v>
      </c>
      <c r="J14" s="36" t="str">
        <f>IF('BD_LeiturasHidrômetro_PRJ03'!$G14&amp;'BD_LeiturasHidrômetro_PRJ03'!$H14="",'BD_LeiturasHidrômetro_PRJ03'!$I14,'BD_LeiturasHidrômetro_PRJ03'!$G14&amp;'BD_LeiturasHidrômetro_PRJ03'!$H14)</f>
        <v>25278</v>
      </c>
      <c r="K14" s="36" t="str">
        <f t="shared" si="1"/>
        <v>25260,3333333333</v>
      </c>
      <c r="L14" s="15" t="s">
        <v>260</v>
      </c>
      <c r="M14" s="16">
        <v>0.39444444444444443</v>
      </c>
      <c r="N14" s="17">
        <f t="shared" si="2"/>
        <v>17.66666667</v>
      </c>
      <c r="O14" s="15" t="s">
        <v>261</v>
      </c>
      <c r="R14" s="18"/>
      <c r="S14" s="19"/>
    </row>
    <row r="15">
      <c r="A15" s="10">
        <v>30.0</v>
      </c>
      <c r="B15" s="11" t="s">
        <v>36</v>
      </c>
      <c r="C15" s="12">
        <v>24.0</v>
      </c>
      <c r="D15" s="10" t="s">
        <v>18</v>
      </c>
      <c r="E15" s="10">
        <v>2025.0</v>
      </c>
      <c r="F15" s="10" t="s">
        <v>23</v>
      </c>
      <c r="G15" s="35"/>
      <c r="H15" s="35"/>
      <c r="I15" s="36">
        <f>IFERROR(_xlfn.FORECAST.LINEAR('BD_LeiturasHidrômetro_PRJ03'!$A15,G:G,A:A),"0000")</f>
        <v>25295.86611</v>
      </c>
      <c r="J15" s="36">
        <f>IF('BD_LeiturasHidrômetro_PRJ03'!$G15&amp;'BD_LeiturasHidrômetro_PRJ03'!$H15="",'BD_LeiturasHidrômetro_PRJ03'!$I15,'BD_LeiturasHidrômetro_PRJ03'!$G15&amp;'BD_LeiturasHidrômetro_PRJ03'!$H15)</f>
        <v>25295.86611</v>
      </c>
      <c r="K15" s="36" t="str">
        <f t="shared" si="1"/>
        <v>25278</v>
      </c>
      <c r="L15" s="15"/>
      <c r="M15" s="15"/>
      <c r="N15" s="17">
        <f t="shared" si="2"/>
        <v>17.66666667</v>
      </c>
      <c r="O15" s="15" t="s">
        <v>261</v>
      </c>
      <c r="R15" s="18"/>
      <c r="S15" s="19"/>
    </row>
    <row r="16">
      <c r="A16" s="10">
        <v>31.0</v>
      </c>
      <c r="B16" s="11" t="s">
        <v>37</v>
      </c>
      <c r="C16" s="12">
        <v>25.0</v>
      </c>
      <c r="D16" s="10" t="s">
        <v>18</v>
      </c>
      <c r="E16" s="10">
        <v>2025.0</v>
      </c>
      <c r="F16" s="10" t="s">
        <v>26</v>
      </c>
      <c r="G16" s="35"/>
      <c r="H16" s="35"/>
      <c r="I16" s="36">
        <f>IFERROR(_xlfn.FORECAST.LINEAR('BD_LeiturasHidrômetro_PRJ03'!$A16,G:G,A:A),"0000")</f>
        <v>25314.94561</v>
      </c>
      <c r="J16" s="36">
        <f>IF('BD_LeiturasHidrômetro_PRJ03'!$G16&amp;'BD_LeiturasHidrômetro_PRJ03'!$H16="",'BD_LeiturasHidrômetro_PRJ03'!$I16,'BD_LeiturasHidrômetro_PRJ03'!$G16&amp;'BD_LeiturasHidrômetro_PRJ03'!$H16)</f>
        <v>25314.94561</v>
      </c>
      <c r="K16" s="36">
        <f t="shared" si="1"/>
        <v>25295.86611</v>
      </c>
      <c r="L16" s="15"/>
      <c r="M16" s="15"/>
      <c r="N16" s="17">
        <f t="shared" si="2"/>
        <v>17.86610879</v>
      </c>
      <c r="O16" s="15" t="s">
        <v>261</v>
      </c>
      <c r="R16" s="18"/>
      <c r="S16" s="19"/>
    </row>
    <row r="17">
      <c r="A17" s="10">
        <v>32.0</v>
      </c>
      <c r="B17" s="11" t="s">
        <v>38</v>
      </c>
      <c r="C17" s="12">
        <v>26.0</v>
      </c>
      <c r="D17" s="10" t="s">
        <v>18</v>
      </c>
      <c r="E17" s="10">
        <v>2025.0</v>
      </c>
      <c r="F17" s="10" t="s">
        <v>28</v>
      </c>
      <c r="G17" s="35"/>
      <c r="H17" s="35"/>
      <c r="I17" s="36">
        <f>IFERROR(_xlfn.FORECAST.LINEAR('BD_LeiturasHidrômetro_PRJ03'!$A17,G:G,A:A),"0000")</f>
        <v>25334.0251</v>
      </c>
      <c r="J17" s="36">
        <f>IF('BD_LeiturasHidrômetro_PRJ03'!$G17&amp;'BD_LeiturasHidrômetro_PRJ03'!$H17="",'BD_LeiturasHidrômetro_PRJ03'!$I17,'BD_LeiturasHidrômetro_PRJ03'!$G17&amp;'BD_LeiturasHidrômetro_PRJ03'!$H17)</f>
        <v>25334.0251</v>
      </c>
      <c r="K17" s="36">
        <f t="shared" si="1"/>
        <v>25314.94561</v>
      </c>
      <c r="L17" s="15"/>
      <c r="M17" s="15"/>
      <c r="N17" s="17">
        <f t="shared" si="2"/>
        <v>19.07949791</v>
      </c>
      <c r="O17" s="15" t="s">
        <v>261</v>
      </c>
      <c r="R17" s="18"/>
      <c r="S17" s="19"/>
    </row>
    <row r="18">
      <c r="A18" s="10">
        <v>33.0</v>
      </c>
      <c r="B18" s="11" t="s">
        <v>39</v>
      </c>
      <c r="C18" s="12">
        <v>27.0</v>
      </c>
      <c r="D18" s="10" t="s">
        <v>18</v>
      </c>
      <c r="E18" s="10">
        <v>2025.0</v>
      </c>
      <c r="F18" s="10" t="s">
        <v>30</v>
      </c>
      <c r="G18" s="35"/>
      <c r="H18" s="35"/>
      <c r="I18" s="36">
        <f>IFERROR(_xlfn.FORECAST.LINEAR('BD_LeiturasHidrômetro_PRJ03'!$A18,G:G,A:A),"0000")</f>
        <v>25353.1046</v>
      </c>
      <c r="J18" s="36">
        <f>IF('BD_LeiturasHidrômetro_PRJ03'!$G18&amp;'BD_LeiturasHidrômetro_PRJ03'!$H18="",'BD_LeiturasHidrômetro_PRJ03'!$I18,'BD_LeiturasHidrômetro_PRJ03'!$G18&amp;'BD_LeiturasHidrômetro_PRJ03'!$H18)</f>
        <v>25353.1046</v>
      </c>
      <c r="K18" s="36">
        <f t="shared" si="1"/>
        <v>25334.0251</v>
      </c>
      <c r="L18" s="15"/>
      <c r="M18" s="15"/>
      <c r="N18" s="17">
        <f t="shared" si="2"/>
        <v>19.07949791</v>
      </c>
      <c r="O18" s="15" t="s">
        <v>261</v>
      </c>
      <c r="R18" s="18"/>
      <c r="S18" s="19"/>
    </row>
    <row r="19">
      <c r="A19" s="10">
        <v>34.0</v>
      </c>
      <c r="B19" s="11" t="s">
        <v>40</v>
      </c>
      <c r="C19" s="12">
        <v>28.0</v>
      </c>
      <c r="D19" s="10" t="s">
        <v>18</v>
      </c>
      <c r="E19" s="10">
        <v>2025.0</v>
      </c>
      <c r="F19" s="10" t="s">
        <v>32</v>
      </c>
      <c r="G19" s="35"/>
      <c r="H19" s="35"/>
      <c r="I19" s="36">
        <f>IFERROR(_xlfn.FORECAST.LINEAR('BD_LeiturasHidrômetro_PRJ03'!$A19,G:G,A:A),"0000")</f>
        <v>25372.1841</v>
      </c>
      <c r="J19" s="36">
        <f>IF('BD_LeiturasHidrômetro_PRJ03'!$G19&amp;'BD_LeiturasHidrômetro_PRJ03'!$H19="",'BD_LeiturasHidrômetro_PRJ03'!$I19,'BD_LeiturasHidrômetro_PRJ03'!$G19&amp;'BD_LeiturasHidrômetro_PRJ03'!$H19)</f>
        <v>25372.1841</v>
      </c>
      <c r="K19" s="36">
        <f t="shared" si="1"/>
        <v>25353.1046</v>
      </c>
      <c r="L19" s="15"/>
      <c r="M19" s="15"/>
      <c r="N19" s="17">
        <f t="shared" si="2"/>
        <v>19.07949791</v>
      </c>
      <c r="O19" s="15" t="s">
        <v>261</v>
      </c>
      <c r="R19" s="18"/>
      <c r="S19" s="19"/>
    </row>
    <row r="20">
      <c r="A20" s="10">
        <v>35.0</v>
      </c>
      <c r="B20" s="11" t="s">
        <v>41</v>
      </c>
      <c r="C20" s="12">
        <v>29.0</v>
      </c>
      <c r="D20" s="10" t="s">
        <v>18</v>
      </c>
      <c r="E20" s="10">
        <v>2025.0</v>
      </c>
      <c r="F20" s="10" t="s">
        <v>34</v>
      </c>
      <c r="G20" s="35"/>
      <c r="H20" s="35"/>
      <c r="I20" s="36">
        <f>IFERROR(_xlfn.FORECAST.LINEAR('BD_LeiturasHidrômetro_PRJ03'!$A20,G:G,A:A),"0000")</f>
        <v>25391.2636</v>
      </c>
      <c r="J20" s="36">
        <f>IF('BD_LeiturasHidrômetro_PRJ03'!$G20&amp;'BD_LeiturasHidrômetro_PRJ03'!$H20="",'BD_LeiturasHidrômetro_PRJ03'!$I20,'BD_LeiturasHidrômetro_PRJ03'!$G20&amp;'BD_LeiturasHidrômetro_PRJ03'!$H20)</f>
        <v>25391.2636</v>
      </c>
      <c r="K20" s="36">
        <f t="shared" si="1"/>
        <v>25372.1841</v>
      </c>
      <c r="L20" s="15"/>
      <c r="M20" s="15"/>
      <c r="N20" s="17">
        <f t="shared" si="2"/>
        <v>19.07949791</v>
      </c>
      <c r="O20" s="15" t="s">
        <v>261</v>
      </c>
      <c r="R20" s="18"/>
      <c r="S20" s="19"/>
    </row>
    <row r="21" ht="15.75" customHeight="1">
      <c r="A21" s="10">
        <v>36.0</v>
      </c>
      <c r="B21" s="11" t="s">
        <v>42</v>
      </c>
      <c r="C21" s="12">
        <v>30.0</v>
      </c>
      <c r="D21" s="10" t="s">
        <v>18</v>
      </c>
      <c r="E21" s="10">
        <v>2025.0</v>
      </c>
      <c r="F21" s="10" t="s">
        <v>19</v>
      </c>
      <c r="G21" s="35"/>
      <c r="H21" s="35"/>
      <c r="I21" s="36">
        <f>IFERROR(_xlfn.FORECAST.LINEAR('BD_LeiturasHidrômetro_PRJ03'!$A21,G:G,A:A),"0000")</f>
        <v>25410.3431</v>
      </c>
      <c r="J21" s="36">
        <f>IF('BD_LeiturasHidrômetro_PRJ03'!$G21&amp;'BD_LeiturasHidrômetro_PRJ03'!$H21="",'BD_LeiturasHidrômetro_PRJ03'!$I21,'BD_LeiturasHidrômetro_PRJ03'!$G21&amp;'BD_LeiturasHidrômetro_PRJ03'!$H21)</f>
        <v>25410.3431</v>
      </c>
      <c r="K21" s="36">
        <f t="shared" si="1"/>
        <v>25391.2636</v>
      </c>
      <c r="L21" s="15"/>
      <c r="M21" s="15"/>
      <c r="N21" s="17">
        <f t="shared" si="2"/>
        <v>19.07949791</v>
      </c>
      <c r="O21" s="15" t="s">
        <v>261</v>
      </c>
      <c r="R21" s="18"/>
      <c r="S21" s="19"/>
    </row>
    <row r="22" ht="15.75" customHeight="1">
      <c r="A22" s="10">
        <v>37.0</v>
      </c>
      <c r="B22" s="11" t="s">
        <v>43</v>
      </c>
      <c r="C22" s="12">
        <v>1.0</v>
      </c>
      <c r="D22" s="10" t="s">
        <v>44</v>
      </c>
      <c r="E22" s="10">
        <v>2025.0</v>
      </c>
      <c r="F22" s="10" t="s">
        <v>23</v>
      </c>
      <c r="G22" s="35"/>
      <c r="H22" s="35"/>
      <c r="I22" s="36">
        <f>IFERROR(_xlfn.FORECAST.LINEAR('BD_LeiturasHidrômetro_PRJ03'!$A22,G:G,A:A),"0000")</f>
        <v>25429.42259</v>
      </c>
      <c r="J22" s="36">
        <f>IF('BD_LeiturasHidrômetro_PRJ03'!$G22&amp;'BD_LeiturasHidrômetro_PRJ03'!$H22="",'BD_LeiturasHidrômetro_PRJ03'!$I22,'BD_LeiturasHidrômetro_PRJ03'!$G22&amp;'BD_LeiturasHidrômetro_PRJ03'!$H22)</f>
        <v>25429.42259</v>
      </c>
      <c r="K22" s="36">
        <f t="shared" si="1"/>
        <v>25410.3431</v>
      </c>
      <c r="L22" s="15"/>
      <c r="M22" s="15"/>
      <c r="N22" s="17">
        <f t="shared" si="2"/>
        <v>19.07949791</v>
      </c>
      <c r="O22" s="15" t="s">
        <v>261</v>
      </c>
      <c r="R22" s="18"/>
      <c r="S22" s="19"/>
    </row>
    <row r="23" ht="15.75" customHeight="1">
      <c r="A23" s="10">
        <v>38.0</v>
      </c>
      <c r="B23" s="11" t="s">
        <v>45</v>
      </c>
      <c r="C23" s="12">
        <v>2.0</v>
      </c>
      <c r="D23" s="10" t="s">
        <v>44</v>
      </c>
      <c r="E23" s="10">
        <v>2025.0</v>
      </c>
      <c r="F23" s="10" t="s">
        <v>26</v>
      </c>
      <c r="G23" s="35"/>
      <c r="H23" s="35"/>
      <c r="I23" s="36">
        <f>IFERROR(_xlfn.FORECAST.LINEAR('BD_LeiturasHidrômetro_PRJ03'!$A23,G:G,A:A),"0000")</f>
        <v>25448.50209</v>
      </c>
      <c r="J23" s="36">
        <f>IF('BD_LeiturasHidrômetro_PRJ03'!$G23&amp;'BD_LeiturasHidrômetro_PRJ03'!$H23="",'BD_LeiturasHidrômetro_PRJ03'!$I23,'BD_LeiturasHidrômetro_PRJ03'!$G23&amp;'BD_LeiturasHidrômetro_PRJ03'!$H23)</f>
        <v>25448.50209</v>
      </c>
      <c r="K23" s="36">
        <f t="shared" si="1"/>
        <v>25429.42259</v>
      </c>
      <c r="L23" s="15"/>
      <c r="M23" s="15"/>
      <c r="N23" s="17">
        <f t="shared" si="2"/>
        <v>19.07949791</v>
      </c>
      <c r="O23" s="15" t="s">
        <v>261</v>
      </c>
      <c r="R23" s="18"/>
      <c r="S23" s="19"/>
    </row>
    <row r="24" ht="15.75" customHeight="1">
      <c r="A24" s="10">
        <v>39.0</v>
      </c>
      <c r="B24" s="11" t="s">
        <v>46</v>
      </c>
      <c r="C24" s="12">
        <v>3.0</v>
      </c>
      <c r="D24" s="10" t="s">
        <v>44</v>
      </c>
      <c r="E24" s="10">
        <v>2025.0</v>
      </c>
      <c r="F24" s="10" t="s">
        <v>28</v>
      </c>
      <c r="G24" s="35"/>
      <c r="H24" s="35"/>
      <c r="I24" s="36">
        <f>IFERROR(_xlfn.FORECAST.LINEAR('BD_LeiturasHidrômetro_PRJ03'!$A24,G:G,A:A),"0000")</f>
        <v>25467.58159</v>
      </c>
      <c r="J24" s="36">
        <f>IF('BD_LeiturasHidrômetro_PRJ03'!$G24&amp;'BD_LeiturasHidrômetro_PRJ03'!$H24="",'BD_LeiturasHidrômetro_PRJ03'!$I24,'BD_LeiturasHidrômetro_PRJ03'!$G24&amp;'BD_LeiturasHidrômetro_PRJ03'!$H24)</f>
        <v>25467.58159</v>
      </c>
      <c r="K24" s="36">
        <f t="shared" si="1"/>
        <v>25448.50209</v>
      </c>
      <c r="L24" s="15"/>
      <c r="M24" s="15"/>
      <c r="N24" s="17">
        <f t="shared" si="2"/>
        <v>19.07949791</v>
      </c>
      <c r="O24" s="15" t="s">
        <v>261</v>
      </c>
      <c r="R24" s="18"/>
      <c r="S24" s="19"/>
    </row>
    <row r="25" ht="15.75" customHeight="1">
      <c r="A25" s="10">
        <v>40.0</v>
      </c>
      <c r="B25" s="11" t="s">
        <v>47</v>
      </c>
      <c r="C25" s="12">
        <v>4.0</v>
      </c>
      <c r="D25" s="10" t="s">
        <v>44</v>
      </c>
      <c r="E25" s="10">
        <v>2025.0</v>
      </c>
      <c r="F25" s="10" t="s">
        <v>30</v>
      </c>
      <c r="G25" s="35"/>
      <c r="H25" s="35"/>
      <c r="I25" s="36">
        <f>IFERROR(_xlfn.FORECAST.LINEAR('BD_LeiturasHidrômetro_PRJ03'!$A25,G:G,A:A),"0000")</f>
        <v>25486.66109</v>
      </c>
      <c r="J25" s="36">
        <f>IF('BD_LeiturasHidrômetro_PRJ03'!$G25&amp;'BD_LeiturasHidrômetro_PRJ03'!$H25="",'BD_LeiturasHidrômetro_PRJ03'!$I25,'BD_LeiturasHidrômetro_PRJ03'!$G25&amp;'BD_LeiturasHidrômetro_PRJ03'!$H25)</f>
        <v>25486.66109</v>
      </c>
      <c r="K25" s="36">
        <f t="shared" si="1"/>
        <v>25467.58159</v>
      </c>
      <c r="L25" s="15"/>
      <c r="M25" s="15"/>
      <c r="N25" s="17">
        <f t="shared" si="2"/>
        <v>19.07949791</v>
      </c>
      <c r="O25" s="15" t="s">
        <v>261</v>
      </c>
      <c r="R25" s="18"/>
      <c r="S25" s="19"/>
    </row>
    <row r="26" ht="15.75" customHeight="1">
      <c r="A26" s="10">
        <v>41.0</v>
      </c>
      <c r="B26" s="11" t="s">
        <v>48</v>
      </c>
      <c r="C26" s="12">
        <v>5.0</v>
      </c>
      <c r="D26" s="10" t="s">
        <v>44</v>
      </c>
      <c r="E26" s="10">
        <v>2025.0</v>
      </c>
      <c r="F26" s="10" t="s">
        <v>32</v>
      </c>
      <c r="G26" s="35"/>
      <c r="H26" s="35"/>
      <c r="I26" s="36">
        <f>IFERROR(_xlfn.FORECAST.LINEAR('BD_LeiturasHidrômetro_PRJ03'!$A26,G:G,A:A),"0000")</f>
        <v>25505.74059</v>
      </c>
      <c r="J26" s="36">
        <f>IF('BD_LeiturasHidrômetro_PRJ03'!$G26&amp;'BD_LeiturasHidrômetro_PRJ03'!$H26="",'BD_LeiturasHidrômetro_PRJ03'!$I26,'BD_LeiturasHidrômetro_PRJ03'!$G26&amp;'BD_LeiturasHidrômetro_PRJ03'!$H26)</f>
        <v>25505.74059</v>
      </c>
      <c r="K26" s="36">
        <f t="shared" si="1"/>
        <v>25486.66109</v>
      </c>
      <c r="L26" s="15"/>
      <c r="M26" s="15"/>
      <c r="N26" s="17">
        <f t="shared" si="2"/>
        <v>19.07949791</v>
      </c>
      <c r="O26" s="15" t="s">
        <v>261</v>
      </c>
      <c r="R26" s="18"/>
      <c r="S26" s="19"/>
    </row>
    <row r="27" ht="15.75" customHeight="1">
      <c r="A27" s="10">
        <v>42.0</v>
      </c>
      <c r="B27" s="11" t="s">
        <v>49</v>
      </c>
      <c r="C27" s="12">
        <v>6.0</v>
      </c>
      <c r="D27" s="10" t="s">
        <v>44</v>
      </c>
      <c r="E27" s="10">
        <v>2025.0</v>
      </c>
      <c r="F27" s="10" t="s">
        <v>34</v>
      </c>
      <c r="G27" s="35"/>
      <c r="H27" s="35"/>
      <c r="I27" s="36">
        <f>IFERROR(_xlfn.FORECAST.LINEAR('BD_LeiturasHidrômetro_PRJ03'!$A27,G:G,A:A),"0000")</f>
        <v>25524.82008</v>
      </c>
      <c r="J27" s="36">
        <f>IF('BD_LeiturasHidrômetro_PRJ03'!$G27&amp;'BD_LeiturasHidrômetro_PRJ03'!$H27="",'BD_LeiturasHidrômetro_PRJ03'!$I27,'BD_LeiturasHidrômetro_PRJ03'!$G27&amp;'BD_LeiturasHidrômetro_PRJ03'!$H27)</f>
        <v>25524.82008</v>
      </c>
      <c r="K27" s="36">
        <f t="shared" si="1"/>
        <v>25505.74059</v>
      </c>
      <c r="L27" s="15"/>
      <c r="M27" s="15"/>
      <c r="N27" s="17">
        <f t="shared" si="2"/>
        <v>19.07949791</v>
      </c>
      <c r="O27" s="15" t="s">
        <v>261</v>
      </c>
      <c r="R27" s="18"/>
      <c r="S27" s="19"/>
    </row>
    <row r="28" ht="15.75" customHeight="1">
      <c r="A28" s="10">
        <v>43.0</v>
      </c>
      <c r="B28" s="11" t="s">
        <v>50</v>
      </c>
      <c r="C28" s="12">
        <v>7.0</v>
      </c>
      <c r="D28" s="10" t="s">
        <v>44</v>
      </c>
      <c r="E28" s="10">
        <v>2025.0</v>
      </c>
      <c r="F28" s="10" t="s">
        <v>19</v>
      </c>
      <c r="G28" s="35"/>
      <c r="H28" s="35"/>
      <c r="I28" s="36">
        <f>IFERROR(_xlfn.FORECAST.LINEAR('BD_LeiturasHidrômetro_PRJ03'!$A28,G:G,A:A),"0000")</f>
        <v>25543.89958</v>
      </c>
      <c r="J28" s="36">
        <f>IF('BD_LeiturasHidrômetro_PRJ03'!$G28&amp;'BD_LeiturasHidrômetro_PRJ03'!$H28="",'BD_LeiturasHidrômetro_PRJ03'!$I28,'BD_LeiturasHidrômetro_PRJ03'!$G28&amp;'BD_LeiturasHidrômetro_PRJ03'!$H28)</f>
        <v>25543.89958</v>
      </c>
      <c r="K28" s="36">
        <f t="shared" si="1"/>
        <v>25524.82008</v>
      </c>
      <c r="L28" s="15"/>
      <c r="M28" s="15"/>
      <c r="N28" s="17">
        <f t="shared" si="2"/>
        <v>19.07949791</v>
      </c>
      <c r="O28" s="15" t="s">
        <v>261</v>
      </c>
      <c r="R28" s="18"/>
      <c r="S28" s="19"/>
    </row>
    <row r="29" ht="15.75" customHeight="1">
      <c r="A29" s="10">
        <v>44.0</v>
      </c>
      <c r="B29" s="11" t="s">
        <v>51</v>
      </c>
      <c r="C29" s="12">
        <v>8.0</v>
      </c>
      <c r="D29" s="10" t="s">
        <v>44</v>
      </c>
      <c r="E29" s="10">
        <v>2025.0</v>
      </c>
      <c r="F29" s="10" t="s">
        <v>23</v>
      </c>
      <c r="G29" s="35"/>
      <c r="H29" s="35"/>
      <c r="I29" s="36">
        <f>IFERROR(_xlfn.FORECAST.LINEAR('BD_LeiturasHidrômetro_PRJ03'!$A29,G:G,A:A),"0000")</f>
        <v>25562.97908</v>
      </c>
      <c r="J29" s="36">
        <f>IF('BD_LeiturasHidrômetro_PRJ03'!$G29&amp;'BD_LeiturasHidrômetro_PRJ03'!$H29="",'BD_LeiturasHidrômetro_PRJ03'!$I29,'BD_LeiturasHidrômetro_PRJ03'!$G29&amp;'BD_LeiturasHidrômetro_PRJ03'!$H29)</f>
        <v>25562.97908</v>
      </c>
      <c r="K29" s="36">
        <f t="shared" si="1"/>
        <v>25543.89958</v>
      </c>
      <c r="L29" s="15"/>
      <c r="M29" s="15"/>
      <c r="N29" s="17">
        <f t="shared" si="2"/>
        <v>19.07949791</v>
      </c>
      <c r="O29" s="15" t="s">
        <v>261</v>
      </c>
      <c r="R29" s="18"/>
      <c r="S29" s="19"/>
    </row>
    <row r="30" ht="15.75" customHeight="1">
      <c r="A30" s="10">
        <v>45.0</v>
      </c>
      <c r="B30" s="11" t="s">
        <v>52</v>
      </c>
      <c r="C30" s="12">
        <v>9.0</v>
      </c>
      <c r="D30" s="10" t="s">
        <v>44</v>
      </c>
      <c r="E30" s="10">
        <v>2025.0</v>
      </c>
      <c r="F30" s="10" t="s">
        <v>26</v>
      </c>
      <c r="G30" s="35"/>
      <c r="H30" s="35"/>
      <c r="I30" s="36">
        <f>IFERROR(_xlfn.FORECAST.LINEAR('BD_LeiturasHidrômetro_PRJ03'!$A30,G:G,A:A),"0000")</f>
        <v>25582.05858</v>
      </c>
      <c r="J30" s="36">
        <f>IF('BD_LeiturasHidrômetro_PRJ03'!$G30&amp;'BD_LeiturasHidrômetro_PRJ03'!$H30="",'BD_LeiturasHidrômetro_PRJ03'!$I30,'BD_LeiturasHidrômetro_PRJ03'!$G30&amp;'BD_LeiturasHidrômetro_PRJ03'!$H30)</f>
        <v>25582.05858</v>
      </c>
      <c r="K30" s="36">
        <f t="shared" si="1"/>
        <v>25562.97908</v>
      </c>
      <c r="L30" s="15"/>
      <c r="M30" s="15"/>
      <c r="N30" s="17">
        <f t="shared" si="2"/>
        <v>19.07949791</v>
      </c>
      <c r="O30" s="15" t="s">
        <v>261</v>
      </c>
      <c r="R30" s="18"/>
      <c r="S30" s="19"/>
    </row>
    <row r="31" ht="15.75" customHeight="1">
      <c r="A31" s="10">
        <v>46.0</v>
      </c>
      <c r="B31" s="11" t="s">
        <v>53</v>
      </c>
      <c r="C31" s="12">
        <v>10.0</v>
      </c>
      <c r="D31" s="10" t="s">
        <v>44</v>
      </c>
      <c r="E31" s="10">
        <v>2025.0</v>
      </c>
      <c r="F31" s="10" t="s">
        <v>28</v>
      </c>
      <c r="G31" s="35"/>
      <c r="H31" s="35"/>
      <c r="I31" s="36">
        <f>IFERROR(_xlfn.FORECAST.LINEAR('BD_LeiturasHidrômetro_PRJ03'!$A31,G:G,A:A),"0000")</f>
        <v>25601.13808</v>
      </c>
      <c r="J31" s="36">
        <f>IF('BD_LeiturasHidrômetro_PRJ03'!$G31&amp;'BD_LeiturasHidrômetro_PRJ03'!$H31="",'BD_LeiturasHidrômetro_PRJ03'!$I31,'BD_LeiturasHidrômetro_PRJ03'!$G31&amp;'BD_LeiturasHidrômetro_PRJ03'!$H31)</f>
        <v>25601.13808</v>
      </c>
      <c r="K31" s="36">
        <f t="shared" si="1"/>
        <v>25582.05858</v>
      </c>
      <c r="L31" s="15"/>
      <c r="M31" s="15"/>
      <c r="N31" s="17">
        <f t="shared" si="2"/>
        <v>19.07949791</v>
      </c>
      <c r="O31" s="15" t="s">
        <v>261</v>
      </c>
      <c r="R31" s="18"/>
      <c r="S31" s="19"/>
    </row>
    <row r="32" ht="15.75" customHeight="1">
      <c r="A32" s="10">
        <v>47.0</v>
      </c>
      <c r="B32" s="11" t="s">
        <v>54</v>
      </c>
      <c r="C32" s="12">
        <v>11.0</v>
      </c>
      <c r="D32" s="10" t="s">
        <v>44</v>
      </c>
      <c r="E32" s="10">
        <v>2025.0</v>
      </c>
      <c r="F32" s="10" t="s">
        <v>30</v>
      </c>
      <c r="G32" s="35"/>
      <c r="H32" s="35"/>
      <c r="I32" s="36">
        <f>IFERROR(_xlfn.FORECAST.LINEAR('BD_LeiturasHidrômetro_PRJ03'!$A32,G:G,A:A),"0000")</f>
        <v>25620.21757</v>
      </c>
      <c r="J32" s="36">
        <f>IF('BD_LeiturasHidrômetro_PRJ03'!$G32&amp;'BD_LeiturasHidrômetro_PRJ03'!$H32="",'BD_LeiturasHidrômetro_PRJ03'!$I32,'BD_LeiturasHidrômetro_PRJ03'!$G32&amp;'BD_LeiturasHidrômetro_PRJ03'!$H32)</f>
        <v>25620.21757</v>
      </c>
      <c r="K32" s="36">
        <f t="shared" si="1"/>
        <v>25601.13808</v>
      </c>
      <c r="L32" s="15"/>
      <c r="M32" s="15"/>
      <c r="N32" s="17">
        <f t="shared" si="2"/>
        <v>19.07949791</v>
      </c>
      <c r="O32" s="15" t="s">
        <v>261</v>
      </c>
      <c r="R32" s="18"/>
      <c r="S32" s="19"/>
    </row>
    <row r="33" ht="15.75" customHeight="1">
      <c r="A33" s="10">
        <v>48.0</v>
      </c>
      <c r="B33" s="11" t="s">
        <v>55</v>
      </c>
      <c r="C33" s="12">
        <v>12.0</v>
      </c>
      <c r="D33" s="10" t="s">
        <v>44</v>
      </c>
      <c r="E33" s="10">
        <v>2025.0</v>
      </c>
      <c r="F33" s="10" t="s">
        <v>32</v>
      </c>
      <c r="G33" s="35"/>
      <c r="H33" s="35"/>
      <c r="I33" s="36">
        <f>IFERROR(_xlfn.FORECAST.LINEAR('BD_LeiturasHidrômetro_PRJ03'!$A33,G:G,A:A),"0000")</f>
        <v>25639.29707</v>
      </c>
      <c r="J33" s="36">
        <f>IF('BD_LeiturasHidrômetro_PRJ03'!$G33&amp;'BD_LeiturasHidrômetro_PRJ03'!$H33="",'BD_LeiturasHidrômetro_PRJ03'!$I33,'BD_LeiturasHidrômetro_PRJ03'!$G33&amp;'BD_LeiturasHidrômetro_PRJ03'!$H33)</f>
        <v>25639.29707</v>
      </c>
      <c r="K33" s="36">
        <f t="shared" si="1"/>
        <v>25620.21757</v>
      </c>
      <c r="L33" s="15"/>
      <c r="M33" s="15"/>
      <c r="N33" s="17">
        <f t="shared" si="2"/>
        <v>19.07949791</v>
      </c>
      <c r="O33" s="15" t="s">
        <v>261</v>
      </c>
      <c r="R33" s="18"/>
      <c r="S33" s="19"/>
    </row>
    <row r="34" ht="15.75" customHeight="1">
      <c r="A34" s="10">
        <v>49.0</v>
      </c>
      <c r="B34" s="11" t="s">
        <v>56</v>
      </c>
      <c r="C34" s="12">
        <v>13.0</v>
      </c>
      <c r="D34" s="10" t="s">
        <v>44</v>
      </c>
      <c r="E34" s="10">
        <v>2025.0</v>
      </c>
      <c r="F34" s="10" t="s">
        <v>34</v>
      </c>
      <c r="G34" s="35"/>
      <c r="H34" s="35"/>
      <c r="I34" s="36">
        <f>IFERROR(_xlfn.FORECAST.LINEAR('BD_LeiturasHidrômetro_PRJ03'!$A34,G:G,A:A),"0000")</f>
        <v>25658.37657</v>
      </c>
      <c r="J34" s="36">
        <f>IF('BD_LeiturasHidrômetro_PRJ03'!$G34&amp;'BD_LeiturasHidrômetro_PRJ03'!$H34="",'BD_LeiturasHidrômetro_PRJ03'!$I34,'BD_LeiturasHidrômetro_PRJ03'!$G34&amp;'BD_LeiturasHidrômetro_PRJ03'!$H34)</f>
        <v>25658.37657</v>
      </c>
      <c r="K34" s="36">
        <f t="shared" si="1"/>
        <v>25639.29707</v>
      </c>
      <c r="L34" s="15"/>
      <c r="M34" s="15"/>
      <c r="N34" s="17">
        <f t="shared" si="2"/>
        <v>19.07949791</v>
      </c>
      <c r="O34" s="15" t="s">
        <v>261</v>
      </c>
      <c r="R34" s="18"/>
      <c r="S34" s="19"/>
    </row>
    <row r="35" ht="15.75" customHeight="1">
      <c r="A35" s="10">
        <v>50.0</v>
      </c>
      <c r="B35" s="11" t="s">
        <v>57</v>
      </c>
      <c r="C35" s="12">
        <v>14.0</v>
      </c>
      <c r="D35" s="10" t="s">
        <v>44</v>
      </c>
      <c r="E35" s="10">
        <v>2025.0</v>
      </c>
      <c r="F35" s="10" t="s">
        <v>19</v>
      </c>
      <c r="G35" s="35"/>
      <c r="H35" s="35"/>
      <c r="I35" s="36">
        <f>IFERROR(_xlfn.FORECAST.LINEAR('BD_LeiturasHidrômetro_PRJ03'!$A35,G:G,A:A),"0000")</f>
        <v>25677.45607</v>
      </c>
      <c r="J35" s="36">
        <f>IF('BD_LeiturasHidrômetro_PRJ03'!$G35&amp;'BD_LeiturasHidrômetro_PRJ03'!$H35="",'BD_LeiturasHidrômetro_PRJ03'!$I35,'BD_LeiturasHidrômetro_PRJ03'!$G35&amp;'BD_LeiturasHidrômetro_PRJ03'!$H35)</f>
        <v>25677.45607</v>
      </c>
      <c r="K35" s="36">
        <f t="shared" si="1"/>
        <v>25658.37657</v>
      </c>
      <c r="L35" s="15"/>
      <c r="M35" s="15"/>
      <c r="N35" s="17">
        <f t="shared" si="2"/>
        <v>19.07949791</v>
      </c>
      <c r="O35" s="15" t="s">
        <v>261</v>
      </c>
      <c r="R35" s="18"/>
      <c r="S35" s="19"/>
    </row>
    <row r="36" ht="15.75" customHeight="1">
      <c r="A36" s="10">
        <v>51.0</v>
      </c>
      <c r="B36" s="11" t="s">
        <v>58</v>
      </c>
      <c r="C36" s="12">
        <v>15.0</v>
      </c>
      <c r="D36" s="10" t="s">
        <v>44</v>
      </c>
      <c r="E36" s="10">
        <v>2025.0</v>
      </c>
      <c r="F36" s="10" t="s">
        <v>23</v>
      </c>
      <c r="G36" s="35"/>
      <c r="H36" s="35"/>
      <c r="I36" s="36">
        <f>IFERROR(_xlfn.FORECAST.LINEAR('BD_LeiturasHidrômetro_PRJ03'!$A36,G:G,A:A),"0000")</f>
        <v>25696.53556</v>
      </c>
      <c r="J36" s="36">
        <f>IF('BD_LeiturasHidrômetro_PRJ03'!$G36&amp;'BD_LeiturasHidrômetro_PRJ03'!$H36="",'BD_LeiturasHidrômetro_PRJ03'!$I36,'BD_LeiturasHidrômetro_PRJ03'!$G36&amp;'BD_LeiturasHidrômetro_PRJ03'!$H36)</f>
        <v>25696.53556</v>
      </c>
      <c r="K36" s="36">
        <f t="shared" si="1"/>
        <v>25677.45607</v>
      </c>
      <c r="L36" s="15"/>
      <c r="M36" s="15"/>
      <c r="N36" s="17">
        <f t="shared" si="2"/>
        <v>19.07949791</v>
      </c>
      <c r="O36" s="15" t="s">
        <v>261</v>
      </c>
      <c r="R36" s="18"/>
      <c r="S36" s="19"/>
    </row>
    <row r="37" ht="15.75" customHeight="1">
      <c r="A37" s="10">
        <v>52.0</v>
      </c>
      <c r="B37" s="11" t="s">
        <v>59</v>
      </c>
      <c r="C37" s="12">
        <v>16.0</v>
      </c>
      <c r="D37" s="10" t="s">
        <v>44</v>
      </c>
      <c r="E37" s="10">
        <v>2025.0</v>
      </c>
      <c r="F37" s="10" t="s">
        <v>26</v>
      </c>
      <c r="G37" s="35"/>
      <c r="H37" s="35"/>
      <c r="I37" s="36">
        <f>IFERROR(_xlfn.FORECAST.LINEAR('BD_LeiturasHidrômetro_PRJ03'!$A37,G:G,A:A),"0000")</f>
        <v>25715.61506</v>
      </c>
      <c r="J37" s="36">
        <f>IF('BD_LeiturasHidrômetro_PRJ03'!$G37&amp;'BD_LeiturasHidrômetro_PRJ03'!$H37="",'BD_LeiturasHidrômetro_PRJ03'!$I37,'BD_LeiturasHidrômetro_PRJ03'!$G37&amp;'BD_LeiturasHidrômetro_PRJ03'!$H37)</f>
        <v>25715.61506</v>
      </c>
      <c r="K37" s="36">
        <f t="shared" si="1"/>
        <v>25696.53556</v>
      </c>
      <c r="L37" s="15"/>
      <c r="M37" s="15"/>
      <c r="N37" s="17">
        <f t="shared" si="2"/>
        <v>19.07949791</v>
      </c>
      <c r="O37" s="15" t="s">
        <v>261</v>
      </c>
      <c r="R37" s="18"/>
      <c r="S37" s="19"/>
    </row>
    <row r="38" ht="15.75" customHeight="1">
      <c r="A38" s="10">
        <v>53.0</v>
      </c>
      <c r="B38" s="11" t="s">
        <v>60</v>
      </c>
      <c r="C38" s="12">
        <v>17.0</v>
      </c>
      <c r="D38" s="10" t="s">
        <v>44</v>
      </c>
      <c r="E38" s="10">
        <v>2025.0</v>
      </c>
      <c r="F38" s="10" t="s">
        <v>28</v>
      </c>
      <c r="G38" s="35"/>
      <c r="H38" s="35"/>
      <c r="I38" s="36">
        <f>IFERROR(_xlfn.FORECAST.LINEAR('BD_LeiturasHidrômetro_PRJ03'!$A38,G:G,A:A),"0000")</f>
        <v>25734.69456</v>
      </c>
      <c r="J38" s="36">
        <f>IF('BD_LeiturasHidrômetro_PRJ03'!$G38&amp;'BD_LeiturasHidrômetro_PRJ03'!$H38="",'BD_LeiturasHidrômetro_PRJ03'!$I38,'BD_LeiturasHidrômetro_PRJ03'!$G38&amp;'BD_LeiturasHidrômetro_PRJ03'!$H38)</f>
        <v>25734.69456</v>
      </c>
      <c r="K38" s="36">
        <f t="shared" si="1"/>
        <v>25715.61506</v>
      </c>
      <c r="L38" s="15"/>
      <c r="M38" s="15"/>
      <c r="N38" s="17">
        <f t="shared" si="2"/>
        <v>19.07949791</v>
      </c>
      <c r="O38" s="15" t="s">
        <v>261</v>
      </c>
      <c r="R38" s="18"/>
      <c r="S38" s="19"/>
    </row>
    <row r="39" ht="15.75" customHeight="1">
      <c r="A39" s="10">
        <v>54.0</v>
      </c>
      <c r="B39" s="11" t="s">
        <v>61</v>
      </c>
      <c r="C39" s="12">
        <v>18.0</v>
      </c>
      <c r="D39" s="10" t="s">
        <v>44</v>
      </c>
      <c r="E39" s="10">
        <v>2025.0</v>
      </c>
      <c r="F39" s="10" t="s">
        <v>30</v>
      </c>
      <c r="G39" s="35"/>
      <c r="H39" s="35"/>
      <c r="I39" s="36">
        <f>IFERROR(_xlfn.FORECAST.LINEAR('BD_LeiturasHidrômetro_PRJ03'!$A39,G:G,A:A),"0000")</f>
        <v>25753.77406</v>
      </c>
      <c r="J39" s="36">
        <f>IF('BD_LeiturasHidrômetro_PRJ03'!$G39&amp;'BD_LeiturasHidrômetro_PRJ03'!$H39="",'BD_LeiturasHidrômetro_PRJ03'!$I39,'BD_LeiturasHidrômetro_PRJ03'!$G39&amp;'BD_LeiturasHidrômetro_PRJ03'!$H39)</f>
        <v>25753.77406</v>
      </c>
      <c r="K39" s="36">
        <f t="shared" si="1"/>
        <v>25734.69456</v>
      </c>
      <c r="L39" s="15"/>
      <c r="M39" s="15"/>
      <c r="N39" s="17">
        <f t="shared" si="2"/>
        <v>19.07949791</v>
      </c>
      <c r="O39" s="15" t="s">
        <v>261</v>
      </c>
      <c r="R39" s="18"/>
      <c r="S39" s="19"/>
    </row>
    <row r="40" ht="15.75" customHeight="1">
      <c r="A40" s="10">
        <v>55.0</v>
      </c>
      <c r="B40" s="11" t="s">
        <v>62</v>
      </c>
      <c r="C40" s="12">
        <v>19.0</v>
      </c>
      <c r="D40" s="10" t="s">
        <v>44</v>
      </c>
      <c r="E40" s="10">
        <v>2025.0</v>
      </c>
      <c r="F40" s="10" t="s">
        <v>32</v>
      </c>
      <c r="G40" s="35"/>
      <c r="H40" s="35"/>
      <c r="I40" s="36">
        <f>IFERROR(_xlfn.FORECAST.LINEAR('BD_LeiturasHidrômetro_PRJ03'!$A40,G:G,A:A),"0000")</f>
        <v>25772.85356</v>
      </c>
      <c r="J40" s="36">
        <f>IF('BD_LeiturasHidrômetro_PRJ03'!$G40&amp;'BD_LeiturasHidrômetro_PRJ03'!$H40="",'BD_LeiturasHidrômetro_PRJ03'!$I40,'BD_LeiturasHidrômetro_PRJ03'!$G40&amp;'BD_LeiturasHidrômetro_PRJ03'!$H40)</f>
        <v>25772.85356</v>
      </c>
      <c r="K40" s="36">
        <f t="shared" si="1"/>
        <v>25753.77406</v>
      </c>
      <c r="L40" s="15"/>
      <c r="M40" s="15"/>
      <c r="N40" s="17">
        <f t="shared" si="2"/>
        <v>19.07949791</v>
      </c>
      <c r="O40" s="15" t="s">
        <v>261</v>
      </c>
      <c r="R40" s="18"/>
      <c r="S40" s="19"/>
    </row>
    <row r="41" ht="15.75" customHeight="1">
      <c r="A41" s="10">
        <v>56.0</v>
      </c>
      <c r="B41" s="11" t="s">
        <v>63</v>
      </c>
      <c r="C41" s="12">
        <v>20.0</v>
      </c>
      <c r="D41" s="10" t="s">
        <v>44</v>
      </c>
      <c r="E41" s="10">
        <v>2025.0</v>
      </c>
      <c r="F41" s="10" t="s">
        <v>34</v>
      </c>
      <c r="G41" s="35"/>
      <c r="H41" s="35"/>
      <c r="I41" s="36">
        <f>IFERROR(_xlfn.FORECAST.LINEAR('BD_LeiturasHidrômetro_PRJ03'!$A41,G:G,A:A),"0000")</f>
        <v>25791.93305</v>
      </c>
      <c r="J41" s="36">
        <f>IF('BD_LeiturasHidrômetro_PRJ03'!$G41&amp;'BD_LeiturasHidrômetro_PRJ03'!$H41="",'BD_LeiturasHidrômetro_PRJ03'!$I41,'BD_LeiturasHidrômetro_PRJ03'!$G41&amp;'BD_LeiturasHidrômetro_PRJ03'!$H41)</f>
        <v>25791.93305</v>
      </c>
      <c r="K41" s="36">
        <f t="shared" si="1"/>
        <v>25772.85356</v>
      </c>
      <c r="L41" s="15"/>
      <c r="M41" s="15"/>
      <c r="N41" s="17">
        <f t="shared" si="2"/>
        <v>19.07949791</v>
      </c>
      <c r="O41" s="15" t="s">
        <v>261</v>
      </c>
      <c r="R41" s="18"/>
      <c r="S41" s="19"/>
    </row>
    <row r="42" ht="15.75" customHeight="1">
      <c r="A42" s="10">
        <v>57.0</v>
      </c>
      <c r="B42" s="11" t="s">
        <v>64</v>
      </c>
      <c r="C42" s="12">
        <v>21.0</v>
      </c>
      <c r="D42" s="10" t="s">
        <v>44</v>
      </c>
      <c r="E42" s="10">
        <v>2025.0</v>
      </c>
      <c r="F42" s="10" t="s">
        <v>19</v>
      </c>
      <c r="G42" s="35"/>
      <c r="H42" s="35"/>
      <c r="I42" s="36">
        <f>IFERROR(_xlfn.FORECAST.LINEAR('BD_LeiturasHidrômetro_PRJ03'!$A42,G:G,A:A),"0000")</f>
        <v>25811.01255</v>
      </c>
      <c r="J42" s="36">
        <f>IF('BD_LeiturasHidrômetro_PRJ03'!$G42&amp;'BD_LeiturasHidrômetro_PRJ03'!$H42="",'BD_LeiturasHidrômetro_PRJ03'!$I42,'BD_LeiturasHidrômetro_PRJ03'!$G42&amp;'BD_LeiturasHidrômetro_PRJ03'!$H42)</f>
        <v>25811.01255</v>
      </c>
      <c r="K42" s="36">
        <f t="shared" si="1"/>
        <v>25791.93305</v>
      </c>
      <c r="L42" s="15"/>
      <c r="M42" s="15"/>
      <c r="N42" s="17">
        <f t="shared" si="2"/>
        <v>19.07949791</v>
      </c>
      <c r="O42" s="15" t="s">
        <v>261</v>
      </c>
      <c r="R42" s="18"/>
      <c r="S42" s="19"/>
    </row>
    <row r="43" ht="15.75" customHeight="1">
      <c r="A43" s="10">
        <v>58.0</v>
      </c>
      <c r="B43" s="11" t="s">
        <v>65</v>
      </c>
      <c r="C43" s="12">
        <v>22.0</v>
      </c>
      <c r="D43" s="10" t="s">
        <v>44</v>
      </c>
      <c r="E43" s="10">
        <v>2025.0</v>
      </c>
      <c r="F43" s="10" t="s">
        <v>23</v>
      </c>
      <c r="G43" s="35"/>
      <c r="H43" s="35"/>
      <c r="I43" s="36">
        <f>IFERROR(_xlfn.FORECAST.LINEAR('BD_LeiturasHidrômetro_PRJ03'!$A43,G:G,A:A),"0000")</f>
        <v>25830.09205</v>
      </c>
      <c r="J43" s="36">
        <f>IF('BD_LeiturasHidrômetro_PRJ03'!$G43&amp;'BD_LeiturasHidrômetro_PRJ03'!$H43="",'BD_LeiturasHidrômetro_PRJ03'!$I43,'BD_LeiturasHidrômetro_PRJ03'!$G43&amp;'BD_LeiturasHidrômetro_PRJ03'!$H43)</f>
        <v>25830.09205</v>
      </c>
      <c r="K43" s="36">
        <f t="shared" si="1"/>
        <v>25811.01255</v>
      </c>
      <c r="L43" s="15"/>
      <c r="M43" s="15"/>
      <c r="N43" s="17">
        <f t="shared" si="2"/>
        <v>19.07949791</v>
      </c>
      <c r="O43" s="15" t="s">
        <v>261</v>
      </c>
      <c r="R43" s="18"/>
      <c r="S43" s="19"/>
    </row>
    <row r="44" ht="15.75" customHeight="1">
      <c r="A44" s="10">
        <v>59.0</v>
      </c>
      <c r="B44" s="11" t="s">
        <v>66</v>
      </c>
      <c r="C44" s="12">
        <v>23.0</v>
      </c>
      <c r="D44" s="10" t="s">
        <v>44</v>
      </c>
      <c r="E44" s="10">
        <v>2025.0</v>
      </c>
      <c r="F44" s="10" t="s">
        <v>26</v>
      </c>
      <c r="G44" s="35"/>
      <c r="H44" s="35"/>
      <c r="I44" s="36">
        <f>IFERROR(_xlfn.FORECAST.LINEAR('BD_LeiturasHidrômetro_PRJ03'!$A44,G:G,A:A),"0000")</f>
        <v>25849.17155</v>
      </c>
      <c r="J44" s="36">
        <f>IF('BD_LeiturasHidrômetro_PRJ03'!$G44&amp;'BD_LeiturasHidrômetro_PRJ03'!$H44="",'BD_LeiturasHidrômetro_PRJ03'!$I44,'BD_LeiturasHidrômetro_PRJ03'!$G44&amp;'BD_LeiturasHidrômetro_PRJ03'!$H44)</f>
        <v>25849.17155</v>
      </c>
      <c r="K44" s="36">
        <f t="shared" si="1"/>
        <v>25830.09205</v>
      </c>
      <c r="L44" s="15"/>
      <c r="M44" s="15"/>
      <c r="N44" s="17">
        <f t="shared" si="2"/>
        <v>19.07949791</v>
      </c>
      <c r="O44" s="15" t="s">
        <v>261</v>
      </c>
      <c r="R44" s="18"/>
      <c r="S44" s="19"/>
    </row>
    <row r="45" ht="15.75" customHeight="1">
      <c r="A45" s="10">
        <v>60.0</v>
      </c>
      <c r="B45" s="11" t="s">
        <v>67</v>
      </c>
      <c r="C45" s="12">
        <v>24.0</v>
      </c>
      <c r="D45" s="10" t="s">
        <v>44</v>
      </c>
      <c r="E45" s="10">
        <v>2025.0</v>
      </c>
      <c r="F45" s="10" t="s">
        <v>28</v>
      </c>
      <c r="G45" s="35"/>
      <c r="H45" s="35"/>
      <c r="I45" s="36">
        <f>IFERROR(_xlfn.FORECAST.LINEAR('BD_LeiturasHidrômetro_PRJ03'!$A45,G:G,A:A),"0000")</f>
        <v>25868.25105</v>
      </c>
      <c r="J45" s="36">
        <f>IF('BD_LeiturasHidrômetro_PRJ03'!$G45&amp;'BD_LeiturasHidrômetro_PRJ03'!$H45="",'BD_LeiturasHidrômetro_PRJ03'!$I45,'BD_LeiturasHidrômetro_PRJ03'!$G45&amp;'BD_LeiturasHidrômetro_PRJ03'!$H45)</f>
        <v>25868.25105</v>
      </c>
      <c r="K45" s="36">
        <f t="shared" si="1"/>
        <v>25849.17155</v>
      </c>
      <c r="L45" s="15"/>
      <c r="M45" s="15"/>
      <c r="N45" s="17">
        <f t="shared" si="2"/>
        <v>19.07949791</v>
      </c>
      <c r="O45" s="15" t="s">
        <v>261</v>
      </c>
      <c r="R45" s="18"/>
      <c r="S45" s="19"/>
    </row>
    <row r="46" ht="15.75" customHeight="1">
      <c r="A46" s="10">
        <v>61.0</v>
      </c>
      <c r="B46" s="11" t="s">
        <v>68</v>
      </c>
      <c r="C46" s="12">
        <v>25.0</v>
      </c>
      <c r="D46" s="10" t="s">
        <v>44</v>
      </c>
      <c r="E46" s="10">
        <v>2025.0</v>
      </c>
      <c r="F46" s="10" t="s">
        <v>30</v>
      </c>
      <c r="G46" s="35"/>
      <c r="H46" s="35"/>
      <c r="I46" s="36">
        <f>IFERROR(_xlfn.FORECAST.LINEAR('BD_LeiturasHidrômetro_PRJ03'!$A46,G:G,A:A),"0000")</f>
        <v>25887.33054</v>
      </c>
      <c r="J46" s="36">
        <f>IF('BD_LeiturasHidrômetro_PRJ03'!$G46&amp;'BD_LeiturasHidrômetro_PRJ03'!$H46="",'BD_LeiturasHidrômetro_PRJ03'!$I46,'BD_LeiturasHidrômetro_PRJ03'!$G46&amp;'BD_LeiturasHidrômetro_PRJ03'!$H46)</f>
        <v>25887.33054</v>
      </c>
      <c r="K46" s="36">
        <f t="shared" si="1"/>
        <v>25868.25105</v>
      </c>
      <c r="L46" s="15"/>
      <c r="M46" s="15"/>
      <c r="N46" s="17">
        <f t="shared" si="2"/>
        <v>19.07949791</v>
      </c>
      <c r="O46" s="15" t="s">
        <v>261</v>
      </c>
      <c r="R46" s="18"/>
      <c r="S46" s="19"/>
    </row>
    <row r="47" ht="15.75" customHeight="1">
      <c r="A47" s="10">
        <v>62.0</v>
      </c>
      <c r="B47" s="11" t="s">
        <v>69</v>
      </c>
      <c r="C47" s="12">
        <v>26.0</v>
      </c>
      <c r="D47" s="10" t="s">
        <v>44</v>
      </c>
      <c r="E47" s="10">
        <v>2025.0</v>
      </c>
      <c r="F47" s="10" t="s">
        <v>32</v>
      </c>
      <c r="G47" s="35"/>
      <c r="H47" s="35"/>
      <c r="I47" s="36">
        <f>IFERROR(_xlfn.FORECAST.LINEAR('BD_LeiturasHidrômetro_PRJ03'!$A47,G:G,A:A),"0000")</f>
        <v>25906.41004</v>
      </c>
      <c r="J47" s="36">
        <f>IF('BD_LeiturasHidrômetro_PRJ03'!$G47&amp;'BD_LeiturasHidrômetro_PRJ03'!$H47="",'BD_LeiturasHidrômetro_PRJ03'!$I47,'BD_LeiturasHidrômetro_PRJ03'!$G47&amp;'BD_LeiturasHidrômetro_PRJ03'!$H47)</f>
        <v>25906.41004</v>
      </c>
      <c r="K47" s="36">
        <f t="shared" si="1"/>
        <v>25887.33054</v>
      </c>
      <c r="L47" s="15"/>
      <c r="M47" s="15"/>
      <c r="N47" s="17">
        <f t="shared" si="2"/>
        <v>19.07949791</v>
      </c>
      <c r="O47" s="15" t="s">
        <v>261</v>
      </c>
      <c r="R47" s="18"/>
      <c r="S47" s="19"/>
    </row>
    <row r="48" ht="15.75" customHeight="1">
      <c r="A48" s="10">
        <v>63.0</v>
      </c>
      <c r="B48" s="11" t="s">
        <v>70</v>
      </c>
      <c r="C48" s="12">
        <v>27.0</v>
      </c>
      <c r="D48" s="10" t="s">
        <v>44</v>
      </c>
      <c r="E48" s="10">
        <v>2025.0</v>
      </c>
      <c r="F48" s="10" t="s">
        <v>34</v>
      </c>
      <c r="G48" s="35"/>
      <c r="H48" s="35"/>
      <c r="I48" s="36">
        <f>IFERROR(_xlfn.FORECAST.LINEAR('BD_LeiturasHidrômetro_PRJ03'!$A48,G:G,A:A),"0000")</f>
        <v>25925.48954</v>
      </c>
      <c r="J48" s="36">
        <f>IF('BD_LeiturasHidrômetro_PRJ03'!$G48&amp;'BD_LeiturasHidrômetro_PRJ03'!$H48="",'BD_LeiturasHidrômetro_PRJ03'!$I48,'BD_LeiturasHidrômetro_PRJ03'!$G48&amp;'BD_LeiturasHidrômetro_PRJ03'!$H48)</f>
        <v>25925.48954</v>
      </c>
      <c r="K48" s="36">
        <f t="shared" si="1"/>
        <v>25906.41004</v>
      </c>
      <c r="L48" s="15"/>
      <c r="M48" s="15"/>
      <c r="N48" s="17">
        <f t="shared" si="2"/>
        <v>19.07949791</v>
      </c>
      <c r="O48" s="15" t="s">
        <v>261</v>
      </c>
      <c r="R48" s="18"/>
      <c r="S48" s="19"/>
    </row>
    <row r="49" ht="15.75" customHeight="1">
      <c r="A49" s="10">
        <v>64.0</v>
      </c>
      <c r="B49" s="11" t="s">
        <v>71</v>
      </c>
      <c r="C49" s="12">
        <v>28.0</v>
      </c>
      <c r="D49" s="10" t="s">
        <v>44</v>
      </c>
      <c r="E49" s="10">
        <v>2025.0</v>
      </c>
      <c r="F49" s="10" t="s">
        <v>19</v>
      </c>
      <c r="G49" s="35"/>
      <c r="H49" s="35"/>
      <c r="I49" s="36">
        <f>IFERROR(_xlfn.FORECAST.LINEAR('BD_LeiturasHidrômetro_PRJ03'!$A49,G:G,A:A),"0000")</f>
        <v>25944.56904</v>
      </c>
      <c r="J49" s="36">
        <f>IF('BD_LeiturasHidrômetro_PRJ03'!$G49&amp;'BD_LeiturasHidrômetro_PRJ03'!$H49="",'BD_LeiturasHidrômetro_PRJ03'!$I49,'BD_LeiturasHidrômetro_PRJ03'!$G49&amp;'BD_LeiturasHidrômetro_PRJ03'!$H49)</f>
        <v>25944.56904</v>
      </c>
      <c r="K49" s="36">
        <f t="shared" si="1"/>
        <v>25925.48954</v>
      </c>
      <c r="L49" s="15"/>
      <c r="M49" s="15"/>
      <c r="N49" s="17">
        <f t="shared" si="2"/>
        <v>19.07949791</v>
      </c>
      <c r="O49" s="15" t="s">
        <v>261</v>
      </c>
      <c r="R49" s="18"/>
      <c r="S49" s="19"/>
    </row>
    <row r="50" ht="15.75" customHeight="1">
      <c r="A50" s="10">
        <v>65.0</v>
      </c>
      <c r="B50" s="11" t="s">
        <v>72</v>
      </c>
      <c r="C50" s="12">
        <v>29.0</v>
      </c>
      <c r="D50" s="10" t="s">
        <v>44</v>
      </c>
      <c r="E50" s="10">
        <v>2025.0</v>
      </c>
      <c r="F50" s="10" t="s">
        <v>23</v>
      </c>
      <c r="G50" s="35"/>
      <c r="H50" s="35"/>
      <c r="I50" s="36">
        <f>IFERROR(_xlfn.FORECAST.LINEAR('BD_LeiturasHidrômetro_PRJ03'!$A50,G:G,A:A),"0000")</f>
        <v>25963.64854</v>
      </c>
      <c r="J50" s="36">
        <f>IF('BD_LeiturasHidrômetro_PRJ03'!$G50&amp;'BD_LeiturasHidrômetro_PRJ03'!$H50="",'BD_LeiturasHidrômetro_PRJ03'!$I50,'BD_LeiturasHidrômetro_PRJ03'!$G50&amp;'BD_LeiturasHidrômetro_PRJ03'!$H50)</f>
        <v>25963.64854</v>
      </c>
      <c r="K50" s="36">
        <f t="shared" si="1"/>
        <v>25944.56904</v>
      </c>
      <c r="L50" s="15"/>
      <c r="M50" s="15"/>
      <c r="N50" s="17">
        <f t="shared" si="2"/>
        <v>19.07949791</v>
      </c>
      <c r="O50" s="15" t="s">
        <v>261</v>
      </c>
      <c r="R50" s="18"/>
      <c r="S50" s="19"/>
    </row>
    <row r="51" ht="15.75" customHeight="1">
      <c r="A51" s="10">
        <v>66.0</v>
      </c>
      <c r="B51" s="11" t="s">
        <v>73</v>
      </c>
      <c r="C51" s="12">
        <v>30.0</v>
      </c>
      <c r="D51" s="10" t="s">
        <v>44</v>
      </c>
      <c r="E51" s="10">
        <v>2025.0</v>
      </c>
      <c r="F51" s="10" t="s">
        <v>26</v>
      </c>
      <c r="G51" s="35"/>
      <c r="H51" s="35"/>
      <c r="I51" s="36">
        <f>IFERROR(_xlfn.FORECAST.LINEAR('BD_LeiturasHidrômetro_PRJ03'!$A51,G:G,A:A),"0000")</f>
        <v>25982.72803</v>
      </c>
      <c r="J51" s="36">
        <f>IF('BD_LeiturasHidrômetro_PRJ03'!$G51&amp;'BD_LeiturasHidrômetro_PRJ03'!$H51="",'BD_LeiturasHidrômetro_PRJ03'!$I51,'BD_LeiturasHidrômetro_PRJ03'!$G51&amp;'BD_LeiturasHidrômetro_PRJ03'!$H51)</f>
        <v>25982.72803</v>
      </c>
      <c r="K51" s="36">
        <f t="shared" si="1"/>
        <v>25963.64854</v>
      </c>
      <c r="L51" s="15"/>
      <c r="M51" s="15"/>
      <c r="N51" s="17">
        <f t="shared" si="2"/>
        <v>19.07949791</v>
      </c>
      <c r="O51" s="15" t="s">
        <v>261</v>
      </c>
      <c r="R51" s="18"/>
      <c r="S51" s="19"/>
    </row>
    <row r="52" ht="15.75" customHeight="1">
      <c r="A52" s="10">
        <v>67.0</v>
      </c>
      <c r="B52" s="11" t="s">
        <v>74</v>
      </c>
      <c r="C52" s="12">
        <v>31.0</v>
      </c>
      <c r="D52" s="10" t="s">
        <v>44</v>
      </c>
      <c r="E52" s="10">
        <v>2025.0</v>
      </c>
      <c r="F52" s="10" t="s">
        <v>28</v>
      </c>
      <c r="G52" s="35"/>
      <c r="H52" s="35"/>
      <c r="I52" s="36">
        <f>IFERROR(_xlfn.FORECAST.LINEAR('BD_LeiturasHidrômetro_PRJ03'!$A52,G:G,A:A),"0000")</f>
        <v>26001.80753</v>
      </c>
      <c r="J52" s="36">
        <f>IF('BD_LeiturasHidrômetro_PRJ03'!$G52&amp;'BD_LeiturasHidrômetro_PRJ03'!$H52="",'BD_LeiturasHidrômetro_PRJ03'!$I52,'BD_LeiturasHidrômetro_PRJ03'!$G52&amp;'BD_LeiturasHidrômetro_PRJ03'!$H52)</f>
        <v>26001.80753</v>
      </c>
      <c r="K52" s="36">
        <f t="shared" si="1"/>
        <v>25982.72803</v>
      </c>
      <c r="L52" s="15"/>
      <c r="M52" s="15"/>
      <c r="N52" s="17">
        <f t="shared" si="2"/>
        <v>19.07949791</v>
      </c>
      <c r="O52" s="15" t="s">
        <v>261</v>
      </c>
      <c r="R52" s="18"/>
      <c r="S52" s="19"/>
    </row>
    <row r="53" ht="15.75" customHeight="1">
      <c r="A53" s="10">
        <v>68.0</v>
      </c>
      <c r="B53" s="11" t="s">
        <v>75</v>
      </c>
      <c r="C53" s="12">
        <v>1.0</v>
      </c>
      <c r="D53" s="10" t="s">
        <v>76</v>
      </c>
      <c r="E53" s="10">
        <v>2025.0</v>
      </c>
      <c r="F53" s="10" t="s">
        <v>30</v>
      </c>
      <c r="G53" s="35"/>
      <c r="H53" s="35"/>
      <c r="I53" s="36">
        <f>IFERROR(_xlfn.FORECAST.LINEAR('BD_LeiturasHidrômetro_PRJ03'!$A53,G:G,A:A),"0000")</f>
        <v>26020.88703</v>
      </c>
      <c r="J53" s="36">
        <f>IF('BD_LeiturasHidrômetro_PRJ03'!$G53&amp;'BD_LeiturasHidrômetro_PRJ03'!$H53="",'BD_LeiturasHidrômetro_PRJ03'!$I53,'BD_LeiturasHidrômetro_PRJ03'!$G53&amp;'BD_LeiturasHidrômetro_PRJ03'!$H53)</f>
        <v>26020.88703</v>
      </c>
      <c r="K53" s="36">
        <f t="shared" si="1"/>
        <v>26001.80753</v>
      </c>
      <c r="L53" s="15"/>
      <c r="M53" s="15"/>
      <c r="N53" s="17">
        <f t="shared" si="2"/>
        <v>19.07949791</v>
      </c>
      <c r="O53" s="15" t="s">
        <v>261</v>
      </c>
      <c r="R53" s="18"/>
      <c r="S53" s="19"/>
    </row>
    <row r="54" ht="15.75" customHeight="1">
      <c r="A54" s="10">
        <v>69.0</v>
      </c>
      <c r="B54" s="11" t="s">
        <v>77</v>
      </c>
      <c r="C54" s="12">
        <v>2.0</v>
      </c>
      <c r="D54" s="10" t="s">
        <v>76</v>
      </c>
      <c r="E54" s="10">
        <v>2025.0</v>
      </c>
      <c r="F54" s="10" t="s">
        <v>32</v>
      </c>
      <c r="G54" s="35"/>
      <c r="H54" s="35"/>
      <c r="I54" s="36">
        <f>IFERROR(_xlfn.FORECAST.LINEAR('BD_LeiturasHidrômetro_PRJ03'!$A54,G:G,A:A),"0000")</f>
        <v>26039.96653</v>
      </c>
      <c r="J54" s="36">
        <f>IF('BD_LeiturasHidrômetro_PRJ03'!$G54&amp;'BD_LeiturasHidrômetro_PRJ03'!$H54="",'BD_LeiturasHidrômetro_PRJ03'!$I54,'BD_LeiturasHidrômetro_PRJ03'!$G54&amp;'BD_LeiturasHidrômetro_PRJ03'!$H54)</f>
        <v>26039.96653</v>
      </c>
      <c r="K54" s="36">
        <f t="shared" si="1"/>
        <v>26020.88703</v>
      </c>
      <c r="L54" s="15"/>
      <c r="M54" s="15"/>
      <c r="N54" s="17">
        <f t="shared" si="2"/>
        <v>19.07949791</v>
      </c>
      <c r="O54" s="15" t="s">
        <v>261</v>
      </c>
      <c r="R54" s="18"/>
      <c r="S54" s="19"/>
    </row>
    <row r="55" ht="15.75" customHeight="1">
      <c r="A55" s="10">
        <v>70.0</v>
      </c>
      <c r="B55" s="11" t="s">
        <v>78</v>
      </c>
      <c r="C55" s="12">
        <v>3.0</v>
      </c>
      <c r="D55" s="10" t="s">
        <v>76</v>
      </c>
      <c r="E55" s="10">
        <v>2025.0</v>
      </c>
      <c r="F55" s="10" t="s">
        <v>34</v>
      </c>
      <c r="G55" s="35"/>
      <c r="H55" s="35"/>
      <c r="I55" s="36">
        <f>IFERROR(_xlfn.FORECAST.LINEAR('BD_LeiturasHidrômetro_PRJ03'!$A55,G:G,A:A),"0000")</f>
        <v>26059.04603</v>
      </c>
      <c r="J55" s="36">
        <f>IF('BD_LeiturasHidrômetro_PRJ03'!$G55&amp;'BD_LeiturasHidrômetro_PRJ03'!$H55="",'BD_LeiturasHidrômetro_PRJ03'!$I55,'BD_LeiturasHidrômetro_PRJ03'!$G55&amp;'BD_LeiturasHidrômetro_PRJ03'!$H55)</f>
        <v>26059.04603</v>
      </c>
      <c r="K55" s="36">
        <f t="shared" si="1"/>
        <v>26039.96653</v>
      </c>
      <c r="L55" s="15"/>
      <c r="M55" s="15"/>
      <c r="N55" s="17">
        <f t="shared" si="2"/>
        <v>19.07949791</v>
      </c>
      <c r="O55" s="15" t="s">
        <v>261</v>
      </c>
      <c r="R55" s="18"/>
      <c r="S55" s="19"/>
    </row>
    <row r="56" ht="15.75" customHeight="1">
      <c r="A56" s="10">
        <v>71.0</v>
      </c>
      <c r="B56" s="11" t="s">
        <v>79</v>
      </c>
      <c r="C56" s="12">
        <v>4.0</v>
      </c>
      <c r="D56" s="10" t="s">
        <v>76</v>
      </c>
      <c r="E56" s="10">
        <v>2025.0</v>
      </c>
      <c r="F56" s="10" t="s">
        <v>19</v>
      </c>
      <c r="G56" s="35"/>
      <c r="H56" s="35"/>
      <c r="I56" s="36">
        <f>IFERROR(_xlfn.FORECAST.LINEAR('BD_LeiturasHidrômetro_PRJ03'!$A56,G:G,A:A),"0000")</f>
        <v>26078.12552</v>
      </c>
      <c r="J56" s="36">
        <f>IF('BD_LeiturasHidrômetro_PRJ03'!$G56&amp;'BD_LeiturasHidrômetro_PRJ03'!$H56="",'BD_LeiturasHidrômetro_PRJ03'!$I56,'BD_LeiturasHidrômetro_PRJ03'!$G56&amp;'BD_LeiturasHidrômetro_PRJ03'!$H56)</f>
        <v>26078.12552</v>
      </c>
      <c r="K56" s="36">
        <f t="shared" si="1"/>
        <v>26059.04603</v>
      </c>
      <c r="L56" s="15"/>
      <c r="M56" s="15"/>
      <c r="N56" s="17">
        <f t="shared" si="2"/>
        <v>19.07949791</v>
      </c>
      <c r="O56" s="15" t="s">
        <v>261</v>
      </c>
      <c r="R56" s="18"/>
      <c r="S56" s="19"/>
    </row>
    <row r="57" ht="15.75" customHeight="1">
      <c r="A57" s="10">
        <v>72.0</v>
      </c>
      <c r="B57" s="11" t="s">
        <v>80</v>
      </c>
      <c r="C57" s="12">
        <v>5.0</v>
      </c>
      <c r="D57" s="10" t="s">
        <v>76</v>
      </c>
      <c r="E57" s="10">
        <v>2025.0</v>
      </c>
      <c r="F57" s="10" t="s">
        <v>23</v>
      </c>
      <c r="G57" s="35"/>
      <c r="H57" s="35"/>
      <c r="I57" s="36">
        <f>IFERROR(_xlfn.FORECAST.LINEAR('BD_LeiturasHidrômetro_PRJ03'!$A57,G:G,A:A),"0000")</f>
        <v>26097.20502</v>
      </c>
      <c r="J57" s="36">
        <f>IF('BD_LeiturasHidrômetro_PRJ03'!$G57&amp;'BD_LeiturasHidrômetro_PRJ03'!$H57="",'BD_LeiturasHidrômetro_PRJ03'!$I57,'BD_LeiturasHidrômetro_PRJ03'!$G57&amp;'BD_LeiturasHidrômetro_PRJ03'!$H57)</f>
        <v>26097.20502</v>
      </c>
      <c r="K57" s="36">
        <f t="shared" si="1"/>
        <v>26078.12552</v>
      </c>
      <c r="L57" s="15"/>
      <c r="M57" s="15"/>
      <c r="N57" s="17">
        <f t="shared" si="2"/>
        <v>19.07949791</v>
      </c>
      <c r="O57" s="15" t="s">
        <v>261</v>
      </c>
      <c r="R57" s="18"/>
      <c r="S57" s="19"/>
    </row>
    <row r="58" ht="15.75" customHeight="1">
      <c r="A58" s="10">
        <v>73.0</v>
      </c>
      <c r="B58" s="11" t="s">
        <v>81</v>
      </c>
      <c r="C58" s="12">
        <v>6.0</v>
      </c>
      <c r="D58" s="10" t="s">
        <v>76</v>
      </c>
      <c r="E58" s="10">
        <v>2025.0</v>
      </c>
      <c r="F58" s="10" t="s">
        <v>26</v>
      </c>
      <c r="G58" s="35"/>
      <c r="H58" s="35"/>
      <c r="I58" s="36">
        <f>IFERROR(_xlfn.FORECAST.LINEAR('BD_LeiturasHidrômetro_PRJ03'!$A58,G:G,A:A),"0000")</f>
        <v>26116.28452</v>
      </c>
      <c r="J58" s="36">
        <f>IF('BD_LeiturasHidrômetro_PRJ03'!$G58&amp;'BD_LeiturasHidrômetro_PRJ03'!$H58="",'BD_LeiturasHidrômetro_PRJ03'!$I58,'BD_LeiturasHidrômetro_PRJ03'!$G58&amp;'BD_LeiturasHidrômetro_PRJ03'!$H58)</f>
        <v>26116.28452</v>
      </c>
      <c r="K58" s="36">
        <f t="shared" si="1"/>
        <v>26097.20502</v>
      </c>
      <c r="L58" s="15"/>
      <c r="M58" s="15"/>
      <c r="N58" s="17">
        <f t="shared" si="2"/>
        <v>19.07949791</v>
      </c>
      <c r="O58" s="15" t="s">
        <v>261</v>
      </c>
      <c r="R58" s="18"/>
      <c r="S58" s="19"/>
    </row>
    <row r="59" ht="15.75" customHeight="1">
      <c r="A59" s="10">
        <v>74.0</v>
      </c>
      <c r="B59" s="11" t="s">
        <v>82</v>
      </c>
      <c r="C59" s="12">
        <v>7.0</v>
      </c>
      <c r="D59" s="10" t="s">
        <v>76</v>
      </c>
      <c r="E59" s="10">
        <v>2025.0</v>
      </c>
      <c r="F59" s="10" t="s">
        <v>28</v>
      </c>
      <c r="G59" s="35"/>
      <c r="H59" s="35"/>
      <c r="I59" s="36">
        <f>IFERROR(_xlfn.FORECAST.LINEAR('BD_LeiturasHidrômetro_PRJ03'!$A59,G:G,A:A),"0000")</f>
        <v>26135.36402</v>
      </c>
      <c r="J59" s="36">
        <f>IF('BD_LeiturasHidrômetro_PRJ03'!$G59&amp;'BD_LeiturasHidrômetro_PRJ03'!$H59="",'BD_LeiturasHidrômetro_PRJ03'!$I59,'BD_LeiturasHidrômetro_PRJ03'!$G59&amp;'BD_LeiturasHidrômetro_PRJ03'!$H59)</f>
        <v>26135.36402</v>
      </c>
      <c r="K59" s="36">
        <f t="shared" si="1"/>
        <v>26116.28452</v>
      </c>
      <c r="L59" s="15"/>
      <c r="M59" s="15"/>
      <c r="N59" s="17">
        <f t="shared" si="2"/>
        <v>19.07949791</v>
      </c>
      <c r="O59" s="15" t="s">
        <v>261</v>
      </c>
      <c r="R59" s="18"/>
      <c r="S59" s="19"/>
    </row>
    <row r="60" ht="15.75" customHeight="1">
      <c r="A60" s="10">
        <v>75.0</v>
      </c>
      <c r="B60" s="11" t="s">
        <v>83</v>
      </c>
      <c r="C60" s="12">
        <v>8.0</v>
      </c>
      <c r="D60" s="10" t="s">
        <v>76</v>
      </c>
      <c r="E60" s="10">
        <v>2025.0</v>
      </c>
      <c r="F60" s="10" t="s">
        <v>30</v>
      </c>
      <c r="G60" s="35"/>
      <c r="H60" s="35"/>
      <c r="I60" s="36">
        <f>IFERROR(_xlfn.FORECAST.LINEAR('BD_LeiturasHidrômetro_PRJ03'!$A60,G:G,A:A),"0000")</f>
        <v>26154.44351</v>
      </c>
      <c r="J60" s="36">
        <f>IF('BD_LeiturasHidrômetro_PRJ03'!$G60&amp;'BD_LeiturasHidrômetro_PRJ03'!$H60="",'BD_LeiturasHidrômetro_PRJ03'!$I60,'BD_LeiturasHidrômetro_PRJ03'!$G60&amp;'BD_LeiturasHidrômetro_PRJ03'!$H60)</f>
        <v>26154.44351</v>
      </c>
      <c r="K60" s="36">
        <f t="shared" si="1"/>
        <v>26135.36402</v>
      </c>
      <c r="L60" s="15"/>
      <c r="M60" s="15"/>
      <c r="N60" s="17">
        <f t="shared" si="2"/>
        <v>19.07949791</v>
      </c>
      <c r="O60" s="15" t="s">
        <v>261</v>
      </c>
      <c r="R60" s="18"/>
      <c r="S60" s="19"/>
    </row>
    <row r="61" ht="15.75" customHeight="1">
      <c r="A61" s="10">
        <v>76.0</v>
      </c>
      <c r="B61" s="11" t="s">
        <v>84</v>
      </c>
      <c r="C61" s="12">
        <v>9.0</v>
      </c>
      <c r="D61" s="10" t="s">
        <v>76</v>
      </c>
      <c r="E61" s="10">
        <v>2025.0</v>
      </c>
      <c r="F61" s="10" t="s">
        <v>32</v>
      </c>
      <c r="G61" s="35"/>
      <c r="H61" s="35"/>
      <c r="I61" s="36">
        <f>IFERROR(_xlfn.FORECAST.LINEAR('BD_LeiturasHidrômetro_PRJ03'!$A61,G:G,A:A),"0000")</f>
        <v>26173.52301</v>
      </c>
      <c r="J61" s="36">
        <f>IF('BD_LeiturasHidrômetro_PRJ03'!$G61&amp;'BD_LeiturasHidrômetro_PRJ03'!$H61="",'BD_LeiturasHidrômetro_PRJ03'!$I61,'BD_LeiturasHidrômetro_PRJ03'!$G61&amp;'BD_LeiturasHidrômetro_PRJ03'!$H61)</f>
        <v>26173.52301</v>
      </c>
      <c r="K61" s="36">
        <f t="shared" si="1"/>
        <v>26154.44351</v>
      </c>
      <c r="L61" s="15"/>
      <c r="M61" s="15"/>
      <c r="N61" s="17">
        <f t="shared" si="2"/>
        <v>19.07949791</v>
      </c>
      <c r="O61" s="15" t="s">
        <v>261</v>
      </c>
      <c r="R61" s="18"/>
      <c r="S61" s="19"/>
    </row>
    <row r="62" ht="15.75" customHeight="1">
      <c r="A62" s="10">
        <v>77.0</v>
      </c>
      <c r="B62" s="11" t="s">
        <v>85</v>
      </c>
      <c r="C62" s="12">
        <v>10.0</v>
      </c>
      <c r="D62" s="10" t="s">
        <v>76</v>
      </c>
      <c r="E62" s="10">
        <v>2025.0</v>
      </c>
      <c r="F62" s="10" t="s">
        <v>34</v>
      </c>
      <c r="G62" s="35"/>
      <c r="H62" s="35"/>
      <c r="I62" s="36">
        <f>IFERROR(_xlfn.FORECAST.LINEAR('BD_LeiturasHidrômetro_PRJ03'!$A62,G:G,A:A),"0000")</f>
        <v>26192.60251</v>
      </c>
      <c r="J62" s="36">
        <f>IF('BD_LeiturasHidrômetro_PRJ03'!$G62&amp;'BD_LeiturasHidrômetro_PRJ03'!$H62="",'BD_LeiturasHidrômetro_PRJ03'!$I62,'BD_LeiturasHidrômetro_PRJ03'!$G62&amp;'BD_LeiturasHidrômetro_PRJ03'!$H62)</f>
        <v>26192.60251</v>
      </c>
      <c r="K62" s="36">
        <f t="shared" si="1"/>
        <v>26173.52301</v>
      </c>
      <c r="L62" s="15"/>
      <c r="M62" s="15"/>
      <c r="N62" s="17">
        <f t="shared" si="2"/>
        <v>19.07949791</v>
      </c>
      <c r="O62" s="15" t="s">
        <v>261</v>
      </c>
      <c r="R62" s="18"/>
      <c r="S62" s="19"/>
    </row>
    <row r="63" ht="15.75" customHeight="1">
      <c r="A63" s="10">
        <v>78.0</v>
      </c>
      <c r="B63" s="11" t="s">
        <v>86</v>
      </c>
      <c r="C63" s="12">
        <v>11.0</v>
      </c>
      <c r="D63" s="10" t="s">
        <v>76</v>
      </c>
      <c r="E63" s="10">
        <v>2025.0</v>
      </c>
      <c r="F63" s="10" t="s">
        <v>19</v>
      </c>
      <c r="G63" s="35"/>
      <c r="H63" s="35"/>
      <c r="I63" s="36">
        <f>IFERROR(_xlfn.FORECAST.LINEAR('BD_LeiturasHidrômetro_PRJ03'!$A63,G:G,A:A),"0000")</f>
        <v>26211.68201</v>
      </c>
      <c r="J63" s="36">
        <f>IF('BD_LeiturasHidrômetro_PRJ03'!$G63&amp;'BD_LeiturasHidrômetro_PRJ03'!$H63="",'BD_LeiturasHidrômetro_PRJ03'!$I63,'BD_LeiturasHidrômetro_PRJ03'!$G63&amp;'BD_LeiturasHidrômetro_PRJ03'!$H63)</f>
        <v>26211.68201</v>
      </c>
      <c r="K63" s="36">
        <f t="shared" si="1"/>
        <v>26192.60251</v>
      </c>
      <c r="L63" s="15"/>
      <c r="M63" s="15"/>
      <c r="N63" s="17">
        <f t="shared" si="2"/>
        <v>19.07949791</v>
      </c>
      <c r="O63" s="15" t="s">
        <v>261</v>
      </c>
      <c r="R63" s="18"/>
      <c r="S63" s="19"/>
    </row>
    <row r="64" ht="15.75" customHeight="1">
      <c r="A64" s="10">
        <v>79.0</v>
      </c>
      <c r="B64" s="11" t="s">
        <v>87</v>
      </c>
      <c r="C64" s="12">
        <v>12.0</v>
      </c>
      <c r="D64" s="10" t="s">
        <v>76</v>
      </c>
      <c r="E64" s="10">
        <v>2025.0</v>
      </c>
      <c r="F64" s="10" t="s">
        <v>23</v>
      </c>
      <c r="G64" s="35"/>
      <c r="H64" s="35"/>
      <c r="I64" s="36">
        <f>IFERROR(_xlfn.FORECAST.LINEAR('BD_LeiturasHidrômetro_PRJ03'!$A64,G:G,A:A),"0000")</f>
        <v>26230.76151</v>
      </c>
      <c r="J64" s="36">
        <f>IF('BD_LeiturasHidrômetro_PRJ03'!$G64&amp;'BD_LeiturasHidrômetro_PRJ03'!$H64="",'BD_LeiturasHidrômetro_PRJ03'!$I64,'BD_LeiturasHidrômetro_PRJ03'!$G64&amp;'BD_LeiturasHidrômetro_PRJ03'!$H64)</f>
        <v>26230.76151</v>
      </c>
      <c r="K64" s="36">
        <f t="shared" si="1"/>
        <v>26211.68201</v>
      </c>
      <c r="L64" s="15"/>
      <c r="M64" s="15"/>
      <c r="N64" s="17">
        <f t="shared" si="2"/>
        <v>19.07949791</v>
      </c>
      <c r="O64" s="15" t="s">
        <v>261</v>
      </c>
      <c r="R64" s="18"/>
      <c r="S64" s="19"/>
    </row>
    <row r="65" ht="15.75" customHeight="1">
      <c r="A65" s="10">
        <v>80.0</v>
      </c>
      <c r="B65" s="11" t="s">
        <v>88</v>
      </c>
      <c r="C65" s="12">
        <v>13.0</v>
      </c>
      <c r="D65" s="10" t="s">
        <v>76</v>
      </c>
      <c r="E65" s="10">
        <v>2025.0</v>
      </c>
      <c r="F65" s="10" t="s">
        <v>26</v>
      </c>
      <c r="G65" s="35"/>
      <c r="H65" s="35"/>
      <c r="I65" s="36">
        <f>IFERROR(_xlfn.FORECAST.LINEAR('BD_LeiturasHidrômetro_PRJ03'!$A65,G:G,A:A),"0000")</f>
        <v>26249.841</v>
      </c>
      <c r="J65" s="36">
        <f>IF('BD_LeiturasHidrômetro_PRJ03'!$G65&amp;'BD_LeiturasHidrômetro_PRJ03'!$H65="",'BD_LeiturasHidrômetro_PRJ03'!$I65,'BD_LeiturasHidrômetro_PRJ03'!$G65&amp;'BD_LeiturasHidrômetro_PRJ03'!$H65)</f>
        <v>26249.841</v>
      </c>
      <c r="K65" s="36">
        <f t="shared" si="1"/>
        <v>26230.76151</v>
      </c>
      <c r="L65" s="15"/>
      <c r="M65" s="15"/>
      <c r="N65" s="17">
        <f t="shared" si="2"/>
        <v>19.07949791</v>
      </c>
      <c r="O65" s="15" t="s">
        <v>261</v>
      </c>
      <c r="R65" s="18"/>
      <c r="S65" s="19"/>
    </row>
    <row r="66" ht="15.75" customHeight="1">
      <c r="A66" s="10">
        <v>81.0</v>
      </c>
      <c r="B66" s="11" t="s">
        <v>89</v>
      </c>
      <c r="C66" s="12">
        <v>14.0</v>
      </c>
      <c r="D66" s="10" t="s">
        <v>76</v>
      </c>
      <c r="E66" s="10">
        <v>2025.0</v>
      </c>
      <c r="F66" s="10" t="s">
        <v>28</v>
      </c>
      <c r="G66" s="35"/>
      <c r="H66" s="35"/>
      <c r="I66" s="36">
        <f>IFERROR(_xlfn.FORECAST.LINEAR('BD_LeiturasHidrômetro_PRJ03'!$A66,G:G,A:A),"0000")</f>
        <v>26268.9205</v>
      </c>
      <c r="J66" s="36">
        <f>IF('BD_LeiturasHidrômetro_PRJ03'!$G66&amp;'BD_LeiturasHidrômetro_PRJ03'!$H66="",'BD_LeiturasHidrômetro_PRJ03'!$I66,'BD_LeiturasHidrômetro_PRJ03'!$G66&amp;'BD_LeiturasHidrômetro_PRJ03'!$H66)</f>
        <v>26268.9205</v>
      </c>
      <c r="K66" s="36">
        <f t="shared" si="1"/>
        <v>26249.841</v>
      </c>
      <c r="L66" s="15"/>
      <c r="M66" s="15"/>
      <c r="N66" s="17">
        <f t="shared" si="2"/>
        <v>19.07949791</v>
      </c>
      <c r="O66" s="15" t="s">
        <v>261</v>
      </c>
      <c r="R66" s="18"/>
      <c r="S66" s="19"/>
    </row>
    <row r="67" ht="15.75" customHeight="1">
      <c r="A67" s="10">
        <v>82.0</v>
      </c>
      <c r="B67" s="11" t="s">
        <v>90</v>
      </c>
      <c r="C67" s="12">
        <v>15.0</v>
      </c>
      <c r="D67" s="10" t="s">
        <v>76</v>
      </c>
      <c r="E67" s="10">
        <v>2025.0</v>
      </c>
      <c r="F67" s="10" t="s">
        <v>30</v>
      </c>
      <c r="G67" s="35"/>
      <c r="H67" s="35"/>
      <c r="I67" s="36">
        <f>IFERROR(_xlfn.FORECAST.LINEAR('BD_LeiturasHidrômetro_PRJ03'!$A67,G:G,A:A),"0000")</f>
        <v>26288</v>
      </c>
      <c r="J67" s="36">
        <f>IF('BD_LeiturasHidrômetro_PRJ03'!$G67&amp;'BD_LeiturasHidrômetro_PRJ03'!$H67="",'BD_LeiturasHidrômetro_PRJ03'!$I67,'BD_LeiturasHidrômetro_PRJ03'!$G67&amp;'BD_LeiturasHidrômetro_PRJ03'!$H67)</f>
        <v>26288</v>
      </c>
      <c r="K67" s="36">
        <f t="shared" si="1"/>
        <v>26268.9205</v>
      </c>
      <c r="L67" s="15"/>
      <c r="M67" s="15"/>
      <c r="N67" s="17">
        <f t="shared" si="2"/>
        <v>19.07949791</v>
      </c>
      <c r="O67" s="15" t="s">
        <v>261</v>
      </c>
      <c r="R67" s="18"/>
      <c r="S67" s="19"/>
    </row>
    <row r="68" ht="15.75" customHeight="1">
      <c r="A68" s="10">
        <v>83.0</v>
      </c>
      <c r="B68" s="11" t="s">
        <v>91</v>
      </c>
      <c r="C68" s="12">
        <v>16.0</v>
      </c>
      <c r="D68" s="10" t="s">
        <v>76</v>
      </c>
      <c r="E68" s="10">
        <v>2025.0</v>
      </c>
      <c r="F68" s="10" t="s">
        <v>32</v>
      </c>
      <c r="G68" s="35"/>
      <c r="H68" s="35"/>
      <c r="I68" s="36">
        <f>IFERROR(_xlfn.FORECAST.LINEAR('BD_LeiturasHidrômetro_PRJ03'!$A68,G:G,A:A),"0000")</f>
        <v>26307.0795</v>
      </c>
      <c r="J68" s="36">
        <f>IF('BD_LeiturasHidrômetro_PRJ03'!$G68&amp;'BD_LeiturasHidrômetro_PRJ03'!$H68="",'BD_LeiturasHidrômetro_PRJ03'!$I68,'BD_LeiturasHidrômetro_PRJ03'!$G68&amp;'BD_LeiturasHidrômetro_PRJ03'!$H68)</f>
        <v>26307.0795</v>
      </c>
      <c r="K68" s="36">
        <f t="shared" si="1"/>
        <v>26288</v>
      </c>
      <c r="L68" s="15"/>
      <c r="M68" s="15"/>
      <c r="N68" s="17">
        <f t="shared" si="2"/>
        <v>19.07949791</v>
      </c>
      <c r="O68" s="15" t="s">
        <v>261</v>
      </c>
      <c r="R68" s="18"/>
      <c r="S68" s="19"/>
    </row>
    <row r="69" ht="15.75" customHeight="1">
      <c r="A69" s="10">
        <v>84.0</v>
      </c>
      <c r="B69" s="11" t="s">
        <v>92</v>
      </c>
      <c r="C69" s="12">
        <v>17.0</v>
      </c>
      <c r="D69" s="10" t="s">
        <v>76</v>
      </c>
      <c r="E69" s="10">
        <v>2025.0</v>
      </c>
      <c r="F69" s="10" t="s">
        <v>34</v>
      </c>
      <c r="G69" s="35"/>
      <c r="H69" s="35"/>
      <c r="I69" s="36">
        <f>IFERROR(_xlfn.FORECAST.LINEAR('BD_LeiturasHidrômetro_PRJ03'!$A69,G:G,A:A),"0000")</f>
        <v>26326.159</v>
      </c>
      <c r="J69" s="36">
        <f>IF('BD_LeiturasHidrômetro_PRJ03'!$G69&amp;'BD_LeiturasHidrômetro_PRJ03'!$H69="",'BD_LeiturasHidrômetro_PRJ03'!$I69,'BD_LeiturasHidrômetro_PRJ03'!$G69&amp;'BD_LeiturasHidrômetro_PRJ03'!$H69)</f>
        <v>26326.159</v>
      </c>
      <c r="K69" s="36">
        <f t="shared" si="1"/>
        <v>26307.0795</v>
      </c>
      <c r="L69" s="15"/>
      <c r="M69" s="15"/>
      <c r="N69" s="17">
        <f t="shared" si="2"/>
        <v>19.07949791</v>
      </c>
      <c r="O69" s="15" t="s">
        <v>261</v>
      </c>
      <c r="R69" s="18"/>
      <c r="S69" s="19"/>
    </row>
    <row r="70" ht="15.75" customHeight="1">
      <c r="A70" s="10">
        <v>85.0</v>
      </c>
      <c r="B70" s="11" t="s">
        <v>93</v>
      </c>
      <c r="C70" s="12">
        <v>18.0</v>
      </c>
      <c r="D70" s="10" t="s">
        <v>76</v>
      </c>
      <c r="E70" s="10">
        <v>2025.0</v>
      </c>
      <c r="F70" s="10" t="s">
        <v>19</v>
      </c>
      <c r="G70" s="35"/>
      <c r="H70" s="35"/>
      <c r="I70" s="36">
        <f>IFERROR(_xlfn.FORECAST.LINEAR('BD_LeiturasHidrômetro_PRJ03'!$A70,G:G,A:A),"0000")</f>
        <v>26345.23849</v>
      </c>
      <c r="J70" s="36">
        <f>IF('BD_LeiturasHidrômetro_PRJ03'!$G70&amp;'BD_LeiturasHidrômetro_PRJ03'!$H70="",'BD_LeiturasHidrômetro_PRJ03'!$I70,'BD_LeiturasHidrômetro_PRJ03'!$G70&amp;'BD_LeiturasHidrômetro_PRJ03'!$H70)</f>
        <v>26345.23849</v>
      </c>
      <c r="K70" s="36">
        <f t="shared" si="1"/>
        <v>26326.159</v>
      </c>
      <c r="L70" s="15"/>
      <c r="M70" s="15"/>
      <c r="N70" s="17">
        <f t="shared" si="2"/>
        <v>19.07949791</v>
      </c>
      <c r="O70" s="15" t="s">
        <v>261</v>
      </c>
      <c r="R70" s="18"/>
      <c r="S70" s="19"/>
    </row>
    <row r="71" ht="15.75" customHeight="1">
      <c r="A71" s="10">
        <v>86.0</v>
      </c>
      <c r="B71" s="11" t="s">
        <v>94</v>
      </c>
      <c r="C71" s="12">
        <v>19.0</v>
      </c>
      <c r="D71" s="10" t="s">
        <v>76</v>
      </c>
      <c r="E71" s="10">
        <v>2025.0</v>
      </c>
      <c r="F71" s="10" t="s">
        <v>23</v>
      </c>
      <c r="G71" s="35"/>
      <c r="H71" s="35"/>
      <c r="I71" s="36">
        <f>IFERROR(_xlfn.FORECAST.LINEAR('BD_LeiturasHidrômetro_PRJ03'!$A71,G:G,A:A),"0000")</f>
        <v>26364.31799</v>
      </c>
      <c r="J71" s="36">
        <f>IF('BD_LeiturasHidrômetro_PRJ03'!$G71&amp;'BD_LeiturasHidrômetro_PRJ03'!$H71="",'BD_LeiturasHidrômetro_PRJ03'!$I71,'BD_LeiturasHidrômetro_PRJ03'!$G71&amp;'BD_LeiturasHidrômetro_PRJ03'!$H71)</f>
        <v>26364.31799</v>
      </c>
      <c r="K71" s="36">
        <f t="shared" si="1"/>
        <v>26345.23849</v>
      </c>
      <c r="L71" s="15"/>
      <c r="M71" s="15"/>
      <c r="N71" s="17">
        <f t="shared" si="2"/>
        <v>19.07949791</v>
      </c>
      <c r="O71" s="15" t="s">
        <v>261</v>
      </c>
      <c r="R71" s="18"/>
      <c r="S71" s="19"/>
    </row>
    <row r="72" ht="15.75" customHeight="1">
      <c r="A72" s="10">
        <v>87.0</v>
      </c>
      <c r="B72" s="11" t="s">
        <v>95</v>
      </c>
      <c r="C72" s="12">
        <v>20.0</v>
      </c>
      <c r="D72" s="10" t="s">
        <v>76</v>
      </c>
      <c r="E72" s="10">
        <v>2025.0</v>
      </c>
      <c r="F72" s="10" t="s">
        <v>26</v>
      </c>
      <c r="G72" s="35"/>
      <c r="H72" s="35"/>
      <c r="I72" s="36">
        <f>IFERROR(_xlfn.FORECAST.LINEAR('BD_LeiturasHidrômetro_PRJ03'!$A72,G:G,A:A),"0000")</f>
        <v>26383.39749</v>
      </c>
      <c r="J72" s="36">
        <f>IF('BD_LeiturasHidrômetro_PRJ03'!$G72&amp;'BD_LeiturasHidrômetro_PRJ03'!$H72="",'BD_LeiturasHidrômetro_PRJ03'!$I72,'BD_LeiturasHidrômetro_PRJ03'!$G72&amp;'BD_LeiturasHidrômetro_PRJ03'!$H72)</f>
        <v>26383.39749</v>
      </c>
      <c r="K72" s="36">
        <f t="shared" si="1"/>
        <v>26364.31799</v>
      </c>
      <c r="L72" s="15"/>
      <c r="M72" s="15"/>
      <c r="N72" s="17">
        <f t="shared" si="2"/>
        <v>19.07949791</v>
      </c>
      <c r="O72" s="15" t="s">
        <v>261</v>
      </c>
      <c r="R72" s="18"/>
      <c r="S72" s="19"/>
    </row>
    <row r="73" ht="15.75" customHeight="1">
      <c r="A73" s="10">
        <v>88.0</v>
      </c>
      <c r="B73" s="11" t="s">
        <v>96</v>
      </c>
      <c r="C73" s="12">
        <v>21.0</v>
      </c>
      <c r="D73" s="10" t="s">
        <v>76</v>
      </c>
      <c r="E73" s="10">
        <v>2025.0</v>
      </c>
      <c r="F73" s="10" t="s">
        <v>28</v>
      </c>
      <c r="G73" s="35"/>
      <c r="H73" s="35"/>
      <c r="I73" s="36">
        <f>IFERROR(_xlfn.FORECAST.LINEAR('BD_LeiturasHidrômetro_PRJ03'!$A73,G:G,A:A),"0000")</f>
        <v>26402.47699</v>
      </c>
      <c r="J73" s="36">
        <f>IF('BD_LeiturasHidrômetro_PRJ03'!$G73&amp;'BD_LeiturasHidrômetro_PRJ03'!$H73="",'BD_LeiturasHidrômetro_PRJ03'!$I73,'BD_LeiturasHidrômetro_PRJ03'!$G73&amp;'BD_LeiturasHidrômetro_PRJ03'!$H73)</f>
        <v>26402.47699</v>
      </c>
      <c r="K73" s="36">
        <f t="shared" si="1"/>
        <v>26383.39749</v>
      </c>
      <c r="L73" s="15"/>
      <c r="M73" s="15"/>
      <c r="N73" s="17">
        <f t="shared" si="2"/>
        <v>19.07949791</v>
      </c>
      <c r="O73" s="15" t="s">
        <v>261</v>
      </c>
      <c r="R73" s="18"/>
      <c r="S73" s="19"/>
    </row>
    <row r="74" ht="15.75" customHeight="1">
      <c r="A74" s="10">
        <v>89.0</v>
      </c>
      <c r="B74" s="11" t="s">
        <v>97</v>
      </c>
      <c r="C74" s="12">
        <v>22.0</v>
      </c>
      <c r="D74" s="10" t="s">
        <v>76</v>
      </c>
      <c r="E74" s="10">
        <v>2025.0</v>
      </c>
      <c r="F74" s="10" t="s">
        <v>30</v>
      </c>
      <c r="G74" s="35"/>
      <c r="H74" s="35"/>
      <c r="I74" s="36">
        <f>IFERROR(_xlfn.FORECAST.LINEAR('BD_LeiturasHidrômetro_PRJ03'!$A74,G:G,A:A),"0000")</f>
        <v>26421.55649</v>
      </c>
      <c r="J74" s="36">
        <f>IF('BD_LeiturasHidrômetro_PRJ03'!$G74&amp;'BD_LeiturasHidrômetro_PRJ03'!$H74="",'BD_LeiturasHidrômetro_PRJ03'!$I74,'BD_LeiturasHidrômetro_PRJ03'!$G74&amp;'BD_LeiturasHidrômetro_PRJ03'!$H74)</f>
        <v>26421.55649</v>
      </c>
      <c r="K74" s="36">
        <f t="shared" si="1"/>
        <v>26402.47699</v>
      </c>
      <c r="L74" s="15"/>
      <c r="M74" s="15"/>
      <c r="N74" s="17">
        <f t="shared" si="2"/>
        <v>19.07949791</v>
      </c>
      <c r="O74" s="15" t="s">
        <v>261</v>
      </c>
      <c r="R74" s="18"/>
      <c r="S74" s="19"/>
    </row>
    <row r="75" ht="15.75" customHeight="1">
      <c r="A75" s="10">
        <v>90.0</v>
      </c>
      <c r="B75" s="11" t="s">
        <v>98</v>
      </c>
      <c r="C75" s="12">
        <v>23.0</v>
      </c>
      <c r="D75" s="10" t="s">
        <v>76</v>
      </c>
      <c r="E75" s="10">
        <v>2025.0</v>
      </c>
      <c r="F75" s="10" t="s">
        <v>32</v>
      </c>
      <c r="G75" s="35"/>
      <c r="H75" s="35"/>
      <c r="I75" s="36">
        <f>IFERROR(_xlfn.FORECAST.LINEAR('BD_LeiturasHidrômetro_PRJ03'!$A75,G:G,A:A),"0000")</f>
        <v>26440.63598</v>
      </c>
      <c r="J75" s="36">
        <f>IF('BD_LeiturasHidrômetro_PRJ03'!$G75&amp;'BD_LeiturasHidrômetro_PRJ03'!$H75="",'BD_LeiturasHidrômetro_PRJ03'!$I75,'BD_LeiturasHidrômetro_PRJ03'!$G75&amp;'BD_LeiturasHidrômetro_PRJ03'!$H75)</f>
        <v>26440.63598</v>
      </c>
      <c r="K75" s="36">
        <f t="shared" si="1"/>
        <v>26421.55649</v>
      </c>
      <c r="L75" s="15"/>
      <c r="M75" s="15"/>
      <c r="N75" s="17">
        <f t="shared" si="2"/>
        <v>19.07949791</v>
      </c>
      <c r="O75" s="15" t="s">
        <v>261</v>
      </c>
      <c r="R75" s="18"/>
      <c r="S75" s="19"/>
    </row>
    <row r="76" ht="15.75" customHeight="1">
      <c r="A76" s="10">
        <v>91.0</v>
      </c>
      <c r="B76" s="11" t="s">
        <v>99</v>
      </c>
      <c r="C76" s="12">
        <v>24.0</v>
      </c>
      <c r="D76" s="10" t="s">
        <v>76</v>
      </c>
      <c r="E76" s="10">
        <v>2025.0</v>
      </c>
      <c r="F76" s="10" t="s">
        <v>34</v>
      </c>
      <c r="G76" s="35"/>
      <c r="H76" s="35"/>
      <c r="I76" s="36">
        <f>IFERROR(_xlfn.FORECAST.LINEAR('BD_LeiturasHidrômetro_PRJ03'!$A76,G:G,A:A),"0000")</f>
        <v>26459.71548</v>
      </c>
      <c r="J76" s="36">
        <f>IF('BD_LeiturasHidrômetro_PRJ03'!$G76&amp;'BD_LeiturasHidrômetro_PRJ03'!$H76="",'BD_LeiturasHidrômetro_PRJ03'!$I76,'BD_LeiturasHidrômetro_PRJ03'!$G76&amp;'BD_LeiturasHidrômetro_PRJ03'!$H76)</f>
        <v>26459.71548</v>
      </c>
      <c r="K76" s="36">
        <f t="shared" si="1"/>
        <v>26440.63598</v>
      </c>
      <c r="L76" s="15"/>
      <c r="M76" s="15"/>
      <c r="N76" s="17">
        <f t="shared" si="2"/>
        <v>19.07949791</v>
      </c>
      <c r="O76" s="15" t="s">
        <v>261</v>
      </c>
      <c r="R76" s="18"/>
      <c r="S76" s="19"/>
    </row>
    <row r="77" ht="15.75" customHeight="1">
      <c r="A77" s="10">
        <v>92.0</v>
      </c>
      <c r="B77" s="11" t="s">
        <v>100</v>
      </c>
      <c r="C77" s="12">
        <v>25.0</v>
      </c>
      <c r="D77" s="10" t="s">
        <v>76</v>
      </c>
      <c r="E77" s="10">
        <v>2025.0</v>
      </c>
      <c r="F77" s="10" t="s">
        <v>19</v>
      </c>
      <c r="G77" s="35"/>
      <c r="H77" s="35"/>
      <c r="I77" s="36">
        <f>IFERROR(_xlfn.FORECAST.LINEAR('BD_LeiturasHidrômetro_PRJ03'!$A77,G:G,A:A),"0000")</f>
        <v>26478.79498</v>
      </c>
      <c r="J77" s="36">
        <f>IF('BD_LeiturasHidrômetro_PRJ03'!$G77&amp;'BD_LeiturasHidrômetro_PRJ03'!$H77="",'BD_LeiturasHidrômetro_PRJ03'!$I77,'BD_LeiturasHidrômetro_PRJ03'!$G77&amp;'BD_LeiturasHidrômetro_PRJ03'!$H77)</f>
        <v>26478.79498</v>
      </c>
      <c r="K77" s="36">
        <f t="shared" si="1"/>
        <v>26459.71548</v>
      </c>
      <c r="L77" s="15"/>
      <c r="M77" s="15"/>
      <c r="N77" s="17">
        <f t="shared" si="2"/>
        <v>19.07949791</v>
      </c>
      <c r="O77" s="15" t="s">
        <v>261</v>
      </c>
      <c r="R77" s="18"/>
      <c r="S77" s="19"/>
    </row>
    <row r="78" ht="15.75" customHeight="1">
      <c r="A78" s="10">
        <v>93.0</v>
      </c>
      <c r="B78" s="11" t="s">
        <v>101</v>
      </c>
      <c r="C78" s="12">
        <v>26.0</v>
      </c>
      <c r="D78" s="10" t="s">
        <v>76</v>
      </c>
      <c r="E78" s="10">
        <v>2025.0</v>
      </c>
      <c r="F78" s="10" t="s">
        <v>23</v>
      </c>
      <c r="G78" s="35"/>
      <c r="H78" s="35"/>
      <c r="I78" s="36">
        <f>IFERROR(_xlfn.FORECAST.LINEAR('BD_LeiturasHidrômetro_PRJ03'!$A78,G:G,A:A),"0000")</f>
        <v>26497.87448</v>
      </c>
      <c r="J78" s="36">
        <f>IF('BD_LeiturasHidrômetro_PRJ03'!$G78&amp;'BD_LeiturasHidrômetro_PRJ03'!$H78="",'BD_LeiturasHidrômetro_PRJ03'!$I78,'BD_LeiturasHidrômetro_PRJ03'!$G78&amp;'BD_LeiturasHidrômetro_PRJ03'!$H78)</f>
        <v>26497.87448</v>
      </c>
      <c r="K78" s="36">
        <f t="shared" si="1"/>
        <v>26478.79498</v>
      </c>
      <c r="L78" s="15"/>
      <c r="M78" s="15"/>
      <c r="N78" s="17">
        <f t="shared" si="2"/>
        <v>19.07949791</v>
      </c>
      <c r="O78" s="15" t="s">
        <v>261</v>
      </c>
      <c r="R78" s="18"/>
      <c r="S78" s="19"/>
    </row>
    <row r="79" ht="15.75" customHeight="1">
      <c r="A79" s="10">
        <v>94.0</v>
      </c>
      <c r="B79" s="11" t="s">
        <v>102</v>
      </c>
      <c r="C79" s="12">
        <v>27.0</v>
      </c>
      <c r="D79" s="10" t="s">
        <v>76</v>
      </c>
      <c r="E79" s="10">
        <v>2025.0</v>
      </c>
      <c r="F79" s="10" t="s">
        <v>26</v>
      </c>
      <c r="G79" s="35"/>
      <c r="H79" s="35"/>
      <c r="I79" s="36">
        <f>IFERROR(_xlfn.FORECAST.LINEAR('BD_LeiturasHidrômetro_PRJ03'!$A79,G:G,A:A),"0000")</f>
        <v>26516.95397</v>
      </c>
      <c r="J79" s="36">
        <f>IF('BD_LeiturasHidrômetro_PRJ03'!$G79&amp;'BD_LeiturasHidrômetro_PRJ03'!$H79="",'BD_LeiturasHidrômetro_PRJ03'!$I79,'BD_LeiturasHidrômetro_PRJ03'!$G79&amp;'BD_LeiturasHidrômetro_PRJ03'!$H79)</f>
        <v>26516.95397</v>
      </c>
      <c r="K79" s="36">
        <f t="shared" si="1"/>
        <v>26497.87448</v>
      </c>
      <c r="L79" s="15"/>
      <c r="M79" s="15"/>
      <c r="N79" s="17">
        <f t="shared" si="2"/>
        <v>19.07949791</v>
      </c>
      <c r="O79" s="15" t="s">
        <v>261</v>
      </c>
      <c r="R79" s="18"/>
      <c r="S79" s="19"/>
    </row>
    <row r="80" ht="15.75" customHeight="1">
      <c r="A80" s="10">
        <v>95.0</v>
      </c>
      <c r="B80" s="11" t="s">
        <v>103</v>
      </c>
      <c r="C80" s="12">
        <v>28.0</v>
      </c>
      <c r="D80" s="10" t="s">
        <v>76</v>
      </c>
      <c r="E80" s="10">
        <v>2025.0</v>
      </c>
      <c r="F80" s="10" t="s">
        <v>28</v>
      </c>
      <c r="G80" s="35"/>
      <c r="H80" s="35"/>
      <c r="I80" s="36">
        <f>IFERROR(_xlfn.FORECAST.LINEAR('BD_LeiturasHidrômetro_PRJ03'!$A80,G:G,A:A),"0000")</f>
        <v>26536.03347</v>
      </c>
      <c r="J80" s="36">
        <f>IF('BD_LeiturasHidrômetro_PRJ03'!$G80&amp;'BD_LeiturasHidrômetro_PRJ03'!$H80="",'BD_LeiturasHidrômetro_PRJ03'!$I80,'BD_LeiturasHidrômetro_PRJ03'!$G80&amp;'BD_LeiturasHidrômetro_PRJ03'!$H80)</f>
        <v>26536.03347</v>
      </c>
      <c r="K80" s="36">
        <f t="shared" si="1"/>
        <v>26516.95397</v>
      </c>
      <c r="L80" s="15"/>
      <c r="M80" s="15"/>
      <c r="N80" s="17">
        <f t="shared" si="2"/>
        <v>19.07949791</v>
      </c>
      <c r="O80" s="15" t="s">
        <v>261</v>
      </c>
      <c r="R80" s="18"/>
      <c r="S80" s="19"/>
    </row>
    <row r="81" ht="15.75" customHeight="1">
      <c r="A81" s="10">
        <v>96.0</v>
      </c>
      <c r="B81" s="11" t="s">
        <v>104</v>
      </c>
      <c r="C81" s="12">
        <v>29.0</v>
      </c>
      <c r="D81" s="10" t="s">
        <v>76</v>
      </c>
      <c r="E81" s="10">
        <v>2025.0</v>
      </c>
      <c r="F81" s="10" t="s">
        <v>30</v>
      </c>
      <c r="G81" s="35"/>
      <c r="H81" s="35"/>
      <c r="I81" s="36">
        <f>IFERROR(_xlfn.FORECAST.LINEAR('BD_LeiturasHidrômetro_PRJ03'!$A81,G:G,A:A),"0000")</f>
        <v>26555.11297</v>
      </c>
      <c r="J81" s="36">
        <f>IF('BD_LeiturasHidrômetro_PRJ03'!$G81&amp;'BD_LeiturasHidrômetro_PRJ03'!$H81="",'BD_LeiturasHidrômetro_PRJ03'!$I81,'BD_LeiturasHidrômetro_PRJ03'!$G81&amp;'BD_LeiturasHidrômetro_PRJ03'!$H81)</f>
        <v>26555.11297</v>
      </c>
      <c r="K81" s="36">
        <f t="shared" si="1"/>
        <v>26536.03347</v>
      </c>
      <c r="L81" s="15"/>
      <c r="M81" s="15"/>
      <c r="N81" s="17">
        <f t="shared" si="2"/>
        <v>19.07949791</v>
      </c>
      <c r="O81" s="15" t="s">
        <v>261</v>
      </c>
      <c r="R81" s="18"/>
      <c r="S81" s="19"/>
    </row>
    <row r="82" ht="15.75" customHeight="1">
      <c r="A82" s="10">
        <v>97.0</v>
      </c>
      <c r="B82" s="11" t="s">
        <v>105</v>
      </c>
      <c r="C82" s="12">
        <v>30.0</v>
      </c>
      <c r="D82" s="10" t="s">
        <v>76</v>
      </c>
      <c r="E82" s="10">
        <v>2025.0</v>
      </c>
      <c r="F82" s="10" t="s">
        <v>32</v>
      </c>
      <c r="G82" s="35"/>
      <c r="H82" s="35"/>
      <c r="I82" s="36">
        <f>IFERROR(_xlfn.FORECAST.LINEAR('BD_LeiturasHidrômetro_PRJ03'!$A82,G:G,A:A),"0000")</f>
        <v>26574.19247</v>
      </c>
      <c r="J82" s="36">
        <f>IF('BD_LeiturasHidrômetro_PRJ03'!$G82&amp;'BD_LeiturasHidrômetro_PRJ03'!$H82="",'BD_LeiturasHidrômetro_PRJ03'!$I82,'BD_LeiturasHidrômetro_PRJ03'!$G82&amp;'BD_LeiturasHidrômetro_PRJ03'!$H82)</f>
        <v>26574.19247</v>
      </c>
      <c r="K82" s="36">
        <f t="shared" si="1"/>
        <v>26555.11297</v>
      </c>
      <c r="L82" s="15"/>
      <c r="M82" s="15"/>
      <c r="N82" s="17">
        <f t="shared" si="2"/>
        <v>19.07949791</v>
      </c>
      <c r="O82" s="15" t="s">
        <v>261</v>
      </c>
      <c r="R82" s="18"/>
      <c r="S82" s="19"/>
    </row>
    <row r="83" ht="15.75" customHeight="1">
      <c r="A83" s="10">
        <v>98.0</v>
      </c>
      <c r="B83" s="11" t="s">
        <v>106</v>
      </c>
      <c r="C83" s="12">
        <v>31.0</v>
      </c>
      <c r="D83" s="10" t="s">
        <v>76</v>
      </c>
      <c r="E83" s="10">
        <v>2025.0</v>
      </c>
      <c r="F83" s="10" t="s">
        <v>34</v>
      </c>
      <c r="G83" s="35"/>
      <c r="H83" s="35"/>
      <c r="I83" s="36">
        <f>IFERROR(_xlfn.FORECAST.LINEAR('BD_LeiturasHidrômetro_PRJ03'!$A83,G:G,A:A),"0000")</f>
        <v>26593.27197</v>
      </c>
      <c r="J83" s="36">
        <f>IF('BD_LeiturasHidrômetro_PRJ03'!$G83&amp;'BD_LeiturasHidrômetro_PRJ03'!$H83="",'BD_LeiturasHidrômetro_PRJ03'!$I83,'BD_LeiturasHidrômetro_PRJ03'!$G83&amp;'BD_LeiturasHidrômetro_PRJ03'!$H83)</f>
        <v>26593.27197</v>
      </c>
      <c r="K83" s="36">
        <f t="shared" si="1"/>
        <v>26574.19247</v>
      </c>
      <c r="L83" s="15"/>
      <c r="M83" s="15"/>
      <c r="N83" s="17">
        <f t="shared" si="2"/>
        <v>19.07949791</v>
      </c>
      <c r="O83" s="15" t="s">
        <v>261</v>
      </c>
      <c r="R83" s="18"/>
      <c r="S83" s="19"/>
    </row>
    <row r="84" ht="15.75" customHeight="1">
      <c r="A84" s="10">
        <v>99.0</v>
      </c>
      <c r="B84" s="11" t="s">
        <v>107</v>
      </c>
      <c r="C84" s="12">
        <v>1.0</v>
      </c>
      <c r="D84" s="10" t="s">
        <v>108</v>
      </c>
      <c r="E84" s="10">
        <v>2025.0</v>
      </c>
      <c r="F84" s="10" t="s">
        <v>19</v>
      </c>
      <c r="G84" s="35"/>
      <c r="H84" s="35"/>
      <c r="I84" s="36">
        <f>IFERROR(_xlfn.FORECAST.LINEAR('BD_LeiturasHidrômetro_PRJ03'!$A84,G:G,A:A),"0000")</f>
        <v>26612.35146</v>
      </c>
      <c r="J84" s="36">
        <f>IF('BD_LeiturasHidrômetro_PRJ03'!$G84&amp;'BD_LeiturasHidrômetro_PRJ03'!$H84="",'BD_LeiturasHidrômetro_PRJ03'!$I84,'BD_LeiturasHidrômetro_PRJ03'!$G84&amp;'BD_LeiturasHidrômetro_PRJ03'!$H84)</f>
        <v>26612.35146</v>
      </c>
      <c r="K84" s="36">
        <f t="shared" si="1"/>
        <v>26593.27197</v>
      </c>
      <c r="L84" s="15"/>
      <c r="M84" s="15"/>
      <c r="N84" s="17">
        <f t="shared" si="2"/>
        <v>19.07949791</v>
      </c>
      <c r="O84" s="15" t="s">
        <v>261</v>
      </c>
      <c r="R84" s="18"/>
      <c r="S84" s="19"/>
    </row>
    <row r="85" ht="15.75" customHeight="1">
      <c r="A85" s="10">
        <v>100.0</v>
      </c>
      <c r="B85" s="11" t="s">
        <v>109</v>
      </c>
      <c r="C85" s="12">
        <v>2.0</v>
      </c>
      <c r="D85" s="10" t="s">
        <v>108</v>
      </c>
      <c r="E85" s="10">
        <v>2025.0</v>
      </c>
      <c r="F85" s="10" t="s">
        <v>23</v>
      </c>
      <c r="G85" s="35"/>
      <c r="H85" s="35"/>
      <c r="I85" s="36">
        <f>IFERROR(_xlfn.FORECAST.LINEAR('BD_LeiturasHidrômetro_PRJ03'!$A85,G:G,A:A),"0000")</f>
        <v>26631.43096</v>
      </c>
      <c r="J85" s="36">
        <f>IF('BD_LeiturasHidrômetro_PRJ03'!$G85&amp;'BD_LeiturasHidrômetro_PRJ03'!$H85="",'BD_LeiturasHidrômetro_PRJ03'!$I85,'BD_LeiturasHidrômetro_PRJ03'!$G85&amp;'BD_LeiturasHidrômetro_PRJ03'!$H85)</f>
        <v>26631.43096</v>
      </c>
      <c r="K85" s="36">
        <f t="shared" si="1"/>
        <v>26612.35146</v>
      </c>
      <c r="L85" s="15"/>
      <c r="M85" s="15"/>
      <c r="N85" s="17">
        <f t="shared" si="2"/>
        <v>19.07949791</v>
      </c>
      <c r="O85" s="15" t="s">
        <v>261</v>
      </c>
      <c r="R85" s="18"/>
      <c r="S85" s="19"/>
    </row>
    <row r="86" ht="15.75" customHeight="1">
      <c r="A86" s="10">
        <v>101.0</v>
      </c>
      <c r="B86" s="11" t="s">
        <v>110</v>
      </c>
      <c r="C86" s="12">
        <v>3.0</v>
      </c>
      <c r="D86" s="10" t="s">
        <v>108</v>
      </c>
      <c r="E86" s="10">
        <v>2025.0</v>
      </c>
      <c r="F86" s="10" t="s">
        <v>26</v>
      </c>
      <c r="G86" s="35"/>
      <c r="H86" s="35"/>
      <c r="I86" s="36">
        <f>IFERROR(_xlfn.FORECAST.LINEAR('BD_LeiturasHidrômetro_PRJ03'!$A86,G:G,A:A),"0000")</f>
        <v>26650.51046</v>
      </c>
      <c r="J86" s="36">
        <f>IF('BD_LeiturasHidrômetro_PRJ03'!$G86&amp;'BD_LeiturasHidrômetro_PRJ03'!$H86="",'BD_LeiturasHidrômetro_PRJ03'!$I86,'BD_LeiturasHidrômetro_PRJ03'!$G86&amp;'BD_LeiturasHidrômetro_PRJ03'!$H86)</f>
        <v>26650.51046</v>
      </c>
      <c r="K86" s="36">
        <f t="shared" si="1"/>
        <v>26631.43096</v>
      </c>
      <c r="L86" s="15"/>
      <c r="M86" s="15"/>
      <c r="N86" s="17">
        <f t="shared" si="2"/>
        <v>19.07949791</v>
      </c>
      <c r="O86" s="15" t="s">
        <v>261</v>
      </c>
      <c r="R86" s="18"/>
      <c r="S86" s="19"/>
    </row>
    <row r="87" ht="15.75" customHeight="1">
      <c r="A87" s="10">
        <v>102.0</v>
      </c>
      <c r="B87" s="11" t="s">
        <v>111</v>
      </c>
      <c r="C87" s="12">
        <v>4.0</v>
      </c>
      <c r="D87" s="10" t="s">
        <v>108</v>
      </c>
      <c r="E87" s="10">
        <v>2025.0</v>
      </c>
      <c r="F87" s="10" t="s">
        <v>28</v>
      </c>
      <c r="G87" s="35"/>
      <c r="H87" s="35"/>
      <c r="I87" s="36">
        <f>IFERROR(_xlfn.FORECAST.LINEAR('BD_LeiturasHidrômetro_PRJ03'!$A87,G:G,A:A),"0000")</f>
        <v>26669.58996</v>
      </c>
      <c r="J87" s="36">
        <f>IF('BD_LeiturasHidrômetro_PRJ03'!$G87&amp;'BD_LeiturasHidrômetro_PRJ03'!$H87="",'BD_LeiturasHidrômetro_PRJ03'!$I87,'BD_LeiturasHidrômetro_PRJ03'!$G87&amp;'BD_LeiturasHidrômetro_PRJ03'!$H87)</f>
        <v>26669.58996</v>
      </c>
      <c r="K87" s="36">
        <f t="shared" si="1"/>
        <v>26650.51046</v>
      </c>
      <c r="L87" s="15"/>
      <c r="M87" s="15"/>
      <c r="N87" s="17">
        <f t="shared" si="2"/>
        <v>19.07949791</v>
      </c>
      <c r="O87" s="15" t="s">
        <v>261</v>
      </c>
      <c r="R87" s="18"/>
      <c r="S87" s="19"/>
    </row>
    <row r="88" ht="15.75" customHeight="1">
      <c r="A88" s="10">
        <v>103.0</v>
      </c>
      <c r="B88" s="11" t="s">
        <v>112</v>
      </c>
      <c r="C88" s="12">
        <v>5.0</v>
      </c>
      <c r="D88" s="10" t="s">
        <v>108</v>
      </c>
      <c r="E88" s="10">
        <v>2025.0</v>
      </c>
      <c r="F88" s="10" t="s">
        <v>30</v>
      </c>
      <c r="G88" s="35"/>
      <c r="H88" s="35"/>
      <c r="I88" s="36">
        <f>IFERROR(_xlfn.FORECAST.LINEAR('BD_LeiturasHidrômetro_PRJ03'!$A88,G:G,A:A),"0000")</f>
        <v>26688.66946</v>
      </c>
      <c r="J88" s="36">
        <f>IF('BD_LeiturasHidrômetro_PRJ03'!$G88&amp;'BD_LeiturasHidrômetro_PRJ03'!$H88="",'BD_LeiturasHidrômetro_PRJ03'!$I88,'BD_LeiturasHidrômetro_PRJ03'!$G88&amp;'BD_LeiturasHidrômetro_PRJ03'!$H88)</f>
        <v>26688.66946</v>
      </c>
      <c r="K88" s="36">
        <f t="shared" si="1"/>
        <v>26669.58996</v>
      </c>
      <c r="L88" s="15"/>
      <c r="M88" s="15"/>
      <c r="N88" s="17">
        <f t="shared" si="2"/>
        <v>19.07949791</v>
      </c>
      <c r="O88" s="15" t="s">
        <v>261</v>
      </c>
      <c r="R88" s="18"/>
      <c r="S88" s="19"/>
    </row>
    <row r="89" ht="15.75" customHeight="1">
      <c r="A89" s="10">
        <v>104.0</v>
      </c>
      <c r="B89" s="11" t="s">
        <v>113</v>
      </c>
      <c r="C89" s="12">
        <v>6.0</v>
      </c>
      <c r="D89" s="10" t="s">
        <v>108</v>
      </c>
      <c r="E89" s="10">
        <v>2025.0</v>
      </c>
      <c r="F89" s="10" t="s">
        <v>32</v>
      </c>
      <c r="G89" s="35"/>
      <c r="H89" s="35"/>
      <c r="I89" s="36">
        <f>IFERROR(_xlfn.FORECAST.LINEAR('BD_LeiturasHidrômetro_PRJ03'!$A89,G:G,A:A),"0000")</f>
        <v>26707.74895</v>
      </c>
      <c r="J89" s="36">
        <f>IF('BD_LeiturasHidrômetro_PRJ03'!$G89&amp;'BD_LeiturasHidrômetro_PRJ03'!$H89="",'BD_LeiturasHidrômetro_PRJ03'!$I89,'BD_LeiturasHidrômetro_PRJ03'!$G89&amp;'BD_LeiturasHidrômetro_PRJ03'!$H89)</f>
        <v>26707.74895</v>
      </c>
      <c r="K89" s="36">
        <f t="shared" si="1"/>
        <v>26688.66946</v>
      </c>
      <c r="L89" s="15"/>
      <c r="M89" s="15"/>
      <c r="N89" s="17">
        <f t="shared" si="2"/>
        <v>19.07949791</v>
      </c>
      <c r="O89" s="15" t="s">
        <v>261</v>
      </c>
      <c r="R89" s="18"/>
      <c r="S89" s="19"/>
    </row>
    <row r="90" ht="15.75" customHeight="1">
      <c r="A90" s="10">
        <v>105.0</v>
      </c>
      <c r="B90" s="11" t="s">
        <v>114</v>
      </c>
      <c r="C90" s="12">
        <v>7.0</v>
      </c>
      <c r="D90" s="10" t="s">
        <v>108</v>
      </c>
      <c r="E90" s="10">
        <v>2025.0</v>
      </c>
      <c r="F90" s="10" t="s">
        <v>34</v>
      </c>
      <c r="G90" s="35"/>
      <c r="H90" s="35"/>
      <c r="I90" s="36">
        <f>IFERROR(_xlfn.FORECAST.LINEAR('BD_LeiturasHidrômetro_PRJ03'!$A90,G:G,A:A),"0000")</f>
        <v>26726.82845</v>
      </c>
      <c r="J90" s="36">
        <f>IF('BD_LeiturasHidrômetro_PRJ03'!$G90&amp;'BD_LeiturasHidrômetro_PRJ03'!$H90="",'BD_LeiturasHidrômetro_PRJ03'!$I90,'BD_LeiturasHidrômetro_PRJ03'!$G90&amp;'BD_LeiturasHidrômetro_PRJ03'!$H90)</f>
        <v>26726.82845</v>
      </c>
      <c r="K90" s="36">
        <f t="shared" si="1"/>
        <v>26707.74895</v>
      </c>
      <c r="L90" s="15"/>
      <c r="M90" s="15"/>
      <c r="N90" s="17">
        <f t="shared" si="2"/>
        <v>19.07949791</v>
      </c>
      <c r="O90" s="15" t="s">
        <v>261</v>
      </c>
      <c r="R90" s="18"/>
      <c r="S90" s="19"/>
    </row>
    <row r="91" ht="15.75" customHeight="1">
      <c r="A91" s="10">
        <v>106.0</v>
      </c>
      <c r="B91" s="11" t="s">
        <v>115</v>
      </c>
      <c r="C91" s="12">
        <v>8.0</v>
      </c>
      <c r="D91" s="10" t="s">
        <v>108</v>
      </c>
      <c r="E91" s="10">
        <v>2025.0</v>
      </c>
      <c r="F91" s="10" t="s">
        <v>19</v>
      </c>
      <c r="G91" s="35"/>
      <c r="H91" s="35"/>
      <c r="I91" s="36">
        <f>IFERROR(_xlfn.FORECAST.LINEAR('BD_LeiturasHidrômetro_PRJ03'!$A91,G:G,A:A),"0000")</f>
        <v>26745.90795</v>
      </c>
      <c r="J91" s="36">
        <f>IF('BD_LeiturasHidrômetro_PRJ03'!$G91&amp;'BD_LeiturasHidrômetro_PRJ03'!$H91="",'BD_LeiturasHidrômetro_PRJ03'!$I91,'BD_LeiturasHidrômetro_PRJ03'!$G91&amp;'BD_LeiturasHidrômetro_PRJ03'!$H91)</f>
        <v>26745.90795</v>
      </c>
      <c r="K91" s="36">
        <f t="shared" si="1"/>
        <v>26726.82845</v>
      </c>
      <c r="L91" s="15"/>
      <c r="M91" s="15"/>
      <c r="N91" s="17">
        <f t="shared" si="2"/>
        <v>19.07949791</v>
      </c>
      <c r="O91" s="15" t="s">
        <v>261</v>
      </c>
      <c r="R91" s="18"/>
      <c r="S91" s="19"/>
    </row>
    <row r="92" ht="15.75" customHeight="1">
      <c r="A92" s="10">
        <v>107.0</v>
      </c>
      <c r="B92" s="11" t="s">
        <v>116</v>
      </c>
      <c r="C92" s="12">
        <v>9.0</v>
      </c>
      <c r="D92" s="10" t="s">
        <v>108</v>
      </c>
      <c r="E92" s="10">
        <v>2025.0</v>
      </c>
      <c r="F92" s="10" t="s">
        <v>23</v>
      </c>
      <c r="G92" s="35"/>
      <c r="H92" s="35"/>
      <c r="I92" s="36">
        <f>IFERROR(_xlfn.FORECAST.LINEAR('BD_LeiturasHidrômetro_PRJ03'!$A92,G:G,A:A),"0000")</f>
        <v>26764.98745</v>
      </c>
      <c r="J92" s="36">
        <f>IF('BD_LeiturasHidrômetro_PRJ03'!$G92&amp;'BD_LeiturasHidrômetro_PRJ03'!$H92="",'BD_LeiturasHidrômetro_PRJ03'!$I92,'BD_LeiturasHidrômetro_PRJ03'!$G92&amp;'BD_LeiturasHidrômetro_PRJ03'!$H92)</f>
        <v>26764.98745</v>
      </c>
      <c r="K92" s="36">
        <f t="shared" si="1"/>
        <v>26745.90795</v>
      </c>
      <c r="L92" s="15"/>
      <c r="M92" s="15"/>
      <c r="N92" s="17">
        <f t="shared" si="2"/>
        <v>19.07949791</v>
      </c>
      <c r="O92" s="15" t="s">
        <v>261</v>
      </c>
      <c r="R92" s="18"/>
      <c r="S92" s="19"/>
    </row>
    <row r="93" ht="15.75" customHeight="1">
      <c r="A93" s="10">
        <v>108.0</v>
      </c>
      <c r="B93" s="11" t="s">
        <v>117</v>
      </c>
      <c r="C93" s="12">
        <v>10.0</v>
      </c>
      <c r="D93" s="10" t="s">
        <v>108</v>
      </c>
      <c r="E93" s="10">
        <v>2025.0</v>
      </c>
      <c r="F93" s="10" t="s">
        <v>26</v>
      </c>
      <c r="G93" s="35"/>
      <c r="H93" s="35"/>
      <c r="I93" s="36">
        <f>IFERROR(_xlfn.FORECAST.LINEAR('BD_LeiturasHidrômetro_PRJ03'!$A93,G:G,A:A),"0000")</f>
        <v>26784.06695</v>
      </c>
      <c r="J93" s="36">
        <f>IF('BD_LeiturasHidrômetro_PRJ03'!$G93&amp;'BD_LeiturasHidrômetro_PRJ03'!$H93="",'BD_LeiturasHidrômetro_PRJ03'!$I93,'BD_LeiturasHidrômetro_PRJ03'!$G93&amp;'BD_LeiturasHidrômetro_PRJ03'!$H93)</f>
        <v>26784.06695</v>
      </c>
      <c r="K93" s="36">
        <f t="shared" si="1"/>
        <v>26764.98745</v>
      </c>
      <c r="L93" s="15"/>
      <c r="M93" s="15"/>
      <c r="N93" s="17">
        <f t="shared" si="2"/>
        <v>19.07949791</v>
      </c>
      <c r="O93" s="15" t="s">
        <v>261</v>
      </c>
      <c r="R93" s="18"/>
      <c r="S93" s="19"/>
    </row>
    <row r="94" ht="15.75" customHeight="1">
      <c r="A94" s="10">
        <v>109.0</v>
      </c>
      <c r="B94" s="11" t="s">
        <v>118</v>
      </c>
      <c r="C94" s="12">
        <v>11.0</v>
      </c>
      <c r="D94" s="10" t="s">
        <v>108</v>
      </c>
      <c r="E94" s="10">
        <v>2025.0</v>
      </c>
      <c r="F94" s="10" t="s">
        <v>28</v>
      </c>
      <c r="G94" s="35"/>
      <c r="H94" s="35"/>
      <c r="I94" s="36">
        <f>IFERROR(_xlfn.FORECAST.LINEAR('BD_LeiturasHidrômetro_PRJ03'!$A94,G:G,A:A),"0000")</f>
        <v>26803.14644</v>
      </c>
      <c r="J94" s="36">
        <f>IF('BD_LeiturasHidrômetro_PRJ03'!$G94&amp;'BD_LeiturasHidrômetro_PRJ03'!$H94="",'BD_LeiturasHidrômetro_PRJ03'!$I94,'BD_LeiturasHidrômetro_PRJ03'!$G94&amp;'BD_LeiturasHidrômetro_PRJ03'!$H94)</f>
        <v>26803.14644</v>
      </c>
      <c r="K94" s="36">
        <f t="shared" si="1"/>
        <v>26784.06695</v>
      </c>
      <c r="L94" s="15"/>
      <c r="M94" s="15"/>
      <c r="N94" s="17">
        <f t="shared" si="2"/>
        <v>19.07949791</v>
      </c>
      <c r="O94" s="15" t="s">
        <v>261</v>
      </c>
      <c r="R94" s="18"/>
      <c r="S94" s="19"/>
    </row>
    <row r="95" ht="15.75" customHeight="1">
      <c r="A95" s="10">
        <v>110.0</v>
      </c>
      <c r="B95" s="11" t="s">
        <v>119</v>
      </c>
      <c r="C95" s="12">
        <v>12.0</v>
      </c>
      <c r="D95" s="10" t="s">
        <v>108</v>
      </c>
      <c r="E95" s="10">
        <v>2025.0</v>
      </c>
      <c r="F95" s="10" t="s">
        <v>30</v>
      </c>
      <c r="G95" s="35"/>
      <c r="H95" s="35"/>
      <c r="I95" s="36">
        <f>IFERROR(_xlfn.FORECAST.LINEAR('BD_LeiturasHidrômetro_PRJ03'!$A95,G:G,A:A),"0000")</f>
        <v>26822.22594</v>
      </c>
      <c r="J95" s="36">
        <f>IF('BD_LeiturasHidrômetro_PRJ03'!$G95&amp;'BD_LeiturasHidrômetro_PRJ03'!$H95="",'BD_LeiturasHidrômetro_PRJ03'!$I95,'BD_LeiturasHidrômetro_PRJ03'!$G95&amp;'BD_LeiturasHidrômetro_PRJ03'!$H95)</f>
        <v>26822.22594</v>
      </c>
      <c r="K95" s="36">
        <f t="shared" si="1"/>
        <v>26803.14644</v>
      </c>
      <c r="L95" s="15"/>
      <c r="M95" s="15"/>
      <c r="N95" s="17">
        <f t="shared" si="2"/>
        <v>19.07949791</v>
      </c>
      <c r="O95" s="15" t="s">
        <v>261</v>
      </c>
      <c r="R95" s="18"/>
      <c r="S95" s="19"/>
    </row>
    <row r="96" ht="15.75" customHeight="1">
      <c r="A96" s="10">
        <v>111.0</v>
      </c>
      <c r="B96" s="11" t="s">
        <v>120</v>
      </c>
      <c r="C96" s="12">
        <v>13.0</v>
      </c>
      <c r="D96" s="10" t="s">
        <v>108</v>
      </c>
      <c r="E96" s="10">
        <v>2025.0</v>
      </c>
      <c r="F96" s="10" t="s">
        <v>32</v>
      </c>
      <c r="G96" s="35"/>
      <c r="H96" s="35"/>
      <c r="I96" s="36">
        <f>IFERROR(_xlfn.FORECAST.LINEAR('BD_LeiturasHidrômetro_PRJ03'!$A96,G:G,A:A),"0000")</f>
        <v>26841.30544</v>
      </c>
      <c r="J96" s="36">
        <f>IF('BD_LeiturasHidrômetro_PRJ03'!$G96&amp;'BD_LeiturasHidrômetro_PRJ03'!$H96="",'BD_LeiturasHidrômetro_PRJ03'!$I96,'BD_LeiturasHidrômetro_PRJ03'!$G96&amp;'BD_LeiturasHidrômetro_PRJ03'!$H96)</f>
        <v>26841.30544</v>
      </c>
      <c r="K96" s="36">
        <f t="shared" si="1"/>
        <v>26822.22594</v>
      </c>
      <c r="L96" s="15"/>
      <c r="M96" s="15"/>
      <c r="N96" s="17">
        <f t="shared" si="2"/>
        <v>19.07949791</v>
      </c>
      <c r="O96" s="15" t="s">
        <v>261</v>
      </c>
      <c r="R96" s="18"/>
      <c r="S96" s="19"/>
    </row>
    <row r="97" ht="15.75" customHeight="1">
      <c r="A97" s="10">
        <v>112.0</v>
      </c>
      <c r="B97" s="11" t="s">
        <v>121</v>
      </c>
      <c r="C97" s="12">
        <v>14.0</v>
      </c>
      <c r="D97" s="10" t="s">
        <v>108</v>
      </c>
      <c r="E97" s="10">
        <v>2025.0</v>
      </c>
      <c r="F97" s="10" t="s">
        <v>34</v>
      </c>
      <c r="G97" s="35"/>
      <c r="H97" s="35"/>
      <c r="I97" s="36">
        <f>IFERROR(_xlfn.FORECAST.LINEAR('BD_LeiturasHidrômetro_PRJ03'!$A97,G:G,A:A),"0000")</f>
        <v>26860.38494</v>
      </c>
      <c r="J97" s="36">
        <f>IF('BD_LeiturasHidrômetro_PRJ03'!$G97&amp;'BD_LeiturasHidrômetro_PRJ03'!$H97="",'BD_LeiturasHidrômetro_PRJ03'!$I97,'BD_LeiturasHidrômetro_PRJ03'!$G97&amp;'BD_LeiturasHidrômetro_PRJ03'!$H97)</f>
        <v>26860.38494</v>
      </c>
      <c r="K97" s="36">
        <f t="shared" si="1"/>
        <v>26841.30544</v>
      </c>
      <c r="L97" s="15"/>
      <c r="M97" s="15"/>
      <c r="N97" s="17">
        <f t="shared" si="2"/>
        <v>19.07949791</v>
      </c>
      <c r="O97" s="15" t="s">
        <v>261</v>
      </c>
      <c r="R97" s="18"/>
      <c r="S97" s="19"/>
    </row>
    <row r="98" ht="15.75" customHeight="1">
      <c r="A98" s="10">
        <v>113.0</v>
      </c>
      <c r="B98" s="11" t="s">
        <v>122</v>
      </c>
      <c r="C98" s="12">
        <v>15.0</v>
      </c>
      <c r="D98" s="10" t="s">
        <v>108</v>
      </c>
      <c r="E98" s="10">
        <v>2025.0</v>
      </c>
      <c r="F98" s="10" t="s">
        <v>19</v>
      </c>
      <c r="G98" s="35"/>
      <c r="H98" s="35"/>
      <c r="I98" s="36">
        <f>IFERROR(_xlfn.FORECAST.LINEAR('BD_LeiturasHidrômetro_PRJ03'!$A98,G:G,A:A),"0000")</f>
        <v>26879.46444</v>
      </c>
      <c r="J98" s="36">
        <f>IF('BD_LeiturasHidrômetro_PRJ03'!$G98&amp;'BD_LeiturasHidrômetro_PRJ03'!$H98="",'BD_LeiturasHidrômetro_PRJ03'!$I98,'BD_LeiturasHidrômetro_PRJ03'!$G98&amp;'BD_LeiturasHidrômetro_PRJ03'!$H98)</f>
        <v>26879.46444</v>
      </c>
      <c r="K98" s="36">
        <f t="shared" si="1"/>
        <v>26860.38494</v>
      </c>
      <c r="L98" s="15"/>
      <c r="M98" s="15"/>
      <c r="N98" s="17">
        <f t="shared" si="2"/>
        <v>19.07949791</v>
      </c>
      <c r="O98" s="15" t="s">
        <v>261</v>
      </c>
      <c r="R98" s="18"/>
      <c r="S98" s="19"/>
    </row>
    <row r="99" ht="15.75" customHeight="1">
      <c r="A99" s="10">
        <v>114.0</v>
      </c>
      <c r="B99" s="11" t="s">
        <v>123</v>
      </c>
      <c r="C99" s="12">
        <v>16.0</v>
      </c>
      <c r="D99" s="10" t="s">
        <v>108</v>
      </c>
      <c r="E99" s="10">
        <v>2025.0</v>
      </c>
      <c r="F99" s="10" t="s">
        <v>23</v>
      </c>
      <c r="G99" s="35"/>
      <c r="H99" s="35"/>
      <c r="I99" s="36">
        <f>IFERROR(_xlfn.FORECAST.LINEAR('BD_LeiturasHidrômetro_PRJ03'!$A99,G:G,A:A),"0000")</f>
        <v>26898.54393</v>
      </c>
      <c r="J99" s="36">
        <f>IF('BD_LeiturasHidrômetro_PRJ03'!$G99&amp;'BD_LeiturasHidrômetro_PRJ03'!$H99="",'BD_LeiturasHidrômetro_PRJ03'!$I99,'BD_LeiturasHidrômetro_PRJ03'!$G99&amp;'BD_LeiturasHidrômetro_PRJ03'!$H99)</f>
        <v>26898.54393</v>
      </c>
      <c r="K99" s="36">
        <f t="shared" si="1"/>
        <v>26879.46444</v>
      </c>
      <c r="L99" s="15"/>
      <c r="M99" s="15"/>
      <c r="N99" s="17">
        <f t="shared" si="2"/>
        <v>19.07949791</v>
      </c>
      <c r="O99" s="15" t="s">
        <v>261</v>
      </c>
      <c r="R99" s="18"/>
      <c r="S99" s="19"/>
    </row>
    <row r="100" ht="15.75" customHeight="1">
      <c r="A100" s="10">
        <v>115.0</v>
      </c>
      <c r="B100" s="11" t="s">
        <v>124</v>
      </c>
      <c r="C100" s="12">
        <v>17.0</v>
      </c>
      <c r="D100" s="10" t="s">
        <v>108</v>
      </c>
      <c r="E100" s="10">
        <v>2025.0</v>
      </c>
      <c r="F100" s="10" t="s">
        <v>26</v>
      </c>
      <c r="G100" s="35"/>
      <c r="H100" s="35"/>
      <c r="I100" s="36">
        <f>IFERROR(_xlfn.FORECAST.LINEAR('BD_LeiturasHidrômetro_PRJ03'!$A100,G:G,A:A),"0000")</f>
        <v>26917.62343</v>
      </c>
      <c r="J100" s="36">
        <f>IF('BD_LeiturasHidrômetro_PRJ03'!$G100&amp;'BD_LeiturasHidrômetro_PRJ03'!$H100="",'BD_LeiturasHidrômetro_PRJ03'!$I100,'BD_LeiturasHidrômetro_PRJ03'!$G100&amp;'BD_LeiturasHidrômetro_PRJ03'!$H100)</f>
        <v>26917.62343</v>
      </c>
      <c r="K100" s="36">
        <f t="shared" si="1"/>
        <v>26898.54393</v>
      </c>
      <c r="L100" s="15"/>
      <c r="M100" s="15"/>
      <c r="N100" s="17">
        <f t="shared" si="2"/>
        <v>19.07949791</v>
      </c>
      <c r="O100" s="15" t="s">
        <v>261</v>
      </c>
      <c r="R100" s="18"/>
      <c r="S100" s="19"/>
    </row>
    <row r="101" ht="15.75" customHeight="1">
      <c r="A101" s="10">
        <v>116.0</v>
      </c>
      <c r="B101" s="11" t="s">
        <v>125</v>
      </c>
      <c r="C101" s="12">
        <v>18.0</v>
      </c>
      <c r="D101" s="10" t="s">
        <v>108</v>
      </c>
      <c r="E101" s="10">
        <v>2025.0</v>
      </c>
      <c r="F101" s="10" t="s">
        <v>28</v>
      </c>
      <c r="G101" s="35"/>
      <c r="H101" s="35"/>
      <c r="I101" s="36">
        <f>IFERROR(_xlfn.FORECAST.LINEAR('BD_LeiturasHidrômetro_PRJ03'!$A101,G:G,A:A),"0000")</f>
        <v>26936.70293</v>
      </c>
      <c r="J101" s="36">
        <f>IF('BD_LeiturasHidrômetro_PRJ03'!$G101&amp;'BD_LeiturasHidrômetro_PRJ03'!$H101="",'BD_LeiturasHidrômetro_PRJ03'!$I101,'BD_LeiturasHidrômetro_PRJ03'!$G101&amp;'BD_LeiturasHidrômetro_PRJ03'!$H101)</f>
        <v>26936.70293</v>
      </c>
      <c r="K101" s="36">
        <f t="shared" si="1"/>
        <v>26917.62343</v>
      </c>
      <c r="L101" s="15"/>
      <c r="M101" s="15"/>
      <c r="N101" s="17">
        <f t="shared" si="2"/>
        <v>19.07949791</v>
      </c>
      <c r="O101" s="15" t="s">
        <v>261</v>
      </c>
      <c r="R101" s="18"/>
      <c r="S101" s="19"/>
    </row>
    <row r="102" ht="15.75" customHeight="1">
      <c r="A102" s="10">
        <v>117.0</v>
      </c>
      <c r="B102" s="11" t="s">
        <v>126</v>
      </c>
      <c r="C102" s="12">
        <v>19.0</v>
      </c>
      <c r="D102" s="10" t="s">
        <v>108</v>
      </c>
      <c r="E102" s="10">
        <v>2025.0</v>
      </c>
      <c r="F102" s="10" t="s">
        <v>30</v>
      </c>
      <c r="G102" s="35"/>
      <c r="H102" s="35"/>
      <c r="I102" s="36">
        <f>IFERROR(_xlfn.FORECAST.LINEAR('BD_LeiturasHidrômetro_PRJ03'!$A102,G:G,A:A),"0000")</f>
        <v>26955.78243</v>
      </c>
      <c r="J102" s="36">
        <f>IF('BD_LeiturasHidrômetro_PRJ03'!$G102&amp;'BD_LeiturasHidrômetro_PRJ03'!$H102="",'BD_LeiturasHidrômetro_PRJ03'!$I102,'BD_LeiturasHidrômetro_PRJ03'!$G102&amp;'BD_LeiturasHidrômetro_PRJ03'!$H102)</f>
        <v>26955.78243</v>
      </c>
      <c r="K102" s="36">
        <f t="shared" si="1"/>
        <v>26936.70293</v>
      </c>
      <c r="L102" s="15"/>
      <c r="M102" s="15"/>
      <c r="N102" s="17">
        <f t="shared" si="2"/>
        <v>19.07949791</v>
      </c>
      <c r="O102" s="15" t="s">
        <v>261</v>
      </c>
      <c r="R102" s="18"/>
      <c r="S102" s="19"/>
    </row>
    <row r="103" ht="15.75" customHeight="1">
      <c r="A103" s="10">
        <v>118.0</v>
      </c>
      <c r="B103" s="11" t="s">
        <v>127</v>
      </c>
      <c r="C103" s="12">
        <v>20.0</v>
      </c>
      <c r="D103" s="10" t="s">
        <v>108</v>
      </c>
      <c r="E103" s="10">
        <v>2025.0</v>
      </c>
      <c r="F103" s="10" t="s">
        <v>32</v>
      </c>
      <c r="G103" s="35"/>
      <c r="H103" s="35"/>
      <c r="I103" s="36">
        <f>IFERROR(_xlfn.FORECAST.LINEAR('BD_LeiturasHidrômetro_PRJ03'!$A103,G:G,A:A),"0000")</f>
        <v>26974.86192</v>
      </c>
      <c r="J103" s="36">
        <f>IF('BD_LeiturasHidrômetro_PRJ03'!$G103&amp;'BD_LeiturasHidrômetro_PRJ03'!$H103="",'BD_LeiturasHidrômetro_PRJ03'!$I103,'BD_LeiturasHidrômetro_PRJ03'!$G103&amp;'BD_LeiturasHidrômetro_PRJ03'!$H103)</f>
        <v>26974.86192</v>
      </c>
      <c r="K103" s="36">
        <f t="shared" si="1"/>
        <v>26955.78243</v>
      </c>
      <c r="L103" s="15"/>
      <c r="M103" s="15"/>
      <c r="N103" s="17">
        <f t="shared" si="2"/>
        <v>19.07949791</v>
      </c>
      <c r="O103" s="15" t="s">
        <v>261</v>
      </c>
      <c r="R103" s="18"/>
      <c r="S103" s="19"/>
    </row>
    <row r="104" ht="15.75" customHeight="1">
      <c r="A104" s="10">
        <v>119.0</v>
      </c>
      <c r="B104" s="11" t="s">
        <v>128</v>
      </c>
      <c r="C104" s="12">
        <v>21.0</v>
      </c>
      <c r="D104" s="10" t="s">
        <v>108</v>
      </c>
      <c r="E104" s="10">
        <v>2025.0</v>
      </c>
      <c r="F104" s="10" t="s">
        <v>34</v>
      </c>
      <c r="G104" s="35"/>
      <c r="H104" s="35"/>
      <c r="I104" s="36">
        <f>IFERROR(_xlfn.FORECAST.LINEAR('BD_LeiturasHidrômetro_PRJ03'!$A104,G:G,A:A),"0000")</f>
        <v>26993.94142</v>
      </c>
      <c r="J104" s="36">
        <f>IF('BD_LeiturasHidrômetro_PRJ03'!$G104&amp;'BD_LeiturasHidrômetro_PRJ03'!$H104="",'BD_LeiturasHidrômetro_PRJ03'!$I104,'BD_LeiturasHidrômetro_PRJ03'!$G104&amp;'BD_LeiturasHidrômetro_PRJ03'!$H104)</f>
        <v>26993.94142</v>
      </c>
      <c r="K104" s="36">
        <f t="shared" si="1"/>
        <v>26974.86192</v>
      </c>
      <c r="L104" s="15"/>
      <c r="M104" s="15"/>
      <c r="N104" s="17">
        <f t="shared" si="2"/>
        <v>19.07949791</v>
      </c>
      <c r="O104" s="15" t="s">
        <v>261</v>
      </c>
      <c r="R104" s="18"/>
      <c r="S104" s="19"/>
    </row>
    <row r="105" ht="15.75" customHeight="1">
      <c r="A105" s="10">
        <v>120.0</v>
      </c>
      <c r="B105" s="11" t="s">
        <v>129</v>
      </c>
      <c r="C105" s="12">
        <v>22.0</v>
      </c>
      <c r="D105" s="10" t="s">
        <v>108</v>
      </c>
      <c r="E105" s="10">
        <v>2025.0</v>
      </c>
      <c r="F105" s="10" t="s">
        <v>19</v>
      </c>
      <c r="G105" s="35"/>
      <c r="H105" s="35"/>
      <c r="I105" s="36">
        <f>IFERROR(_xlfn.FORECAST.LINEAR('BD_LeiturasHidrômetro_PRJ03'!$A105,G:G,A:A),"0000")</f>
        <v>27013.02092</v>
      </c>
      <c r="J105" s="36">
        <f>IF('BD_LeiturasHidrômetro_PRJ03'!$G105&amp;'BD_LeiturasHidrômetro_PRJ03'!$H105="",'BD_LeiturasHidrômetro_PRJ03'!$I105,'BD_LeiturasHidrômetro_PRJ03'!$G105&amp;'BD_LeiturasHidrômetro_PRJ03'!$H105)</f>
        <v>27013.02092</v>
      </c>
      <c r="K105" s="36">
        <f t="shared" si="1"/>
        <v>26993.94142</v>
      </c>
      <c r="L105" s="15"/>
      <c r="M105" s="15"/>
      <c r="N105" s="17">
        <f t="shared" si="2"/>
        <v>19.07949791</v>
      </c>
      <c r="O105" s="15" t="s">
        <v>261</v>
      </c>
      <c r="R105" s="18"/>
      <c r="S105" s="19"/>
    </row>
    <row r="106" ht="15.75" customHeight="1">
      <c r="A106" s="10">
        <v>121.0</v>
      </c>
      <c r="B106" s="11" t="s">
        <v>130</v>
      </c>
      <c r="C106" s="12">
        <v>23.0</v>
      </c>
      <c r="D106" s="10" t="s">
        <v>108</v>
      </c>
      <c r="E106" s="10">
        <v>2025.0</v>
      </c>
      <c r="F106" s="10" t="s">
        <v>23</v>
      </c>
      <c r="G106" s="35"/>
      <c r="H106" s="35"/>
      <c r="I106" s="36">
        <f>IFERROR(_xlfn.FORECAST.LINEAR('BD_LeiturasHidrômetro_PRJ03'!$A106,G:G,A:A),"0000")</f>
        <v>27032.10042</v>
      </c>
      <c r="J106" s="36">
        <f>IF('BD_LeiturasHidrômetro_PRJ03'!$G106&amp;'BD_LeiturasHidrômetro_PRJ03'!$H106="",'BD_LeiturasHidrômetro_PRJ03'!$I106,'BD_LeiturasHidrômetro_PRJ03'!$G106&amp;'BD_LeiturasHidrômetro_PRJ03'!$H106)</f>
        <v>27032.10042</v>
      </c>
      <c r="K106" s="36">
        <f t="shared" si="1"/>
        <v>27013.02092</v>
      </c>
      <c r="L106" s="15"/>
      <c r="M106" s="15"/>
      <c r="N106" s="17">
        <f t="shared" si="2"/>
        <v>19.07949791</v>
      </c>
      <c r="O106" s="15" t="s">
        <v>261</v>
      </c>
      <c r="S106" s="19"/>
    </row>
    <row r="107" ht="15.75" customHeight="1">
      <c r="A107" s="10">
        <v>122.0</v>
      </c>
      <c r="B107" s="11" t="s">
        <v>131</v>
      </c>
      <c r="C107" s="12">
        <v>24.0</v>
      </c>
      <c r="D107" s="10" t="s">
        <v>108</v>
      </c>
      <c r="E107" s="10">
        <v>2025.0</v>
      </c>
      <c r="F107" s="10" t="s">
        <v>26</v>
      </c>
      <c r="G107" s="35"/>
      <c r="H107" s="35"/>
      <c r="I107" s="36">
        <f>IFERROR(_xlfn.FORECAST.LINEAR('BD_LeiturasHidrômetro_PRJ03'!$A107,G:G,A:A),"0000")</f>
        <v>27051.17992</v>
      </c>
      <c r="J107" s="36">
        <f>IF('BD_LeiturasHidrômetro_PRJ03'!$G107&amp;'BD_LeiturasHidrômetro_PRJ03'!$H107="",'BD_LeiturasHidrômetro_PRJ03'!$I107,'BD_LeiturasHidrômetro_PRJ03'!$G107&amp;'BD_LeiturasHidrômetro_PRJ03'!$H107)</f>
        <v>27051.17992</v>
      </c>
      <c r="K107" s="36">
        <f t="shared" si="1"/>
        <v>27032.10042</v>
      </c>
      <c r="L107" s="15"/>
      <c r="M107" s="15"/>
      <c r="N107" s="17">
        <f t="shared" si="2"/>
        <v>19.07949791</v>
      </c>
      <c r="O107" s="15" t="s">
        <v>261</v>
      </c>
      <c r="S107" s="19"/>
    </row>
    <row r="108" ht="15.75" customHeight="1">
      <c r="A108" s="10">
        <v>123.0</v>
      </c>
      <c r="B108" s="11" t="s">
        <v>132</v>
      </c>
      <c r="C108" s="12">
        <v>25.0</v>
      </c>
      <c r="D108" s="10" t="s">
        <v>108</v>
      </c>
      <c r="E108" s="10">
        <v>2025.0</v>
      </c>
      <c r="F108" s="10" t="s">
        <v>28</v>
      </c>
      <c r="G108" s="35"/>
      <c r="H108" s="35"/>
      <c r="I108" s="36">
        <f>IFERROR(_xlfn.FORECAST.LINEAR('BD_LeiturasHidrômetro_PRJ03'!$A108,G:G,A:A),"0000")</f>
        <v>27070.25941</v>
      </c>
      <c r="J108" s="36">
        <f>IF('BD_LeiturasHidrômetro_PRJ03'!$G108&amp;'BD_LeiturasHidrômetro_PRJ03'!$H108="",'BD_LeiturasHidrômetro_PRJ03'!$I108,'BD_LeiturasHidrômetro_PRJ03'!$G108&amp;'BD_LeiturasHidrômetro_PRJ03'!$H108)</f>
        <v>27070.25941</v>
      </c>
      <c r="K108" s="36">
        <f t="shared" si="1"/>
        <v>27051.17992</v>
      </c>
      <c r="L108" s="15"/>
      <c r="M108" s="15"/>
      <c r="N108" s="17">
        <f t="shared" si="2"/>
        <v>19.07949791</v>
      </c>
      <c r="O108" s="15" t="s">
        <v>261</v>
      </c>
      <c r="S108" s="19"/>
    </row>
    <row r="109" ht="15.75" customHeight="1">
      <c r="A109" s="10">
        <v>124.0</v>
      </c>
      <c r="B109" s="11" t="s">
        <v>133</v>
      </c>
      <c r="C109" s="12">
        <v>26.0</v>
      </c>
      <c r="D109" s="10" t="s">
        <v>108</v>
      </c>
      <c r="E109" s="10">
        <v>2025.0</v>
      </c>
      <c r="F109" s="10" t="s">
        <v>30</v>
      </c>
      <c r="G109" s="35"/>
      <c r="H109" s="35"/>
      <c r="I109" s="36">
        <f>IFERROR(_xlfn.FORECAST.LINEAR('BD_LeiturasHidrômetro_PRJ03'!$A109,G:G,A:A),"0000")</f>
        <v>27089.33891</v>
      </c>
      <c r="J109" s="36">
        <f>IF('BD_LeiturasHidrômetro_PRJ03'!$G109&amp;'BD_LeiturasHidrômetro_PRJ03'!$H109="",'BD_LeiturasHidrômetro_PRJ03'!$I109,'BD_LeiturasHidrômetro_PRJ03'!$G109&amp;'BD_LeiturasHidrômetro_PRJ03'!$H109)</f>
        <v>27089.33891</v>
      </c>
      <c r="K109" s="36">
        <f t="shared" si="1"/>
        <v>27070.25941</v>
      </c>
      <c r="L109" s="15"/>
      <c r="M109" s="15"/>
      <c r="N109" s="17">
        <f t="shared" si="2"/>
        <v>19.07949791</v>
      </c>
      <c r="O109" s="15" t="s">
        <v>261</v>
      </c>
      <c r="S109" s="19"/>
    </row>
    <row r="110" ht="15.75" customHeight="1">
      <c r="A110" s="10">
        <v>125.0</v>
      </c>
      <c r="B110" s="11" t="s">
        <v>134</v>
      </c>
      <c r="C110" s="12">
        <v>27.0</v>
      </c>
      <c r="D110" s="10" t="s">
        <v>108</v>
      </c>
      <c r="E110" s="10">
        <v>2025.0</v>
      </c>
      <c r="F110" s="10" t="s">
        <v>32</v>
      </c>
      <c r="G110" s="35"/>
      <c r="H110" s="35"/>
      <c r="I110" s="36">
        <f>IFERROR(_xlfn.FORECAST.LINEAR('BD_LeiturasHidrômetro_PRJ03'!$A110,G:G,A:A),"0000")</f>
        <v>27108.41841</v>
      </c>
      <c r="J110" s="36">
        <f>IF('BD_LeiturasHidrômetro_PRJ03'!$G110&amp;'BD_LeiturasHidrômetro_PRJ03'!$H110="",'BD_LeiturasHidrômetro_PRJ03'!$I110,'BD_LeiturasHidrômetro_PRJ03'!$G110&amp;'BD_LeiturasHidrômetro_PRJ03'!$H110)</f>
        <v>27108.41841</v>
      </c>
      <c r="K110" s="36">
        <f t="shared" si="1"/>
        <v>27089.33891</v>
      </c>
      <c r="L110" s="15"/>
      <c r="M110" s="15"/>
      <c r="N110" s="17">
        <f t="shared" si="2"/>
        <v>19.07949791</v>
      </c>
      <c r="O110" s="15" t="s">
        <v>261</v>
      </c>
      <c r="S110" s="19"/>
    </row>
    <row r="111" ht="15.75" customHeight="1">
      <c r="A111" s="10">
        <v>126.0</v>
      </c>
      <c r="B111" s="11" t="s">
        <v>135</v>
      </c>
      <c r="C111" s="12">
        <v>28.0</v>
      </c>
      <c r="D111" s="10" t="s">
        <v>108</v>
      </c>
      <c r="E111" s="10">
        <v>2025.0</v>
      </c>
      <c r="F111" s="10" t="s">
        <v>34</v>
      </c>
      <c r="G111" s="35"/>
      <c r="H111" s="35"/>
      <c r="I111" s="36">
        <f>IFERROR(_xlfn.FORECAST.LINEAR('BD_LeiturasHidrômetro_PRJ03'!$A111,G:G,A:A),"0000")</f>
        <v>27127.49791</v>
      </c>
      <c r="J111" s="36">
        <f>IF('BD_LeiturasHidrômetro_PRJ03'!$G111&amp;'BD_LeiturasHidrômetro_PRJ03'!$H111="",'BD_LeiturasHidrômetro_PRJ03'!$I111,'BD_LeiturasHidrômetro_PRJ03'!$G111&amp;'BD_LeiturasHidrômetro_PRJ03'!$H111)</f>
        <v>27127.49791</v>
      </c>
      <c r="K111" s="36">
        <f t="shared" si="1"/>
        <v>27108.41841</v>
      </c>
      <c r="L111" s="15"/>
      <c r="M111" s="15"/>
      <c r="N111" s="17">
        <f t="shared" si="2"/>
        <v>19.07949791</v>
      </c>
      <c r="O111" s="15" t="s">
        <v>261</v>
      </c>
      <c r="S111" s="19"/>
    </row>
    <row r="112" ht="15.75" customHeight="1">
      <c r="A112" s="10">
        <v>127.0</v>
      </c>
      <c r="B112" s="11" t="s">
        <v>136</v>
      </c>
      <c r="C112" s="12">
        <v>29.0</v>
      </c>
      <c r="D112" s="10" t="s">
        <v>108</v>
      </c>
      <c r="E112" s="10">
        <v>2025.0</v>
      </c>
      <c r="F112" s="10" t="s">
        <v>19</v>
      </c>
      <c r="G112" s="35"/>
      <c r="H112" s="35"/>
      <c r="I112" s="36">
        <f>IFERROR(_xlfn.FORECAST.LINEAR('BD_LeiturasHidrômetro_PRJ03'!$A112,G:G,A:A),"0000")</f>
        <v>27146.57741</v>
      </c>
      <c r="J112" s="36">
        <f>IF('BD_LeiturasHidrômetro_PRJ03'!$G112&amp;'BD_LeiturasHidrômetro_PRJ03'!$H112="",'BD_LeiturasHidrômetro_PRJ03'!$I112,'BD_LeiturasHidrômetro_PRJ03'!$G112&amp;'BD_LeiturasHidrômetro_PRJ03'!$H112)</f>
        <v>27146.57741</v>
      </c>
      <c r="K112" s="36">
        <f t="shared" si="1"/>
        <v>27127.49791</v>
      </c>
      <c r="L112" s="15"/>
      <c r="M112" s="15"/>
      <c r="N112" s="17">
        <f t="shared" si="2"/>
        <v>19.07949791</v>
      </c>
      <c r="O112" s="15" t="s">
        <v>261</v>
      </c>
      <c r="S112" s="19"/>
    </row>
    <row r="113" ht="15.75" customHeight="1">
      <c r="A113" s="10">
        <v>128.0</v>
      </c>
      <c r="B113" s="11" t="s">
        <v>137</v>
      </c>
      <c r="C113" s="12">
        <v>30.0</v>
      </c>
      <c r="D113" s="10" t="s">
        <v>108</v>
      </c>
      <c r="E113" s="10">
        <v>2025.0</v>
      </c>
      <c r="F113" s="10" t="s">
        <v>23</v>
      </c>
      <c r="G113" s="35"/>
      <c r="H113" s="35"/>
      <c r="I113" s="36">
        <f>IFERROR(_xlfn.FORECAST.LINEAR('BD_LeiturasHidrômetro_PRJ03'!$A113,G:G,A:A),"0000")</f>
        <v>27165.6569</v>
      </c>
      <c r="J113" s="36">
        <f>IF('BD_LeiturasHidrômetro_PRJ03'!$G113&amp;'BD_LeiturasHidrômetro_PRJ03'!$H113="",'BD_LeiturasHidrômetro_PRJ03'!$I113,'BD_LeiturasHidrômetro_PRJ03'!$G113&amp;'BD_LeiturasHidrômetro_PRJ03'!$H113)</f>
        <v>27165.6569</v>
      </c>
      <c r="K113" s="36">
        <f t="shared" si="1"/>
        <v>27146.57741</v>
      </c>
      <c r="L113" s="15"/>
      <c r="M113" s="15"/>
      <c r="N113" s="17">
        <f t="shared" si="2"/>
        <v>19.07949791</v>
      </c>
      <c r="O113" s="15" t="s">
        <v>261</v>
      </c>
      <c r="S113" s="19"/>
    </row>
    <row r="114" ht="15.75" customHeight="1">
      <c r="A114" s="10">
        <v>129.0</v>
      </c>
      <c r="B114" s="11" t="s">
        <v>138</v>
      </c>
      <c r="C114" s="12">
        <v>1.0</v>
      </c>
      <c r="D114" s="10" t="s">
        <v>139</v>
      </c>
      <c r="E114" s="10">
        <v>2025.0</v>
      </c>
      <c r="F114" s="10" t="s">
        <v>26</v>
      </c>
      <c r="G114" s="35"/>
      <c r="H114" s="35"/>
      <c r="I114" s="36">
        <f>IFERROR(_xlfn.FORECAST.LINEAR('BD_LeiturasHidrômetro_PRJ03'!$A114,G:G,A:A),"0000")</f>
        <v>27184.7364</v>
      </c>
      <c r="J114" s="36">
        <f>IF('BD_LeiturasHidrômetro_PRJ03'!$G114&amp;'BD_LeiturasHidrômetro_PRJ03'!$H114="",'BD_LeiturasHidrômetro_PRJ03'!$I114,'BD_LeiturasHidrômetro_PRJ03'!$G114&amp;'BD_LeiturasHidrômetro_PRJ03'!$H114)</f>
        <v>27184.7364</v>
      </c>
      <c r="K114" s="36">
        <f t="shared" si="1"/>
        <v>27165.6569</v>
      </c>
      <c r="L114" s="15"/>
      <c r="M114" s="15"/>
      <c r="N114" s="17">
        <f t="shared" si="2"/>
        <v>19.07949791</v>
      </c>
      <c r="O114" s="15" t="s">
        <v>261</v>
      </c>
      <c r="S114" s="19"/>
    </row>
    <row r="115" ht="15.75" customHeight="1">
      <c r="A115" s="10">
        <v>130.0</v>
      </c>
      <c r="B115" s="11" t="s">
        <v>140</v>
      </c>
      <c r="C115" s="12">
        <v>2.0</v>
      </c>
      <c r="D115" s="10" t="s">
        <v>139</v>
      </c>
      <c r="E115" s="10">
        <v>2025.0</v>
      </c>
      <c r="F115" s="10" t="s">
        <v>28</v>
      </c>
      <c r="G115" s="35"/>
      <c r="H115" s="35"/>
      <c r="I115" s="36">
        <f>IFERROR(_xlfn.FORECAST.LINEAR('BD_LeiturasHidrômetro_PRJ03'!$A115,G:G,A:A),"0000")</f>
        <v>27203.8159</v>
      </c>
      <c r="J115" s="36">
        <f>IF('BD_LeiturasHidrômetro_PRJ03'!$G115&amp;'BD_LeiturasHidrômetro_PRJ03'!$H115="",'BD_LeiturasHidrômetro_PRJ03'!$I115,'BD_LeiturasHidrômetro_PRJ03'!$G115&amp;'BD_LeiturasHidrômetro_PRJ03'!$H115)</f>
        <v>27203.8159</v>
      </c>
      <c r="K115" s="36">
        <f t="shared" si="1"/>
        <v>27184.7364</v>
      </c>
      <c r="L115" s="15"/>
      <c r="M115" s="15"/>
      <c r="N115" s="17">
        <f t="shared" si="2"/>
        <v>19.07949791</v>
      </c>
      <c r="O115" s="15" t="s">
        <v>261</v>
      </c>
      <c r="S115" s="19"/>
    </row>
    <row r="116" ht="15.75" customHeight="1">
      <c r="A116" s="10">
        <v>131.0</v>
      </c>
      <c r="B116" s="11" t="s">
        <v>141</v>
      </c>
      <c r="C116" s="12">
        <v>3.0</v>
      </c>
      <c r="D116" s="10" t="s">
        <v>139</v>
      </c>
      <c r="E116" s="10">
        <v>2025.0</v>
      </c>
      <c r="F116" s="10" t="s">
        <v>30</v>
      </c>
      <c r="G116" s="35"/>
      <c r="H116" s="35"/>
      <c r="I116" s="36">
        <f>IFERROR(_xlfn.FORECAST.LINEAR('BD_LeiturasHidrômetro_PRJ03'!$A116,G:G,A:A),"0000")</f>
        <v>27222.8954</v>
      </c>
      <c r="J116" s="36">
        <f>IF('BD_LeiturasHidrômetro_PRJ03'!$G116&amp;'BD_LeiturasHidrômetro_PRJ03'!$H116="",'BD_LeiturasHidrômetro_PRJ03'!$I116,'BD_LeiturasHidrômetro_PRJ03'!$G116&amp;'BD_LeiturasHidrômetro_PRJ03'!$H116)</f>
        <v>27222.8954</v>
      </c>
      <c r="K116" s="36">
        <f t="shared" si="1"/>
        <v>27203.8159</v>
      </c>
      <c r="L116" s="15"/>
      <c r="M116" s="15"/>
      <c r="N116" s="17">
        <f t="shared" si="2"/>
        <v>19.07949791</v>
      </c>
      <c r="O116" s="15" t="s">
        <v>261</v>
      </c>
      <c r="S116" s="19"/>
    </row>
    <row r="117" ht="15.75" customHeight="1">
      <c r="A117" s="10">
        <v>132.0</v>
      </c>
      <c r="B117" s="11" t="s">
        <v>142</v>
      </c>
      <c r="C117" s="12">
        <v>4.0</v>
      </c>
      <c r="D117" s="10" t="s">
        <v>139</v>
      </c>
      <c r="E117" s="10">
        <v>2025.0</v>
      </c>
      <c r="F117" s="10" t="s">
        <v>32</v>
      </c>
      <c r="G117" s="35"/>
      <c r="H117" s="35"/>
      <c r="I117" s="36">
        <f>IFERROR(_xlfn.FORECAST.LINEAR('BD_LeiturasHidrômetro_PRJ03'!$A117,G:G,A:A),"0000")</f>
        <v>27241.9749</v>
      </c>
      <c r="J117" s="36">
        <f>IF('BD_LeiturasHidrômetro_PRJ03'!$G117&amp;'BD_LeiturasHidrômetro_PRJ03'!$H117="",'BD_LeiturasHidrômetro_PRJ03'!$I117,'BD_LeiturasHidrômetro_PRJ03'!$G117&amp;'BD_LeiturasHidrômetro_PRJ03'!$H117)</f>
        <v>27241.9749</v>
      </c>
      <c r="K117" s="36">
        <f t="shared" si="1"/>
        <v>27222.8954</v>
      </c>
      <c r="L117" s="15"/>
      <c r="M117" s="15"/>
      <c r="N117" s="17">
        <f t="shared" si="2"/>
        <v>19.07949791</v>
      </c>
      <c r="O117" s="15" t="s">
        <v>261</v>
      </c>
      <c r="S117" s="19"/>
    </row>
    <row r="118" ht="15.75" customHeight="1">
      <c r="A118" s="10">
        <v>133.0</v>
      </c>
      <c r="B118" s="11" t="s">
        <v>143</v>
      </c>
      <c r="C118" s="12">
        <v>5.0</v>
      </c>
      <c r="D118" s="10" t="s">
        <v>139</v>
      </c>
      <c r="E118" s="10">
        <v>2025.0</v>
      </c>
      <c r="F118" s="10" t="s">
        <v>34</v>
      </c>
      <c r="G118" s="35"/>
      <c r="H118" s="35"/>
      <c r="I118" s="36">
        <f>IFERROR(_xlfn.FORECAST.LINEAR('BD_LeiturasHidrômetro_PRJ03'!$A118,G:G,A:A),"0000")</f>
        <v>27261.05439</v>
      </c>
      <c r="J118" s="36">
        <f>IF('BD_LeiturasHidrômetro_PRJ03'!$G118&amp;'BD_LeiturasHidrômetro_PRJ03'!$H118="",'BD_LeiturasHidrômetro_PRJ03'!$I118,'BD_LeiturasHidrômetro_PRJ03'!$G118&amp;'BD_LeiturasHidrômetro_PRJ03'!$H118)</f>
        <v>27261.05439</v>
      </c>
      <c r="K118" s="36">
        <f t="shared" si="1"/>
        <v>27241.9749</v>
      </c>
      <c r="L118" s="15"/>
      <c r="M118" s="15"/>
      <c r="N118" s="17">
        <f t="shared" si="2"/>
        <v>19.07949791</v>
      </c>
      <c r="O118" s="15" t="s">
        <v>261</v>
      </c>
      <c r="S118" s="19"/>
    </row>
    <row r="119" ht="15.75" customHeight="1">
      <c r="A119" s="10">
        <v>134.0</v>
      </c>
      <c r="B119" s="11" t="s">
        <v>144</v>
      </c>
      <c r="C119" s="12">
        <v>6.0</v>
      </c>
      <c r="D119" s="10" t="s">
        <v>139</v>
      </c>
      <c r="E119" s="10">
        <v>2025.0</v>
      </c>
      <c r="F119" s="10" t="s">
        <v>19</v>
      </c>
      <c r="G119" s="35"/>
      <c r="H119" s="35"/>
      <c r="I119" s="36">
        <f>IFERROR(_xlfn.FORECAST.LINEAR('BD_LeiturasHidrômetro_PRJ03'!$A119,G:G,A:A),"0000")</f>
        <v>27280.13389</v>
      </c>
      <c r="J119" s="36">
        <f>IF('BD_LeiturasHidrômetro_PRJ03'!$G119&amp;'BD_LeiturasHidrômetro_PRJ03'!$H119="",'BD_LeiturasHidrômetro_PRJ03'!$I119,'BD_LeiturasHidrômetro_PRJ03'!$G119&amp;'BD_LeiturasHidrômetro_PRJ03'!$H119)</f>
        <v>27280.13389</v>
      </c>
      <c r="K119" s="36">
        <f t="shared" si="1"/>
        <v>27261.05439</v>
      </c>
      <c r="L119" s="15"/>
      <c r="M119" s="15"/>
      <c r="N119" s="17">
        <f t="shared" si="2"/>
        <v>19.07949791</v>
      </c>
      <c r="O119" s="15" t="s">
        <v>261</v>
      </c>
      <c r="S119" s="19"/>
    </row>
    <row r="120" ht="15.75" customHeight="1">
      <c r="A120" s="10">
        <v>135.0</v>
      </c>
      <c r="B120" s="11" t="s">
        <v>145</v>
      </c>
      <c r="C120" s="12">
        <v>7.0</v>
      </c>
      <c r="D120" s="10" t="s">
        <v>139</v>
      </c>
      <c r="E120" s="10">
        <v>2025.0</v>
      </c>
      <c r="F120" s="10" t="s">
        <v>23</v>
      </c>
      <c r="G120" s="35"/>
      <c r="H120" s="35"/>
      <c r="I120" s="36">
        <f>IFERROR(_xlfn.FORECAST.LINEAR('BD_LeiturasHidrômetro_PRJ03'!$A120,G:G,A:A),"0000")</f>
        <v>27299.21339</v>
      </c>
      <c r="J120" s="36">
        <f>IF('BD_LeiturasHidrômetro_PRJ03'!$G120&amp;'BD_LeiturasHidrômetro_PRJ03'!$H120="",'BD_LeiturasHidrômetro_PRJ03'!$I120,'BD_LeiturasHidrômetro_PRJ03'!$G120&amp;'BD_LeiturasHidrômetro_PRJ03'!$H120)</f>
        <v>27299.21339</v>
      </c>
      <c r="K120" s="36">
        <f t="shared" si="1"/>
        <v>27280.13389</v>
      </c>
      <c r="L120" s="15"/>
      <c r="M120" s="15"/>
      <c r="N120" s="17">
        <f t="shared" si="2"/>
        <v>19.07949791</v>
      </c>
      <c r="O120" s="15" t="s">
        <v>261</v>
      </c>
      <c r="S120" s="19"/>
    </row>
    <row r="121" ht="15.75" customHeight="1">
      <c r="A121" s="10">
        <v>136.0</v>
      </c>
      <c r="B121" s="11" t="s">
        <v>146</v>
      </c>
      <c r="C121" s="12">
        <v>8.0</v>
      </c>
      <c r="D121" s="10" t="s">
        <v>139</v>
      </c>
      <c r="E121" s="10">
        <v>2025.0</v>
      </c>
      <c r="F121" s="10" t="s">
        <v>26</v>
      </c>
      <c r="G121" s="35"/>
      <c r="H121" s="35"/>
      <c r="I121" s="36">
        <f>IFERROR(_xlfn.FORECAST.LINEAR('BD_LeiturasHidrômetro_PRJ03'!$A121,G:G,A:A),"0000")</f>
        <v>27318.29289</v>
      </c>
      <c r="J121" s="36">
        <f>IF('BD_LeiturasHidrômetro_PRJ03'!$G121&amp;'BD_LeiturasHidrômetro_PRJ03'!$H121="",'BD_LeiturasHidrômetro_PRJ03'!$I121,'BD_LeiturasHidrômetro_PRJ03'!$G121&amp;'BD_LeiturasHidrômetro_PRJ03'!$H121)</f>
        <v>27318.29289</v>
      </c>
      <c r="K121" s="36">
        <f t="shared" si="1"/>
        <v>27299.21339</v>
      </c>
      <c r="L121" s="15"/>
      <c r="M121" s="15"/>
      <c r="N121" s="17">
        <f t="shared" si="2"/>
        <v>19.07949791</v>
      </c>
      <c r="O121" s="15" t="s">
        <v>261</v>
      </c>
      <c r="S121" s="19"/>
    </row>
    <row r="122" ht="15.75" customHeight="1">
      <c r="A122" s="10">
        <v>137.0</v>
      </c>
      <c r="B122" s="11" t="s">
        <v>147</v>
      </c>
      <c r="C122" s="12">
        <v>9.0</v>
      </c>
      <c r="D122" s="10" t="s">
        <v>139</v>
      </c>
      <c r="E122" s="10">
        <v>2025.0</v>
      </c>
      <c r="F122" s="10" t="s">
        <v>28</v>
      </c>
      <c r="G122" s="35"/>
      <c r="H122" s="35"/>
      <c r="I122" s="36">
        <f>IFERROR(_xlfn.FORECAST.LINEAR('BD_LeiturasHidrômetro_PRJ03'!$A122,G:G,A:A),"0000")</f>
        <v>27337.37238</v>
      </c>
      <c r="J122" s="36">
        <f>IF('BD_LeiturasHidrômetro_PRJ03'!$G122&amp;'BD_LeiturasHidrômetro_PRJ03'!$H122="",'BD_LeiturasHidrômetro_PRJ03'!$I122,'BD_LeiturasHidrômetro_PRJ03'!$G122&amp;'BD_LeiturasHidrômetro_PRJ03'!$H122)</f>
        <v>27337.37238</v>
      </c>
      <c r="K122" s="36">
        <f t="shared" si="1"/>
        <v>27318.29289</v>
      </c>
      <c r="L122" s="15"/>
      <c r="M122" s="15"/>
      <c r="N122" s="17">
        <f t="shared" si="2"/>
        <v>19.07949791</v>
      </c>
      <c r="O122" s="15" t="s">
        <v>261</v>
      </c>
      <c r="S122" s="19"/>
    </row>
    <row r="123" ht="15.75" customHeight="1">
      <c r="A123" s="10">
        <v>138.0</v>
      </c>
      <c r="B123" s="11" t="s">
        <v>148</v>
      </c>
      <c r="C123" s="12">
        <v>10.0</v>
      </c>
      <c r="D123" s="10" t="s">
        <v>139</v>
      </c>
      <c r="E123" s="10">
        <v>2025.0</v>
      </c>
      <c r="F123" s="10" t="s">
        <v>30</v>
      </c>
      <c r="G123" s="35"/>
      <c r="H123" s="35"/>
      <c r="I123" s="36">
        <f>IFERROR(_xlfn.FORECAST.LINEAR('BD_LeiturasHidrômetro_PRJ03'!$A123,G:G,A:A),"0000")</f>
        <v>27356.45188</v>
      </c>
      <c r="J123" s="36">
        <f>IF('BD_LeiturasHidrômetro_PRJ03'!$G123&amp;'BD_LeiturasHidrômetro_PRJ03'!$H123="",'BD_LeiturasHidrômetro_PRJ03'!$I123,'BD_LeiturasHidrômetro_PRJ03'!$G123&amp;'BD_LeiturasHidrômetro_PRJ03'!$H123)</f>
        <v>27356.45188</v>
      </c>
      <c r="K123" s="36">
        <f t="shared" si="1"/>
        <v>27337.37238</v>
      </c>
      <c r="L123" s="15"/>
      <c r="M123" s="15"/>
      <c r="N123" s="17">
        <f t="shared" si="2"/>
        <v>19.07949791</v>
      </c>
      <c r="O123" s="15" t="s">
        <v>261</v>
      </c>
      <c r="S123" s="19"/>
    </row>
    <row r="124" ht="15.75" customHeight="1">
      <c r="A124" s="10">
        <v>139.0</v>
      </c>
      <c r="B124" s="11" t="s">
        <v>149</v>
      </c>
      <c r="C124" s="12">
        <v>11.0</v>
      </c>
      <c r="D124" s="10" t="s">
        <v>139</v>
      </c>
      <c r="E124" s="10">
        <v>2025.0</v>
      </c>
      <c r="F124" s="10" t="s">
        <v>32</v>
      </c>
      <c r="G124" s="35"/>
      <c r="H124" s="35"/>
      <c r="I124" s="36">
        <f>IFERROR(_xlfn.FORECAST.LINEAR('BD_LeiturasHidrômetro_PRJ03'!$A124,G:G,A:A),"0000")</f>
        <v>27375.53138</v>
      </c>
      <c r="J124" s="36">
        <f>IF('BD_LeiturasHidrômetro_PRJ03'!$G124&amp;'BD_LeiturasHidrômetro_PRJ03'!$H124="",'BD_LeiturasHidrômetro_PRJ03'!$I124,'BD_LeiturasHidrômetro_PRJ03'!$G124&amp;'BD_LeiturasHidrômetro_PRJ03'!$H124)</f>
        <v>27375.53138</v>
      </c>
      <c r="K124" s="36">
        <f t="shared" si="1"/>
        <v>27356.45188</v>
      </c>
      <c r="L124" s="15"/>
      <c r="M124" s="15"/>
      <c r="N124" s="17">
        <f t="shared" si="2"/>
        <v>19.07949791</v>
      </c>
      <c r="O124" s="15" t="s">
        <v>261</v>
      </c>
      <c r="S124" s="19"/>
    </row>
    <row r="125" ht="15.75" customHeight="1">
      <c r="A125" s="10">
        <v>140.0</v>
      </c>
      <c r="B125" s="11" t="s">
        <v>150</v>
      </c>
      <c r="C125" s="12">
        <v>12.0</v>
      </c>
      <c r="D125" s="10" t="s">
        <v>139</v>
      </c>
      <c r="E125" s="10">
        <v>2025.0</v>
      </c>
      <c r="F125" s="10" t="s">
        <v>34</v>
      </c>
      <c r="G125" s="35"/>
      <c r="H125" s="35"/>
      <c r="I125" s="36">
        <f>IFERROR(_xlfn.FORECAST.LINEAR('BD_LeiturasHidrômetro_PRJ03'!$A125,G:G,A:A),"0000")</f>
        <v>27394.61088</v>
      </c>
      <c r="J125" s="36">
        <f>IF('BD_LeiturasHidrômetro_PRJ03'!$G125&amp;'BD_LeiturasHidrômetro_PRJ03'!$H125="",'BD_LeiturasHidrômetro_PRJ03'!$I125,'BD_LeiturasHidrômetro_PRJ03'!$G125&amp;'BD_LeiturasHidrômetro_PRJ03'!$H125)</f>
        <v>27394.61088</v>
      </c>
      <c r="K125" s="36">
        <f t="shared" si="1"/>
        <v>27375.53138</v>
      </c>
      <c r="L125" s="15"/>
      <c r="M125" s="15"/>
      <c r="N125" s="17">
        <f t="shared" si="2"/>
        <v>19.07949791</v>
      </c>
      <c r="O125" s="15" t="s">
        <v>261</v>
      </c>
      <c r="S125" s="19"/>
    </row>
    <row r="126" ht="15.75" customHeight="1">
      <c r="A126" s="10">
        <v>141.0</v>
      </c>
      <c r="B126" s="11" t="s">
        <v>151</v>
      </c>
      <c r="C126" s="12">
        <v>13.0</v>
      </c>
      <c r="D126" s="10" t="s">
        <v>139</v>
      </c>
      <c r="E126" s="10">
        <v>2025.0</v>
      </c>
      <c r="F126" s="10" t="s">
        <v>19</v>
      </c>
      <c r="G126" s="35"/>
      <c r="H126" s="35"/>
      <c r="I126" s="36">
        <f>IFERROR(_xlfn.FORECAST.LINEAR('BD_LeiturasHidrômetro_PRJ03'!$A126,G:G,A:A),"0000")</f>
        <v>27413.69038</v>
      </c>
      <c r="J126" s="36">
        <f>IF('BD_LeiturasHidrômetro_PRJ03'!$G126&amp;'BD_LeiturasHidrômetro_PRJ03'!$H126="",'BD_LeiturasHidrômetro_PRJ03'!$I126,'BD_LeiturasHidrômetro_PRJ03'!$G126&amp;'BD_LeiturasHidrômetro_PRJ03'!$H126)</f>
        <v>27413.69038</v>
      </c>
      <c r="K126" s="36">
        <f t="shared" si="1"/>
        <v>27394.61088</v>
      </c>
      <c r="L126" s="15"/>
      <c r="M126" s="15"/>
      <c r="N126" s="17">
        <f t="shared" si="2"/>
        <v>19.07949791</v>
      </c>
      <c r="O126" s="15" t="s">
        <v>261</v>
      </c>
      <c r="S126" s="19"/>
    </row>
    <row r="127" ht="15.75" customHeight="1">
      <c r="A127" s="10">
        <v>142.0</v>
      </c>
      <c r="B127" s="11" t="s">
        <v>152</v>
      </c>
      <c r="C127" s="12">
        <v>14.0</v>
      </c>
      <c r="D127" s="10" t="s">
        <v>139</v>
      </c>
      <c r="E127" s="10">
        <v>2025.0</v>
      </c>
      <c r="F127" s="10" t="s">
        <v>23</v>
      </c>
      <c r="G127" s="35"/>
      <c r="H127" s="35"/>
      <c r="I127" s="36">
        <f>IFERROR(_xlfn.FORECAST.LINEAR('BD_LeiturasHidrômetro_PRJ03'!$A127,G:G,A:A),"0000")</f>
        <v>27432.76987</v>
      </c>
      <c r="J127" s="36">
        <f>IF('BD_LeiturasHidrômetro_PRJ03'!$G127&amp;'BD_LeiturasHidrômetro_PRJ03'!$H127="",'BD_LeiturasHidrômetro_PRJ03'!$I127,'BD_LeiturasHidrômetro_PRJ03'!$G127&amp;'BD_LeiturasHidrômetro_PRJ03'!$H127)</f>
        <v>27432.76987</v>
      </c>
      <c r="K127" s="36">
        <f t="shared" si="1"/>
        <v>27413.69038</v>
      </c>
      <c r="L127" s="15"/>
      <c r="M127" s="15"/>
      <c r="N127" s="17">
        <f t="shared" si="2"/>
        <v>19.07949791</v>
      </c>
      <c r="O127" s="15" t="s">
        <v>261</v>
      </c>
      <c r="S127" s="19"/>
    </row>
    <row r="128" ht="15.75" customHeight="1">
      <c r="A128" s="10">
        <v>143.0</v>
      </c>
      <c r="B128" s="11" t="s">
        <v>153</v>
      </c>
      <c r="C128" s="12">
        <v>15.0</v>
      </c>
      <c r="D128" s="10" t="s">
        <v>139</v>
      </c>
      <c r="E128" s="10">
        <v>2025.0</v>
      </c>
      <c r="F128" s="10" t="s">
        <v>26</v>
      </c>
      <c r="G128" s="35"/>
      <c r="H128" s="35"/>
      <c r="I128" s="36">
        <f>IFERROR(_xlfn.FORECAST.LINEAR('BD_LeiturasHidrômetro_PRJ03'!$A128,G:G,A:A),"0000")</f>
        <v>27451.84937</v>
      </c>
      <c r="J128" s="36">
        <f>IF('BD_LeiturasHidrômetro_PRJ03'!$G128&amp;'BD_LeiturasHidrômetro_PRJ03'!$H128="",'BD_LeiturasHidrômetro_PRJ03'!$I128,'BD_LeiturasHidrômetro_PRJ03'!$G128&amp;'BD_LeiturasHidrômetro_PRJ03'!$H128)</f>
        <v>27451.84937</v>
      </c>
      <c r="K128" s="36">
        <f t="shared" si="1"/>
        <v>27432.76987</v>
      </c>
      <c r="L128" s="15"/>
      <c r="M128" s="15"/>
      <c r="N128" s="17">
        <f t="shared" si="2"/>
        <v>19.07949791</v>
      </c>
      <c r="O128" s="15" t="s">
        <v>261</v>
      </c>
      <c r="S128" s="19"/>
    </row>
    <row r="129" ht="15.75" customHeight="1">
      <c r="A129" s="10">
        <v>144.0</v>
      </c>
      <c r="B129" s="11" t="s">
        <v>154</v>
      </c>
      <c r="C129" s="12">
        <v>16.0</v>
      </c>
      <c r="D129" s="10" t="s">
        <v>139</v>
      </c>
      <c r="E129" s="10">
        <v>2025.0</v>
      </c>
      <c r="F129" s="10" t="s">
        <v>28</v>
      </c>
      <c r="G129" s="35"/>
      <c r="H129" s="35"/>
      <c r="I129" s="36">
        <f>IFERROR(_xlfn.FORECAST.LINEAR('BD_LeiturasHidrômetro_PRJ03'!$A129,G:G,A:A),"0000")</f>
        <v>27470.92887</v>
      </c>
      <c r="J129" s="36">
        <f>IF('BD_LeiturasHidrômetro_PRJ03'!$G129&amp;'BD_LeiturasHidrômetro_PRJ03'!$H129="",'BD_LeiturasHidrômetro_PRJ03'!$I129,'BD_LeiturasHidrômetro_PRJ03'!$G129&amp;'BD_LeiturasHidrômetro_PRJ03'!$H129)</f>
        <v>27470.92887</v>
      </c>
      <c r="K129" s="36">
        <f t="shared" si="1"/>
        <v>27451.84937</v>
      </c>
      <c r="L129" s="15"/>
      <c r="M129" s="15"/>
      <c r="N129" s="17">
        <f t="shared" si="2"/>
        <v>19.07949791</v>
      </c>
      <c r="O129" s="15" t="s">
        <v>261</v>
      </c>
      <c r="S129" s="19"/>
    </row>
    <row r="130" ht="15.75" customHeight="1">
      <c r="A130" s="10">
        <v>145.0</v>
      </c>
      <c r="B130" s="11" t="s">
        <v>155</v>
      </c>
      <c r="C130" s="12">
        <v>17.0</v>
      </c>
      <c r="D130" s="10" t="s">
        <v>139</v>
      </c>
      <c r="E130" s="10">
        <v>2025.0</v>
      </c>
      <c r="F130" s="10" t="s">
        <v>30</v>
      </c>
      <c r="G130" s="35"/>
      <c r="H130" s="35"/>
      <c r="I130" s="36">
        <f>IFERROR(_xlfn.FORECAST.LINEAR('BD_LeiturasHidrômetro_PRJ03'!$A130,G:G,A:A),"0000")</f>
        <v>27490.00837</v>
      </c>
      <c r="J130" s="36">
        <f>IF('BD_LeiturasHidrômetro_PRJ03'!$G130&amp;'BD_LeiturasHidrômetro_PRJ03'!$H130="",'BD_LeiturasHidrômetro_PRJ03'!$I130,'BD_LeiturasHidrômetro_PRJ03'!$G130&amp;'BD_LeiturasHidrômetro_PRJ03'!$H130)</f>
        <v>27490.00837</v>
      </c>
      <c r="K130" s="36">
        <f t="shared" si="1"/>
        <v>27470.92887</v>
      </c>
      <c r="L130" s="15"/>
      <c r="M130" s="15"/>
      <c r="N130" s="17">
        <f t="shared" si="2"/>
        <v>19.07949791</v>
      </c>
      <c r="O130" s="15" t="s">
        <v>261</v>
      </c>
      <c r="S130" s="19"/>
    </row>
    <row r="131" ht="15.75" customHeight="1">
      <c r="A131" s="10">
        <v>146.0</v>
      </c>
      <c r="B131" s="11" t="s">
        <v>156</v>
      </c>
      <c r="C131" s="12">
        <v>18.0</v>
      </c>
      <c r="D131" s="10" t="s">
        <v>139</v>
      </c>
      <c r="E131" s="10">
        <v>2025.0</v>
      </c>
      <c r="F131" s="10" t="s">
        <v>32</v>
      </c>
      <c r="G131" s="35"/>
      <c r="H131" s="35"/>
      <c r="I131" s="36">
        <f>IFERROR(_xlfn.FORECAST.LINEAR('BD_LeiturasHidrômetro_PRJ03'!$A131,G:G,A:A),"0000")</f>
        <v>27509.08787</v>
      </c>
      <c r="J131" s="36">
        <f>IF('BD_LeiturasHidrômetro_PRJ03'!$G131&amp;'BD_LeiturasHidrômetro_PRJ03'!$H131="",'BD_LeiturasHidrômetro_PRJ03'!$I131,'BD_LeiturasHidrômetro_PRJ03'!$G131&amp;'BD_LeiturasHidrômetro_PRJ03'!$H131)</f>
        <v>27509.08787</v>
      </c>
      <c r="K131" s="36">
        <f t="shared" si="1"/>
        <v>27490.00837</v>
      </c>
      <c r="L131" s="15"/>
      <c r="M131" s="15"/>
      <c r="N131" s="17">
        <f t="shared" si="2"/>
        <v>19.07949791</v>
      </c>
      <c r="O131" s="15" t="s">
        <v>261</v>
      </c>
      <c r="S131" s="19"/>
    </row>
    <row r="132" ht="15.75" customHeight="1">
      <c r="A132" s="10">
        <v>147.0</v>
      </c>
      <c r="B132" s="11" t="s">
        <v>157</v>
      </c>
      <c r="C132" s="12">
        <v>19.0</v>
      </c>
      <c r="D132" s="10" t="s">
        <v>139</v>
      </c>
      <c r="E132" s="10">
        <v>2025.0</v>
      </c>
      <c r="F132" s="10" t="s">
        <v>34</v>
      </c>
      <c r="G132" s="35"/>
      <c r="H132" s="35"/>
      <c r="I132" s="36">
        <f>IFERROR(_xlfn.FORECAST.LINEAR('BD_LeiturasHidrômetro_PRJ03'!$A132,G:G,A:A),"0000")</f>
        <v>27528.16736</v>
      </c>
      <c r="J132" s="36">
        <f>IF('BD_LeiturasHidrômetro_PRJ03'!$G132&amp;'BD_LeiturasHidrômetro_PRJ03'!$H132="",'BD_LeiturasHidrômetro_PRJ03'!$I132,'BD_LeiturasHidrômetro_PRJ03'!$G132&amp;'BD_LeiturasHidrômetro_PRJ03'!$H132)</f>
        <v>27528.16736</v>
      </c>
      <c r="K132" s="36">
        <f t="shared" si="1"/>
        <v>27509.08787</v>
      </c>
      <c r="L132" s="15"/>
      <c r="M132" s="15"/>
      <c r="N132" s="17">
        <f t="shared" si="2"/>
        <v>19.07949791</v>
      </c>
      <c r="O132" s="15" t="s">
        <v>261</v>
      </c>
      <c r="S132" s="19"/>
    </row>
    <row r="133" ht="15.75" customHeight="1">
      <c r="A133" s="10">
        <v>148.0</v>
      </c>
      <c r="B133" s="11" t="s">
        <v>158</v>
      </c>
      <c r="C133" s="12">
        <v>20.0</v>
      </c>
      <c r="D133" s="10" t="s">
        <v>139</v>
      </c>
      <c r="E133" s="10">
        <v>2025.0</v>
      </c>
      <c r="F133" s="10" t="s">
        <v>19</v>
      </c>
      <c r="G133" s="35"/>
      <c r="H133" s="35"/>
      <c r="I133" s="36">
        <f>IFERROR(_xlfn.FORECAST.LINEAR('BD_LeiturasHidrômetro_PRJ03'!$A133,G:G,A:A),"0000")</f>
        <v>27547.24686</v>
      </c>
      <c r="J133" s="36">
        <f>IF('BD_LeiturasHidrômetro_PRJ03'!$G133&amp;'BD_LeiturasHidrômetro_PRJ03'!$H133="",'BD_LeiturasHidrômetro_PRJ03'!$I133,'BD_LeiturasHidrômetro_PRJ03'!$G133&amp;'BD_LeiturasHidrômetro_PRJ03'!$H133)</f>
        <v>27547.24686</v>
      </c>
      <c r="K133" s="36">
        <f t="shared" si="1"/>
        <v>27528.16736</v>
      </c>
      <c r="L133" s="15"/>
      <c r="M133" s="15"/>
      <c r="N133" s="17">
        <f t="shared" si="2"/>
        <v>19.07949791</v>
      </c>
      <c r="O133" s="15" t="s">
        <v>261</v>
      </c>
      <c r="S133" s="19"/>
    </row>
    <row r="134" ht="15.75" customHeight="1">
      <c r="A134" s="10">
        <v>149.0</v>
      </c>
      <c r="B134" s="11" t="s">
        <v>159</v>
      </c>
      <c r="C134" s="12">
        <v>21.0</v>
      </c>
      <c r="D134" s="10" t="s">
        <v>139</v>
      </c>
      <c r="E134" s="10">
        <v>2025.0</v>
      </c>
      <c r="F134" s="10" t="s">
        <v>23</v>
      </c>
      <c r="G134" s="35"/>
      <c r="H134" s="35"/>
      <c r="I134" s="36">
        <f>IFERROR(_xlfn.FORECAST.LINEAR('BD_LeiturasHidrômetro_PRJ03'!$A134,G:G,A:A),"0000")</f>
        <v>27566.32636</v>
      </c>
      <c r="J134" s="36">
        <f>IF('BD_LeiturasHidrômetro_PRJ03'!$G134&amp;'BD_LeiturasHidrômetro_PRJ03'!$H134="",'BD_LeiturasHidrômetro_PRJ03'!$I134,'BD_LeiturasHidrômetro_PRJ03'!$G134&amp;'BD_LeiturasHidrômetro_PRJ03'!$H134)</f>
        <v>27566.32636</v>
      </c>
      <c r="K134" s="36">
        <f t="shared" si="1"/>
        <v>27547.24686</v>
      </c>
      <c r="L134" s="15"/>
      <c r="M134" s="15"/>
      <c r="N134" s="17">
        <f t="shared" si="2"/>
        <v>19.07949791</v>
      </c>
      <c r="O134" s="15" t="s">
        <v>261</v>
      </c>
      <c r="S134" s="19"/>
    </row>
    <row r="135" ht="15.75" customHeight="1">
      <c r="A135" s="10">
        <v>150.0</v>
      </c>
      <c r="B135" s="11" t="s">
        <v>160</v>
      </c>
      <c r="C135" s="12">
        <v>22.0</v>
      </c>
      <c r="D135" s="10" t="s">
        <v>139</v>
      </c>
      <c r="E135" s="10">
        <v>2025.0</v>
      </c>
      <c r="F135" s="10" t="s">
        <v>26</v>
      </c>
      <c r="G135" s="35"/>
      <c r="H135" s="35"/>
      <c r="I135" s="36">
        <f>IFERROR(_xlfn.FORECAST.LINEAR('BD_LeiturasHidrômetro_PRJ03'!$A135,G:G,A:A),"0000")</f>
        <v>27585.40586</v>
      </c>
      <c r="J135" s="36">
        <f>IF('BD_LeiturasHidrômetro_PRJ03'!$G135&amp;'BD_LeiturasHidrômetro_PRJ03'!$H135="",'BD_LeiturasHidrômetro_PRJ03'!$I135,'BD_LeiturasHidrômetro_PRJ03'!$G135&amp;'BD_LeiturasHidrômetro_PRJ03'!$H135)</f>
        <v>27585.40586</v>
      </c>
      <c r="K135" s="36">
        <f t="shared" si="1"/>
        <v>27566.32636</v>
      </c>
      <c r="L135" s="15"/>
      <c r="M135" s="15"/>
      <c r="N135" s="17">
        <f t="shared" si="2"/>
        <v>19.07949791</v>
      </c>
      <c r="O135" s="15" t="s">
        <v>261</v>
      </c>
      <c r="S135" s="19"/>
    </row>
    <row r="136" ht="15.75" customHeight="1">
      <c r="A136" s="10">
        <v>151.0</v>
      </c>
      <c r="B136" s="11" t="s">
        <v>161</v>
      </c>
      <c r="C136" s="12">
        <v>23.0</v>
      </c>
      <c r="D136" s="10" t="s">
        <v>139</v>
      </c>
      <c r="E136" s="10">
        <v>2025.0</v>
      </c>
      <c r="F136" s="10" t="s">
        <v>28</v>
      </c>
      <c r="G136" s="35"/>
      <c r="H136" s="35"/>
      <c r="I136" s="36">
        <f>IFERROR(_xlfn.FORECAST.LINEAR('BD_LeiturasHidrômetro_PRJ03'!$A136,G:G,A:A),"0000")</f>
        <v>27604.48536</v>
      </c>
      <c r="J136" s="36">
        <f>IF('BD_LeiturasHidrômetro_PRJ03'!$G136&amp;'BD_LeiturasHidrômetro_PRJ03'!$H136="",'BD_LeiturasHidrômetro_PRJ03'!$I136,'BD_LeiturasHidrômetro_PRJ03'!$G136&amp;'BD_LeiturasHidrômetro_PRJ03'!$H136)</f>
        <v>27604.48536</v>
      </c>
      <c r="K136" s="36">
        <f t="shared" si="1"/>
        <v>27585.40586</v>
      </c>
      <c r="L136" s="15"/>
      <c r="M136" s="15"/>
      <c r="N136" s="17">
        <f t="shared" si="2"/>
        <v>19.07949791</v>
      </c>
      <c r="O136" s="15" t="s">
        <v>261</v>
      </c>
      <c r="S136" s="19"/>
    </row>
    <row r="137" ht="15.75" customHeight="1">
      <c r="A137" s="10">
        <v>152.0</v>
      </c>
      <c r="B137" s="11" t="s">
        <v>162</v>
      </c>
      <c r="C137" s="12">
        <v>24.0</v>
      </c>
      <c r="D137" s="10" t="s">
        <v>139</v>
      </c>
      <c r="E137" s="10">
        <v>2025.0</v>
      </c>
      <c r="F137" s="10" t="s">
        <v>30</v>
      </c>
      <c r="G137" s="35"/>
      <c r="H137" s="35"/>
      <c r="I137" s="36">
        <f>IFERROR(_xlfn.FORECAST.LINEAR('BD_LeiturasHidrômetro_PRJ03'!$A137,G:G,A:A),"0000")</f>
        <v>27623.56485</v>
      </c>
      <c r="J137" s="36">
        <f>IF('BD_LeiturasHidrômetro_PRJ03'!$G137&amp;'BD_LeiturasHidrômetro_PRJ03'!$H137="",'BD_LeiturasHidrômetro_PRJ03'!$I137,'BD_LeiturasHidrômetro_PRJ03'!$G137&amp;'BD_LeiturasHidrômetro_PRJ03'!$H137)</f>
        <v>27623.56485</v>
      </c>
      <c r="K137" s="36">
        <f t="shared" si="1"/>
        <v>27604.48536</v>
      </c>
      <c r="L137" s="15"/>
      <c r="M137" s="15"/>
      <c r="N137" s="17">
        <f t="shared" si="2"/>
        <v>19.07949791</v>
      </c>
      <c r="O137" s="15" t="s">
        <v>261</v>
      </c>
      <c r="S137" s="19"/>
    </row>
    <row r="138" ht="15.75" customHeight="1">
      <c r="A138" s="10">
        <v>153.0</v>
      </c>
      <c r="B138" s="11" t="s">
        <v>163</v>
      </c>
      <c r="C138" s="12">
        <v>25.0</v>
      </c>
      <c r="D138" s="10" t="s">
        <v>139</v>
      </c>
      <c r="E138" s="10">
        <v>2025.0</v>
      </c>
      <c r="F138" s="10" t="s">
        <v>32</v>
      </c>
      <c r="G138" s="35"/>
      <c r="H138" s="35"/>
      <c r="I138" s="36">
        <f>IFERROR(_xlfn.FORECAST.LINEAR('BD_LeiturasHidrômetro_PRJ03'!$A138,G:G,A:A),"0000")</f>
        <v>27642.64435</v>
      </c>
      <c r="J138" s="36">
        <f>IF('BD_LeiturasHidrômetro_PRJ03'!$G138&amp;'BD_LeiturasHidrômetro_PRJ03'!$H138="",'BD_LeiturasHidrômetro_PRJ03'!$I138,'BD_LeiturasHidrômetro_PRJ03'!$G138&amp;'BD_LeiturasHidrômetro_PRJ03'!$H138)</f>
        <v>27642.64435</v>
      </c>
      <c r="K138" s="36">
        <f t="shared" si="1"/>
        <v>27623.56485</v>
      </c>
      <c r="L138" s="15"/>
      <c r="M138" s="15"/>
      <c r="N138" s="17">
        <f t="shared" si="2"/>
        <v>19.07949791</v>
      </c>
      <c r="O138" s="15" t="s">
        <v>261</v>
      </c>
      <c r="S138" s="19"/>
    </row>
    <row r="139" ht="15.75" customHeight="1">
      <c r="A139" s="10">
        <v>154.0</v>
      </c>
      <c r="B139" s="11" t="s">
        <v>164</v>
      </c>
      <c r="C139" s="12">
        <v>26.0</v>
      </c>
      <c r="D139" s="10" t="s">
        <v>139</v>
      </c>
      <c r="E139" s="10">
        <v>2025.0</v>
      </c>
      <c r="F139" s="10" t="s">
        <v>34</v>
      </c>
      <c r="G139" s="35"/>
      <c r="H139" s="35"/>
      <c r="I139" s="36">
        <f>IFERROR(_xlfn.FORECAST.LINEAR('BD_LeiturasHidrômetro_PRJ03'!$A139,G:G,A:A),"0000")</f>
        <v>27661.72385</v>
      </c>
      <c r="J139" s="36">
        <f>IF('BD_LeiturasHidrômetro_PRJ03'!$G139&amp;'BD_LeiturasHidrômetro_PRJ03'!$H139="",'BD_LeiturasHidrômetro_PRJ03'!$I139,'BD_LeiturasHidrômetro_PRJ03'!$G139&amp;'BD_LeiturasHidrômetro_PRJ03'!$H139)</f>
        <v>27661.72385</v>
      </c>
      <c r="K139" s="36">
        <f t="shared" si="1"/>
        <v>27642.64435</v>
      </c>
      <c r="L139" s="15"/>
      <c r="M139" s="15"/>
      <c r="N139" s="17">
        <f t="shared" si="2"/>
        <v>19.07949791</v>
      </c>
      <c r="O139" s="15" t="s">
        <v>261</v>
      </c>
      <c r="S139" s="19"/>
    </row>
    <row r="140" ht="15.75" customHeight="1">
      <c r="A140" s="10">
        <v>155.0</v>
      </c>
      <c r="B140" s="11" t="s">
        <v>165</v>
      </c>
      <c r="C140" s="12">
        <v>27.0</v>
      </c>
      <c r="D140" s="10" t="s">
        <v>139</v>
      </c>
      <c r="E140" s="10">
        <v>2025.0</v>
      </c>
      <c r="F140" s="10" t="s">
        <v>19</v>
      </c>
      <c r="G140" s="35"/>
      <c r="H140" s="35"/>
      <c r="I140" s="36">
        <f>IFERROR(_xlfn.FORECAST.LINEAR('BD_LeiturasHidrômetro_PRJ03'!$A140,G:G,A:A),"0000")</f>
        <v>27680.80335</v>
      </c>
      <c r="J140" s="36">
        <f>IF('BD_LeiturasHidrômetro_PRJ03'!$G140&amp;'BD_LeiturasHidrômetro_PRJ03'!$H140="",'BD_LeiturasHidrômetro_PRJ03'!$I140,'BD_LeiturasHidrômetro_PRJ03'!$G140&amp;'BD_LeiturasHidrômetro_PRJ03'!$H140)</f>
        <v>27680.80335</v>
      </c>
      <c r="K140" s="36">
        <f t="shared" si="1"/>
        <v>27661.72385</v>
      </c>
      <c r="L140" s="15"/>
      <c r="M140" s="15"/>
      <c r="N140" s="17">
        <f t="shared" si="2"/>
        <v>19.07949791</v>
      </c>
      <c r="O140" s="15" t="s">
        <v>261</v>
      </c>
      <c r="S140" s="19"/>
    </row>
    <row r="141" ht="15.75" customHeight="1">
      <c r="A141" s="10">
        <v>156.0</v>
      </c>
      <c r="B141" s="11" t="s">
        <v>166</v>
      </c>
      <c r="C141" s="12">
        <v>28.0</v>
      </c>
      <c r="D141" s="10" t="s">
        <v>139</v>
      </c>
      <c r="E141" s="10">
        <v>2025.0</v>
      </c>
      <c r="F141" s="10" t="s">
        <v>23</v>
      </c>
      <c r="G141" s="35"/>
      <c r="H141" s="35"/>
      <c r="I141" s="36">
        <f>IFERROR(_xlfn.FORECAST.LINEAR('BD_LeiturasHidrômetro_PRJ03'!$A141,G:G,A:A),"0000")</f>
        <v>27699.88285</v>
      </c>
      <c r="J141" s="36">
        <f>IF('BD_LeiturasHidrômetro_PRJ03'!$G141&amp;'BD_LeiturasHidrômetro_PRJ03'!$H141="",'BD_LeiturasHidrômetro_PRJ03'!$I141,'BD_LeiturasHidrômetro_PRJ03'!$G141&amp;'BD_LeiturasHidrômetro_PRJ03'!$H141)</f>
        <v>27699.88285</v>
      </c>
      <c r="K141" s="36">
        <f t="shared" si="1"/>
        <v>27680.80335</v>
      </c>
      <c r="L141" s="15"/>
      <c r="M141" s="15"/>
      <c r="N141" s="17">
        <f t="shared" si="2"/>
        <v>19.07949791</v>
      </c>
      <c r="O141" s="15" t="s">
        <v>261</v>
      </c>
      <c r="S141" s="19"/>
    </row>
    <row r="142" ht="15.75" customHeight="1">
      <c r="A142" s="10">
        <v>157.0</v>
      </c>
      <c r="B142" s="11" t="s">
        <v>167</v>
      </c>
      <c r="C142" s="12">
        <v>29.0</v>
      </c>
      <c r="D142" s="10" t="s">
        <v>139</v>
      </c>
      <c r="E142" s="10">
        <v>2025.0</v>
      </c>
      <c r="F142" s="10" t="s">
        <v>26</v>
      </c>
      <c r="G142" s="35"/>
      <c r="H142" s="35"/>
      <c r="I142" s="36">
        <f>IFERROR(_xlfn.FORECAST.LINEAR('BD_LeiturasHidrômetro_PRJ03'!$A142,G:G,A:A),"0000")</f>
        <v>27718.96234</v>
      </c>
      <c r="J142" s="36">
        <f>IF('BD_LeiturasHidrômetro_PRJ03'!$G142&amp;'BD_LeiturasHidrômetro_PRJ03'!$H142="",'BD_LeiturasHidrômetro_PRJ03'!$I142,'BD_LeiturasHidrômetro_PRJ03'!$G142&amp;'BD_LeiturasHidrômetro_PRJ03'!$H142)</f>
        <v>27718.96234</v>
      </c>
      <c r="K142" s="36">
        <f t="shared" si="1"/>
        <v>27699.88285</v>
      </c>
      <c r="L142" s="15"/>
      <c r="M142" s="15"/>
      <c r="N142" s="17">
        <f t="shared" si="2"/>
        <v>19.07949791</v>
      </c>
      <c r="O142" s="15" t="s">
        <v>261</v>
      </c>
      <c r="S142" s="19"/>
    </row>
    <row r="143" ht="15.75" customHeight="1">
      <c r="A143" s="10">
        <v>158.0</v>
      </c>
      <c r="B143" s="11" t="s">
        <v>168</v>
      </c>
      <c r="C143" s="12">
        <v>30.0</v>
      </c>
      <c r="D143" s="10" t="s">
        <v>139</v>
      </c>
      <c r="E143" s="10">
        <v>2025.0</v>
      </c>
      <c r="F143" s="10" t="s">
        <v>28</v>
      </c>
      <c r="G143" s="35"/>
      <c r="H143" s="35"/>
      <c r="I143" s="36">
        <f>IFERROR(_xlfn.FORECAST.LINEAR('BD_LeiturasHidrômetro_PRJ03'!$A143,G:G,A:A),"0000")</f>
        <v>27738.04184</v>
      </c>
      <c r="J143" s="36">
        <f>IF('BD_LeiturasHidrômetro_PRJ03'!$G143&amp;'BD_LeiturasHidrômetro_PRJ03'!$H143="",'BD_LeiturasHidrômetro_PRJ03'!$I143,'BD_LeiturasHidrômetro_PRJ03'!$G143&amp;'BD_LeiturasHidrômetro_PRJ03'!$H143)</f>
        <v>27738.04184</v>
      </c>
      <c r="K143" s="36">
        <f t="shared" si="1"/>
        <v>27718.96234</v>
      </c>
      <c r="L143" s="15"/>
      <c r="M143" s="15"/>
      <c r="N143" s="17">
        <f t="shared" si="2"/>
        <v>19.07949791</v>
      </c>
      <c r="O143" s="15" t="s">
        <v>261</v>
      </c>
      <c r="S143" s="19"/>
    </row>
    <row r="144" ht="15.75" customHeight="1">
      <c r="A144" s="10">
        <v>159.0</v>
      </c>
      <c r="B144" s="11" t="s">
        <v>169</v>
      </c>
      <c r="C144" s="12">
        <v>31.0</v>
      </c>
      <c r="D144" s="10" t="s">
        <v>139</v>
      </c>
      <c r="E144" s="10">
        <v>2025.0</v>
      </c>
      <c r="F144" s="10" t="s">
        <v>30</v>
      </c>
      <c r="G144" s="35"/>
      <c r="H144" s="35"/>
      <c r="I144" s="36">
        <f>IFERROR(_xlfn.FORECAST.LINEAR('BD_LeiturasHidrômetro_PRJ03'!$A144,G:G,A:A),"0000")</f>
        <v>27757.12134</v>
      </c>
      <c r="J144" s="36">
        <f>IF('BD_LeiturasHidrômetro_PRJ03'!$G144&amp;'BD_LeiturasHidrômetro_PRJ03'!$H144="",'BD_LeiturasHidrômetro_PRJ03'!$I144,'BD_LeiturasHidrômetro_PRJ03'!$G144&amp;'BD_LeiturasHidrômetro_PRJ03'!$H144)</f>
        <v>27757.12134</v>
      </c>
      <c r="K144" s="36">
        <f t="shared" si="1"/>
        <v>27738.04184</v>
      </c>
      <c r="L144" s="15"/>
      <c r="M144" s="15"/>
      <c r="N144" s="17">
        <f t="shared" si="2"/>
        <v>19.07949791</v>
      </c>
      <c r="O144" s="15" t="s">
        <v>261</v>
      </c>
      <c r="S144" s="19"/>
    </row>
    <row r="145" ht="15.75" customHeight="1">
      <c r="A145" s="10">
        <v>160.0</v>
      </c>
      <c r="B145" s="11" t="s">
        <v>170</v>
      </c>
      <c r="C145" s="12">
        <v>1.0</v>
      </c>
      <c r="D145" s="10" t="s">
        <v>171</v>
      </c>
      <c r="E145" s="10">
        <v>2025.0</v>
      </c>
      <c r="F145" s="10" t="s">
        <v>32</v>
      </c>
      <c r="G145" s="35"/>
      <c r="H145" s="35"/>
      <c r="I145" s="36">
        <f>IFERROR(_xlfn.FORECAST.LINEAR('BD_LeiturasHidrômetro_PRJ03'!$A145,G:G,A:A),"0000")</f>
        <v>27776.20084</v>
      </c>
      <c r="J145" s="36">
        <f>IF('BD_LeiturasHidrômetro_PRJ03'!$G145&amp;'BD_LeiturasHidrômetro_PRJ03'!$H145="",'BD_LeiturasHidrômetro_PRJ03'!$I145,'BD_LeiturasHidrômetro_PRJ03'!$G145&amp;'BD_LeiturasHidrômetro_PRJ03'!$H145)</f>
        <v>27776.20084</v>
      </c>
      <c r="K145" s="36">
        <f t="shared" si="1"/>
        <v>27757.12134</v>
      </c>
      <c r="L145" s="15"/>
      <c r="M145" s="15"/>
      <c r="N145" s="17">
        <f t="shared" si="2"/>
        <v>19.07949791</v>
      </c>
      <c r="O145" s="15" t="s">
        <v>261</v>
      </c>
      <c r="S145" s="19"/>
    </row>
    <row r="146" ht="15.75" customHeight="1">
      <c r="A146" s="10">
        <v>161.0</v>
      </c>
      <c r="B146" s="11" t="s">
        <v>172</v>
      </c>
      <c r="C146" s="12">
        <v>2.0</v>
      </c>
      <c r="D146" s="10" t="s">
        <v>171</v>
      </c>
      <c r="E146" s="10">
        <v>2025.0</v>
      </c>
      <c r="F146" s="10" t="s">
        <v>34</v>
      </c>
      <c r="G146" s="35"/>
      <c r="H146" s="35"/>
      <c r="I146" s="36">
        <f>IFERROR(_xlfn.FORECAST.LINEAR('BD_LeiturasHidrômetro_PRJ03'!$A146,G:G,A:A),"0000")</f>
        <v>27795.28033</v>
      </c>
      <c r="J146" s="36">
        <f>IF('BD_LeiturasHidrômetro_PRJ03'!$G146&amp;'BD_LeiturasHidrômetro_PRJ03'!$H146="",'BD_LeiturasHidrômetro_PRJ03'!$I146,'BD_LeiturasHidrômetro_PRJ03'!$G146&amp;'BD_LeiturasHidrômetro_PRJ03'!$H146)</f>
        <v>27795.28033</v>
      </c>
      <c r="K146" s="36">
        <f t="shared" si="1"/>
        <v>27776.20084</v>
      </c>
      <c r="L146" s="15"/>
      <c r="M146" s="15"/>
      <c r="N146" s="17">
        <f t="shared" si="2"/>
        <v>19.07949791</v>
      </c>
      <c r="O146" s="15" t="s">
        <v>261</v>
      </c>
      <c r="S146" s="19"/>
    </row>
    <row r="147" ht="15.75" customHeight="1">
      <c r="A147" s="10">
        <v>162.0</v>
      </c>
      <c r="B147" s="11" t="s">
        <v>173</v>
      </c>
      <c r="C147" s="12">
        <v>3.0</v>
      </c>
      <c r="D147" s="10" t="s">
        <v>171</v>
      </c>
      <c r="E147" s="10">
        <v>2025.0</v>
      </c>
      <c r="F147" s="10" t="s">
        <v>19</v>
      </c>
      <c r="G147" s="35"/>
      <c r="H147" s="35"/>
      <c r="I147" s="36">
        <f>IFERROR(_xlfn.FORECAST.LINEAR('BD_LeiturasHidrômetro_PRJ03'!$A147,G:G,A:A),"0000")</f>
        <v>27814.35983</v>
      </c>
      <c r="J147" s="36">
        <f>IF('BD_LeiturasHidrômetro_PRJ03'!$G147&amp;'BD_LeiturasHidrômetro_PRJ03'!$H147="",'BD_LeiturasHidrômetro_PRJ03'!$I147,'BD_LeiturasHidrômetro_PRJ03'!$G147&amp;'BD_LeiturasHidrômetro_PRJ03'!$H147)</f>
        <v>27814.35983</v>
      </c>
      <c r="K147" s="36">
        <f t="shared" si="1"/>
        <v>27795.28033</v>
      </c>
      <c r="L147" s="15"/>
      <c r="M147" s="15"/>
      <c r="N147" s="17">
        <f t="shared" si="2"/>
        <v>19.07949791</v>
      </c>
      <c r="O147" s="15" t="s">
        <v>261</v>
      </c>
      <c r="S147" s="19"/>
    </row>
    <row r="148" ht="15.75" customHeight="1">
      <c r="A148" s="10">
        <v>163.0</v>
      </c>
      <c r="B148" s="11" t="s">
        <v>174</v>
      </c>
      <c r="C148" s="12">
        <v>4.0</v>
      </c>
      <c r="D148" s="10" t="s">
        <v>171</v>
      </c>
      <c r="E148" s="10">
        <v>2025.0</v>
      </c>
      <c r="F148" s="10" t="s">
        <v>23</v>
      </c>
      <c r="G148" s="35"/>
      <c r="H148" s="35"/>
      <c r="I148" s="36">
        <f>IFERROR(_xlfn.FORECAST.LINEAR('BD_LeiturasHidrômetro_PRJ03'!$A148,G:G,A:A),"0000")</f>
        <v>27833.43933</v>
      </c>
      <c r="J148" s="36">
        <f>IF('BD_LeiturasHidrômetro_PRJ03'!$G148&amp;'BD_LeiturasHidrômetro_PRJ03'!$H148="",'BD_LeiturasHidrômetro_PRJ03'!$I148,'BD_LeiturasHidrômetro_PRJ03'!$G148&amp;'BD_LeiturasHidrômetro_PRJ03'!$H148)</f>
        <v>27833.43933</v>
      </c>
      <c r="K148" s="36">
        <f t="shared" si="1"/>
        <v>27814.35983</v>
      </c>
      <c r="L148" s="15"/>
      <c r="M148" s="15"/>
      <c r="N148" s="17">
        <f t="shared" si="2"/>
        <v>19.07949791</v>
      </c>
      <c r="O148" s="15" t="s">
        <v>261</v>
      </c>
      <c r="S148" s="19"/>
    </row>
    <row r="149" ht="15.75" customHeight="1">
      <c r="A149" s="10">
        <v>164.0</v>
      </c>
      <c r="B149" s="11" t="s">
        <v>175</v>
      </c>
      <c r="C149" s="12">
        <v>5.0</v>
      </c>
      <c r="D149" s="10" t="s">
        <v>171</v>
      </c>
      <c r="E149" s="10">
        <v>2025.0</v>
      </c>
      <c r="F149" s="10" t="s">
        <v>26</v>
      </c>
      <c r="G149" s="35"/>
      <c r="H149" s="35"/>
      <c r="I149" s="36">
        <f>IFERROR(_xlfn.FORECAST.LINEAR('BD_LeiturasHidrômetro_PRJ03'!$A149,G:G,A:A),"0000")</f>
        <v>27852.51883</v>
      </c>
      <c r="J149" s="36">
        <f>IF('BD_LeiturasHidrômetro_PRJ03'!$G149&amp;'BD_LeiturasHidrômetro_PRJ03'!$H149="",'BD_LeiturasHidrômetro_PRJ03'!$I149,'BD_LeiturasHidrômetro_PRJ03'!$G149&amp;'BD_LeiturasHidrômetro_PRJ03'!$H149)</f>
        <v>27852.51883</v>
      </c>
      <c r="K149" s="36">
        <f t="shared" si="1"/>
        <v>27833.43933</v>
      </c>
      <c r="L149" s="15"/>
      <c r="M149" s="15"/>
      <c r="N149" s="17">
        <f t="shared" si="2"/>
        <v>19.07949791</v>
      </c>
      <c r="O149" s="15" t="s">
        <v>261</v>
      </c>
      <c r="S149" s="19"/>
    </row>
    <row r="150" ht="15.75" customHeight="1">
      <c r="A150" s="10">
        <v>165.0</v>
      </c>
      <c r="B150" s="11" t="s">
        <v>176</v>
      </c>
      <c r="C150" s="12">
        <v>6.0</v>
      </c>
      <c r="D150" s="10" t="s">
        <v>171</v>
      </c>
      <c r="E150" s="10">
        <v>2025.0</v>
      </c>
      <c r="F150" s="10" t="s">
        <v>28</v>
      </c>
      <c r="G150" s="35"/>
      <c r="H150" s="35"/>
      <c r="I150" s="36">
        <f>IFERROR(_xlfn.FORECAST.LINEAR('BD_LeiturasHidrômetro_PRJ03'!$A150,G:G,A:A),"0000")</f>
        <v>27871.59833</v>
      </c>
      <c r="J150" s="36">
        <f>IF('BD_LeiturasHidrômetro_PRJ03'!$G150&amp;'BD_LeiturasHidrômetro_PRJ03'!$H150="",'BD_LeiturasHidrômetro_PRJ03'!$I150,'BD_LeiturasHidrômetro_PRJ03'!$G150&amp;'BD_LeiturasHidrômetro_PRJ03'!$H150)</f>
        <v>27871.59833</v>
      </c>
      <c r="K150" s="36">
        <f t="shared" si="1"/>
        <v>27852.51883</v>
      </c>
      <c r="L150" s="15"/>
      <c r="M150" s="15"/>
      <c r="N150" s="17">
        <f t="shared" si="2"/>
        <v>19.07949791</v>
      </c>
      <c r="O150" s="15" t="s">
        <v>261</v>
      </c>
      <c r="S150" s="19"/>
    </row>
    <row r="151" ht="15.75" customHeight="1">
      <c r="A151" s="10">
        <v>166.0</v>
      </c>
      <c r="B151" s="11" t="s">
        <v>177</v>
      </c>
      <c r="C151" s="12">
        <v>7.0</v>
      </c>
      <c r="D151" s="10" t="s">
        <v>171</v>
      </c>
      <c r="E151" s="10">
        <v>2025.0</v>
      </c>
      <c r="F151" s="10" t="s">
        <v>30</v>
      </c>
      <c r="G151" s="35"/>
      <c r="H151" s="35"/>
      <c r="I151" s="36">
        <f>IFERROR(_xlfn.FORECAST.LINEAR('BD_LeiturasHidrômetro_PRJ03'!$A151,G:G,A:A),"0000")</f>
        <v>27890.67782</v>
      </c>
      <c r="J151" s="36">
        <f>IF('BD_LeiturasHidrômetro_PRJ03'!$G151&amp;'BD_LeiturasHidrômetro_PRJ03'!$H151="",'BD_LeiturasHidrômetro_PRJ03'!$I151,'BD_LeiturasHidrômetro_PRJ03'!$G151&amp;'BD_LeiturasHidrômetro_PRJ03'!$H151)</f>
        <v>27890.67782</v>
      </c>
      <c r="K151" s="36">
        <f t="shared" si="1"/>
        <v>27871.59833</v>
      </c>
      <c r="L151" s="15"/>
      <c r="M151" s="15"/>
      <c r="N151" s="17">
        <f t="shared" si="2"/>
        <v>19.07949791</v>
      </c>
      <c r="O151" s="15" t="s">
        <v>261</v>
      </c>
      <c r="S151" s="19"/>
    </row>
    <row r="152" ht="15.75" customHeight="1">
      <c r="A152" s="10">
        <v>167.0</v>
      </c>
      <c r="B152" s="11" t="s">
        <v>178</v>
      </c>
      <c r="C152" s="12">
        <v>8.0</v>
      </c>
      <c r="D152" s="10" t="s">
        <v>171</v>
      </c>
      <c r="E152" s="10">
        <v>2025.0</v>
      </c>
      <c r="F152" s="10" t="s">
        <v>32</v>
      </c>
      <c r="G152" s="35"/>
      <c r="H152" s="35"/>
      <c r="I152" s="36">
        <f>IFERROR(_xlfn.FORECAST.LINEAR('BD_LeiturasHidrômetro_PRJ03'!$A152,G:G,A:A),"0000")</f>
        <v>27909.75732</v>
      </c>
      <c r="J152" s="36">
        <f>IF('BD_LeiturasHidrômetro_PRJ03'!$G152&amp;'BD_LeiturasHidrômetro_PRJ03'!$H152="",'BD_LeiturasHidrômetro_PRJ03'!$I152,'BD_LeiturasHidrômetro_PRJ03'!$G152&amp;'BD_LeiturasHidrômetro_PRJ03'!$H152)</f>
        <v>27909.75732</v>
      </c>
      <c r="K152" s="36">
        <f t="shared" si="1"/>
        <v>27890.67782</v>
      </c>
      <c r="L152" s="15"/>
      <c r="M152" s="15"/>
      <c r="N152" s="17">
        <f t="shared" si="2"/>
        <v>19.07949791</v>
      </c>
      <c r="O152" s="15" t="s">
        <v>261</v>
      </c>
      <c r="S152" s="19"/>
    </row>
    <row r="153" ht="15.75" customHeight="1">
      <c r="A153" s="10">
        <v>168.0</v>
      </c>
      <c r="B153" s="11" t="s">
        <v>179</v>
      </c>
      <c r="C153" s="12">
        <v>9.0</v>
      </c>
      <c r="D153" s="10" t="s">
        <v>171</v>
      </c>
      <c r="E153" s="10">
        <v>2025.0</v>
      </c>
      <c r="F153" s="10" t="s">
        <v>34</v>
      </c>
      <c r="G153" s="35"/>
      <c r="H153" s="35"/>
      <c r="I153" s="36">
        <f>IFERROR(_xlfn.FORECAST.LINEAR('BD_LeiturasHidrômetro_PRJ03'!$A153,G:G,A:A),"0000")</f>
        <v>27928.83682</v>
      </c>
      <c r="J153" s="36">
        <f>IF('BD_LeiturasHidrômetro_PRJ03'!$G153&amp;'BD_LeiturasHidrômetro_PRJ03'!$H153="",'BD_LeiturasHidrômetro_PRJ03'!$I153,'BD_LeiturasHidrômetro_PRJ03'!$G153&amp;'BD_LeiturasHidrômetro_PRJ03'!$H153)</f>
        <v>27928.83682</v>
      </c>
      <c r="K153" s="36">
        <f t="shared" si="1"/>
        <v>27909.75732</v>
      </c>
      <c r="L153" s="15"/>
      <c r="M153" s="15"/>
      <c r="N153" s="17">
        <f t="shared" si="2"/>
        <v>19.07949791</v>
      </c>
      <c r="O153" s="15" t="s">
        <v>261</v>
      </c>
      <c r="S153" s="19"/>
    </row>
    <row r="154" ht="15.75" customHeight="1">
      <c r="A154" s="10">
        <v>169.0</v>
      </c>
      <c r="B154" s="11" t="s">
        <v>180</v>
      </c>
      <c r="C154" s="12">
        <v>10.0</v>
      </c>
      <c r="D154" s="10" t="s">
        <v>171</v>
      </c>
      <c r="E154" s="10">
        <v>2025.0</v>
      </c>
      <c r="F154" s="10" t="s">
        <v>19</v>
      </c>
      <c r="G154" s="35"/>
      <c r="H154" s="35"/>
      <c r="I154" s="36">
        <f>IFERROR(_xlfn.FORECAST.LINEAR('BD_LeiturasHidrômetro_PRJ03'!$A154,G:G,A:A),"0000")</f>
        <v>27947.91632</v>
      </c>
      <c r="J154" s="36">
        <f>IF('BD_LeiturasHidrômetro_PRJ03'!$G154&amp;'BD_LeiturasHidrômetro_PRJ03'!$H154="",'BD_LeiturasHidrômetro_PRJ03'!$I154,'BD_LeiturasHidrômetro_PRJ03'!$G154&amp;'BD_LeiturasHidrômetro_PRJ03'!$H154)</f>
        <v>27947.91632</v>
      </c>
      <c r="K154" s="36">
        <f t="shared" si="1"/>
        <v>27928.83682</v>
      </c>
      <c r="L154" s="15"/>
      <c r="M154" s="15"/>
      <c r="N154" s="17">
        <f t="shared" si="2"/>
        <v>19.07949791</v>
      </c>
      <c r="O154" s="15" t="s">
        <v>261</v>
      </c>
      <c r="S154" s="19"/>
    </row>
    <row r="155" ht="15.75" customHeight="1">
      <c r="A155" s="10">
        <v>170.0</v>
      </c>
      <c r="B155" s="11" t="s">
        <v>181</v>
      </c>
      <c r="C155" s="12">
        <v>11.0</v>
      </c>
      <c r="D155" s="10" t="s">
        <v>171</v>
      </c>
      <c r="E155" s="10">
        <v>2025.0</v>
      </c>
      <c r="F155" s="10" t="s">
        <v>23</v>
      </c>
      <c r="G155" s="35"/>
      <c r="H155" s="35"/>
      <c r="I155" s="36">
        <f>IFERROR(_xlfn.FORECAST.LINEAR('BD_LeiturasHidrômetro_PRJ03'!$A155,G:G,A:A),"0000")</f>
        <v>27966.99582</v>
      </c>
      <c r="J155" s="36">
        <f>IF('BD_LeiturasHidrômetro_PRJ03'!$G155&amp;'BD_LeiturasHidrômetro_PRJ03'!$H155="",'BD_LeiturasHidrômetro_PRJ03'!$I155,'BD_LeiturasHidrômetro_PRJ03'!$G155&amp;'BD_LeiturasHidrômetro_PRJ03'!$H155)</f>
        <v>27966.99582</v>
      </c>
      <c r="K155" s="36">
        <f t="shared" si="1"/>
        <v>27947.91632</v>
      </c>
      <c r="L155" s="15"/>
      <c r="M155" s="15"/>
      <c r="N155" s="17">
        <f t="shared" si="2"/>
        <v>19.07949791</v>
      </c>
      <c r="O155" s="15" t="s">
        <v>261</v>
      </c>
      <c r="S155" s="19"/>
    </row>
    <row r="156" ht="15.75" customHeight="1">
      <c r="A156" s="10">
        <v>171.0</v>
      </c>
      <c r="B156" s="11" t="s">
        <v>182</v>
      </c>
      <c r="C156" s="12">
        <v>12.0</v>
      </c>
      <c r="D156" s="10" t="s">
        <v>171</v>
      </c>
      <c r="E156" s="10">
        <v>2025.0</v>
      </c>
      <c r="F156" s="10" t="s">
        <v>26</v>
      </c>
      <c r="G156" s="35"/>
      <c r="H156" s="35"/>
      <c r="I156" s="36">
        <f>IFERROR(_xlfn.FORECAST.LINEAR('BD_LeiturasHidrômetro_PRJ03'!$A156,G:G,A:A),"0000")</f>
        <v>27986.07531</v>
      </c>
      <c r="J156" s="36">
        <f>IF('BD_LeiturasHidrômetro_PRJ03'!$G156&amp;'BD_LeiturasHidrômetro_PRJ03'!$H156="",'BD_LeiturasHidrômetro_PRJ03'!$I156,'BD_LeiturasHidrômetro_PRJ03'!$G156&amp;'BD_LeiturasHidrômetro_PRJ03'!$H156)</f>
        <v>27986.07531</v>
      </c>
      <c r="K156" s="36">
        <f t="shared" si="1"/>
        <v>27966.99582</v>
      </c>
      <c r="L156" s="15"/>
      <c r="M156" s="15"/>
      <c r="N156" s="17">
        <f t="shared" si="2"/>
        <v>19.07949791</v>
      </c>
      <c r="O156" s="15" t="s">
        <v>261</v>
      </c>
      <c r="S156" s="19"/>
    </row>
    <row r="157" ht="15.75" customHeight="1">
      <c r="A157" s="10">
        <v>172.0</v>
      </c>
      <c r="B157" s="11" t="s">
        <v>183</v>
      </c>
      <c r="C157" s="12">
        <v>13.0</v>
      </c>
      <c r="D157" s="10" t="s">
        <v>171</v>
      </c>
      <c r="E157" s="10">
        <v>2025.0</v>
      </c>
      <c r="F157" s="10" t="s">
        <v>28</v>
      </c>
      <c r="G157" s="35"/>
      <c r="H157" s="35"/>
      <c r="I157" s="36">
        <f>IFERROR(_xlfn.FORECAST.LINEAR('BD_LeiturasHidrômetro_PRJ03'!$A157,G:G,A:A),"0000")</f>
        <v>28005.15481</v>
      </c>
      <c r="J157" s="36">
        <f>IF('BD_LeiturasHidrômetro_PRJ03'!$G157&amp;'BD_LeiturasHidrômetro_PRJ03'!$H157="",'BD_LeiturasHidrômetro_PRJ03'!$I157,'BD_LeiturasHidrômetro_PRJ03'!$G157&amp;'BD_LeiturasHidrômetro_PRJ03'!$H157)</f>
        <v>28005.15481</v>
      </c>
      <c r="K157" s="36">
        <f t="shared" si="1"/>
        <v>27986.07531</v>
      </c>
      <c r="L157" s="15"/>
      <c r="M157" s="15"/>
      <c r="N157" s="17">
        <f t="shared" si="2"/>
        <v>19.07949791</v>
      </c>
      <c r="O157" s="15" t="s">
        <v>261</v>
      </c>
      <c r="S157" s="19"/>
    </row>
    <row r="158" ht="15.75" customHeight="1">
      <c r="A158" s="10">
        <v>173.0</v>
      </c>
      <c r="B158" s="11" t="s">
        <v>184</v>
      </c>
      <c r="C158" s="12">
        <v>14.0</v>
      </c>
      <c r="D158" s="10" t="s">
        <v>171</v>
      </c>
      <c r="E158" s="10">
        <v>2025.0</v>
      </c>
      <c r="F158" s="10" t="s">
        <v>30</v>
      </c>
      <c r="G158" s="35"/>
      <c r="H158" s="35"/>
      <c r="I158" s="36">
        <f>IFERROR(_xlfn.FORECAST.LINEAR('BD_LeiturasHidrômetro_PRJ03'!$A158,G:G,A:A),"0000")</f>
        <v>28024.23431</v>
      </c>
      <c r="J158" s="36">
        <f>IF('BD_LeiturasHidrômetro_PRJ03'!$G158&amp;'BD_LeiturasHidrômetro_PRJ03'!$H158="",'BD_LeiturasHidrômetro_PRJ03'!$I158,'BD_LeiturasHidrômetro_PRJ03'!$G158&amp;'BD_LeiturasHidrômetro_PRJ03'!$H158)</f>
        <v>28024.23431</v>
      </c>
      <c r="K158" s="36">
        <f t="shared" si="1"/>
        <v>28005.15481</v>
      </c>
      <c r="L158" s="15"/>
      <c r="M158" s="15"/>
      <c r="N158" s="17">
        <f t="shared" si="2"/>
        <v>19.07949791</v>
      </c>
      <c r="O158" s="15" t="s">
        <v>261</v>
      </c>
      <c r="S158" s="19"/>
    </row>
    <row r="159" ht="15.75" customHeight="1">
      <c r="A159" s="10">
        <v>174.0</v>
      </c>
      <c r="B159" s="11" t="s">
        <v>185</v>
      </c>
      <c r="C159" s="12">
        <v>15.0</v>
      </c>
      <c r="D159" s="10" t="s">
        <v>171</v>
      </c>
      <c r="E159" s="10">
        <v>2025.0</v>
      </c>
      <c r="F159" s="10" t="s">
        <v>32</v>
      </c>
      <c r="G159" s="35"/>
      <c r="H159" s="35"/>
      <c r="I159" s="36">
        <f>IFERROR(_xlfn.FORECAST.LINEAR('BD_LeiturasHidrômetro_PRJ03'!$A159,G:G,A:A),"0000")</f>
        <v>28043.31381</v>
      </c>
      <c r="J159" s="36">
        <f>IF('BD_LeiturasHidrômetro_PRJ03'!$G159&amp;'BD_LeiturasHidrômetro_PRJ03'!$H159="",'BD_LeiturasHidrômetro_PRJ03'!$I159,'BD_LeiturasHidrômetro_PRJ03'!$G159&amp;'BD_LeiturasHidrômetro_PRJ03'!$H159)</f>
        <v>28043.31381</v>
      </c>
      <c r="K159" s="36">
        <f t="shared" si="1"/>
        <v>28024.23431</v>
      </c>
      <c r="L159" s="15"/>
      <c r="M159" s="15"/>
      <c r="N159" s="17">
        <f t="shared" si="2"/>
        <v>19.07949791</v>
      </c>
      <c r="O159" s="15" t="s">
        <v>261</v>
      </c>
      <c r="S159" s="19"/>
    </row>
    <row r="160" ht="15.75" customHeight="1">
      <c r="A160" s="10">
        <v>175.0</v>
      </c>
      <c r="B160" s="11" t="s">
        <v>186</v>
      </c>
      <c r="C160" s="12">
        <v>16.0</v>
      </c>
      <c r="D160" s="10" t="s">
        <v>171</v>
      </c>
      <c r="E160" s="10">
        <v>2025.0</v>
      </c>
      <c r="F160" s="10" t="s">
        <v>34</v>
      </c>
      <c r="G160" s="35"/>
      <c r="H160" s="35"/>
      <c r="I160" s="36">
        <f>IFERROR(_xlfn.FORECAST.LINEAR('BD_LeiturasHidrômetro_PRJ03'!$A160,G:G,A:A),"0000")</f>
        <v>28062.39331</v>
      </c>
      <c r="J160" s="36">
        <f>IF('BD_LeiturasHidrômetro_PRJ03'!$G160&amp;'BD_LeiturasHidrômetro_PRJ03'!$H160="",'BD_LeiturasHidrômetro_PRJ03'!$I160,'BD_LeiturasHidrômetro_PRJ03'!$G160&amp;'BD_LeiturasHidrômetro_PRJ03'!$H160)</f>
        <v>28062.39331</v>
      </c>
      <c r="K160" s="36">
        <f t="shared" si="1"/>
        <v>28043.31381</v>
      </c>
      <c r="L160" s="15"/>
      <c r="M160" s="15"/>
      <c r="N160" s="17">
        <f t="shared" si="2"/>
        <v>19.07949791</v>
      </c>
      <c r="O160" s="15" t="s">
        <v>261</v>
      </c>
      <c r="S160" s="19"/>
    </row>
    <row r="161" ht="15.75" customHeight="1">
      <c r="A161" s="10">
        <v>176.0</v>
      </c>
      <c r="B161" s="11" t="s">
        <v>187</v>
      </c>
      <c r="C161" s="12">
        <v>17.0</v>
      </c>
      <c r="D161" s="10" t="s">
        <v>171</v>
      </c>
      <c r="E161" s="10">
        <v>2025.0</v>
      </c>
      <c r="F161" s="10" t="s">
        <v>19</v>
      </c>
      <c r="G161" s="35"/>
      <c r="H161" s="35"/>
      <c r="I161" s="36">
        <f>IFERROR(_xlfn.FORECAST.LINEAR('BD_LeiturasHidrômetro_PRJ03'!$A161,G:G,A:A),"0000")</f>
        <v>28081.4728</v>
      </c>
      <c r="J161" s="36">
        <f>IF('BD_LeiturasHidrômetro_PRJ03'!$G161&amp;'BD_LeiturasHidrômetro_PRJ03'!$H161="",'BD_LeiturasHidrômetro_PRJ03'!$I161,'BD_LeiturasHidrômetro_PRJ03'!$G161&amp;'BD_LeiturasHidrômetro_PRJ03'!$H161)</f>
        <v>28081.4728</v>
      </c>
      <c r="K161" s="36">
        <f t="shared" si="1"/>
        <v>28062.39331</v>
      </c>
      <c r="L161" s="15"/>
      <c r="M161" s="15"/>
      <c r="N161" s="17">
        <f t="shared" si="2"/>
        <v>19.07949791</v>
      </c>
      <c r="O161" s="15" t="s">
        <v>261</v>
      </c>
      <c r="S161" s="19"/>
    </row>
    <row r="162" ht="15.75" customHeight="1">
      <c r="A162" s="10">
        <v>177.0</v>
      </c>
      <c r="B162" s="11" t="s">
        <v>188</v>
      </c>
      <c r="C162" s="12">
        <v>18.0</v>
      </c>
      <c r="D162" s="10" t="s">
        <v>171</v>
      </c>
      <c r="E162" s="10">
        <v>2025.0</v>
      </c>
      <c r="F162" s="10" t="s">
        <v>23</v>
      </c>
      <c r="G162" s="35"/>
      <c r="H162" s="35"/>
      <c r="I162" s="36">
        <f>IFERROR(_xlfn.FORECAST.LINEAR('BD_LeiturasHidrômetro_PRJ03'!$A162,G:G,A:A),"0000")</f>
        <v>28100.5523</v>
      </c>
      <c r="J162" s="36">
        <f>IF('BD_LeiturasHidrômetro_PRJ03'!$G162&amp;'BD_LeiturasHidrômetro_PRJ03'!$H162="",'BD_LeiturasHidrômetro_PRJ03'!$I162,'BD_LeiturasHidrômetro_PRJ03'!$G162&amp;'BD_LeiturasHidrômetro_PRJ03'!$H162)</f>
        <v>28100.5523</v>
      </c>
      <c r="K162" s="36">
        <f t="shared" si="1"/>
        <v>28081.4728</v>
      </c>
      <c r="L162" s="15"/>
      <c r="M162" s="15"/>
      <c r="N162" s="17">
        <f t="shared" si="2"/>
        <v>19.07949791</v>
      </c>
      <c r="O162" s="15" t="s">
        <v>261</v>
      </c>
      <c r="S162" s="19"/>
    </row>
    <row r="163" ht="15.75" customHeight="1">
      <c r="A163" s="10">
        <v>178.0</v>
      </c>
      <c r="B163" s="11" t="s">
        <v>189</v>
      </c>
      <c r="C163" s="12">
        <v>19.0</v>
      </c>
      <c r="D163" s="10" t="s">
        <v>171</v>
      </c>
      <c r="E163" s="10">
        <v>2025.0</v>
      </c>
      <c r="F163" s="10" t="s">
        <v>26</v>
      </c>
      <c r="G163" s="35"/>
      <c r="H163" s="35"/>
      <c r="I163" s="36">
        <f>IFERROR(_xlfn.FORECAST.LINEAR('BD_LeiturasHidrômetro_PRJ03'!$A163,G:G,A:A),"0000")</f>
        <v>28119.6318</v>
      </c>
      <c r="J163" s="36">
        <f>IF('BD_LeiturasHidrômetro_PRJ03'!$G163&amp;'BD_LeiturasHidrômetro_PRJ03'!$H163="",'BD_LeiturasHidrômetro_PRJ03'!$I163,'BD_LeiturasHidrômetro_PRJ03'!$G163&amp;'BD_LeiturasHidrômetro_PRJ03'!$H163)</f>
        <v>28119.6318</v>
      </c>
      <c r="K163" s="36">
        <f t="shared" si="1"/>
        <v>28100.5523</v>
      </c>
      <c r="L163" s="15"/>
      <c r="M163" s="15"/>
      <c r="N163" s="17">
        <f t="shared" si="2"/>
        <v>19.07949791</v>
      </c>
      <c r="O163" s="15" t="s">
        <v>261</v>
      </c>
      <c r="S163" s="19"/>
    </row>
    <row r="164" ht="15.75" customHeight="1">
      <c r="A164" s="10">
        <v>179.0</v>
      </c>
      <c r="B164" s="11" t="s">
        <v>190</v>
      </c>
      <c r="C164" s="12">
        <v>20.0</v>
      </c>
      <c r="D164" s="10" t="s">
        <v>171</v>
      </c>
      <c r="E164" s="10">
        <v>2025.0</v>
      </c>
      <c r="F164" s="10" t="s">
        <v>28</v>
      </c>
      <c r="G164" s="35"/>
      <c r="H164" s="35"/>
      <c r="I164" s="36">
        <f>IFERROR(_xlfn.FORECAST.LINEAR('BD_LeiturasHidrômetro_PRJ03'!$A164,G:G,A:A),"0000")</f>
        <v>28138.7113</v>
      </c>
      <c r="J164" s="36">
        <f>IF('BD_LeiturasHidrômetro_PRJ03'!$G164&amp;'BD_LeiturasHidrômetro_PRJ03'!$H164="",'BD_LeiturasHidrômetro_PRJ03'!$I164,'BD_LeiturasHidrômetro_PRJ03'!$G164&amp;'BD_LeiturasHidrômetro_PRJ03'!$H164)</f>
        <v>28138.7113</v>
      </c>
      <c r="K164" s="36">
        <f t="shared" si="1"/>
        <v>28119.6318</v>
      </c>
      <c r="L164" s="15"/>
      <c r="M164" s="15"/>
      <c r="N164" s="17">
        <f t="shared" si="2"/>
        <v>19.07949791</v>
      </c>
      <c r="O164" s="15" t="s">
        <v>261</v>
      </c>
      <c r="S164" s="19"/>
    </row>
    <row r="165" ht="15.75" customHeight="1">
      <c r="A165" s="10">
        <v>180.0</v>
      </c>
      <c r="B165" s="11" t="s">
        <v>191</v>
      </c>
      <c r="C165" s="12">
        <v>21.0</v>
      </c>
      <c r="D165" s="10" t="s">
        <v>171</v>
      </c>
      <c r="E165" s="10">
        <v>2025.0</v>
      </c>
      <c r="F165" s="10" t="s">
        <v>30</v>
      </c>
      <c r="G165" s="35"/>
      <c r="H165" s="35"/>
      <c r="I165" s="36">
        <f>IFERROR(_xlfn.FORECAST.LINEAR('BD_LeiturasHidrômetro_PRJ03'!$A165,G:G,A:A),"0000")</f>
        <v>28157.79079</v>
      </c>
      <c r="J165" s="36">
        <f>IF('BD_LeiturasHidrômetro_PRJ03'!$G165&amp;'BD_LeiturasHidrômetro_PRJ03'!$H165="",'BD_LeiturasHidrômetro_PRJ03'!$I165,'BD_LeiturasHidrômetro_PRJ03'!$G165&amp;'BD_LeiturasHidrômetro_PRJ03'!$H165)</f>
        <v>28157.79079</v>
      </c>
      <c r="K165" s="36">
        <f t="shared" si="1"/>
        <v>28138.7113</v>
      </c>
      <c r="L165" s="15"/>
      <c r="M165" s="15"/>
      <c r="N165" s="17">
        <f t="shared" si="2"/>
        <v>19.07949791</v>
      </c>
      <c r="O165" s="15" t="s">
        <v>261</v>
      </c>
      <c r="S165" s="19"/>
    </row>
    <row r="166" ht="15.75" customHeight="1">
      <c r="A166" s="10">
        <v>181.0</v>
      </c>
      <c r="B166" s="11" t="s">
        <v>192</v>
      </c>
      <c r="C166" s="12">
        <v>22.0</v>
      </c>
      <c r="D166" s="10" t="s">
        <v>171</v>
      </c>
      <c r="E166" s="10">
        <v>2025.0</v>
      </c>
      <c r="F166" s="10" t="s">
        <v>32</v>
      </c>
      <c r="G166" s="35"/>
      <c r="H166" s="35"/>
      <c r="I166" s="36">
        <f>IFERROR(_xlfn.FORECAST.LINEAR('BD_LeiturasHidrômetro_PRJ03'!$A166,G:G,A:A),"0000")</f>
        <v>28176.87029</v>
      </c>
      <c r="J166" s="36">
        <f>IF('BD_LeiturasHidrômetro_PRJ03'!$G166&amp;'BD_LeiturasHidrômetro_PRJ03'!$H166="",'BD_LeiturasHidrômetro_PRJ03'!$I166,'BD_LeiturasHidrômetro_PRJ03'!$G166&amp;'BD_LeiturasHidrômetro_PRJ03'!$H166)</f>
        <v>28176.87029</v>
      </c>
      <c r="K166" s="36">
        <f t="shared" si="1"/>
        <v>28157.79079</v>
      </c>
      <c r="L166" s="15"/>
      <c r="M166" s="15"/>
      <c r="N166" s="17">
        <f t="shared" si="2"/>
        <v>19.07949791</v>
      </c>
      <c r="O166" s="15" t="s">
        <v>261</v>
      </c>
      <c r="S166" s="19"/>
    </row>
    <row r="167" ht="15.75" customHeight="1">
      <c r="A167" s="10">
        <v>182.0</v>
      </c>
      <c r="B167" s="11" t="s">
        <v>193</v>
      </c>
      <c r="C167" s="12">
        <v>23.0</v>
      </c>
      <c r="D167" s="10" t="s">
        <v>171</v>
      </c>
      <c r="E167" s="10">
        <v>2025.0</v>
      </c>
      <c r="F167" s="10" t="s">
        <v>34</v>
      </c>
      <c r="G167" s="35"/>
      <c r="H167" s="35"/>
      <c r="I167" s="36">
        <f>IFERROR(_xlfn.FORECAST.LINEAR('BD_LeiturasHidrômetro_PRJ03'!$A167,G:G,A:A),"0000")</f>
        <v>28195.94979</v>
      </c>
      <c r="J167" s="36">
        <f>IF('BD_LeiturasHidrômetro_PRJ03'!$G167&amp;'BD_LeiturasHidrômetro_PRJ03'!$H167="",'BD_LeiturasHidrômetro_PRJ03'!$I167,'BD_LeiturasHidrômetro_PRJ03'!$G167&amp;'BD_LeiturasHidrômetro_PRJ03'!$H167)</f>
        <v>28195.94979</v>
      </c>
      <c r="K167" s="36">
        <f t="shared" si="1"/>
        <v>28176.87029</v>
      </c>
      <c r="L167" s="15"/>
      <c r="M167" s="15"/>
      <c r="N167" s="17">
        <f t="shared" si="2"/>
        <v>19.07949791</v>
      </c>
      <c r="O167" s="15" t="s">
        <v>261</v>
      </c>
      <c r="S167" s="19"/>
    </row>
    <row r="168" ht="15.75" customHeight="1">
      <c r="A168" s="10">
        <v>183.0</v>
      </c>
      <c r="B168" s="11" t="s">
        <v>194</v>
      </c>
      <c r="C168" s="12">
        <v>24.0</v>
      </c>
      <c r="D168" s="10" t="s">
        <v>171</v>
      </c>
      <c r="E168" s="10">
        <v>2025.0</v>
      </c>
      <c r="F168" s="10" t="s">
        <v>19</v>
      </c>
      <c r="G168" s="35"/>
      <c r="H168" s="35"/>
      <c r="I168" s="36">
        <f>IFERROR(_xlfn.FORECAST.LINEAR('BD_LeiturasHidrômetro_PRJ03'!$A168,G:G,A:A),"0000")</f>
        <v>28215.02929</v>
      </c>
      <c r="J168" s="36">
        <f>IF('BD_LeiturasHidrômetro_PRJ03'!$G168&amp;'BD_LeiturasHidrômetro_PRJ03'!$H168="",'BD_LeiturasHidrômetro_PRJ03'!$I168,'BD_LeiturasHidrômetro_PRJ03'!$G168&amp;'BD_LeiturasHidrômetro_PRJ03'!$H168)</f>
        <v>28215.02929</v>
      </c>
      <c r="K168" s="36">
        <f t="shared" si="1"/>
        <v>28195.94979</v>
      </c>
      <c r="L168" s="15"/>
      <c r="M168" s="15"/>
      <c r="N168" s="17">
        <f t="shared" si="2"/>
        <v>19.07949791</v>
      </c>
      <c r="O168" s="15" t="s">
        <v>261</v>
      </c>
      <c r="S168" s="19"/>
    </row>
    <row r="169" ht="15.75" customHeight="1">
      <c r="A169" s="10">
        <v>184.0</v>
      </c>
      <c r="B169" s="11" t="s">
        <v>195</v>
      </c>
      <c r="C169" s="12">
        <v>25.0</v>
      </c>
      <c r="D169" s="10" t="s">
        <v>171</v>
      </c>
      <c r="E169" s="10">
        <v>2025.0</v>
      </c>
      <c r="F169" s="10" t="s">
        <v>23</v>
      </c>
      <c r="G169" s="35"/>
      <c r="H169" s="35"/>
      <c r="I169" s="36">
        <f>IFERROR(_xlfn.FORECAST.LINEAR('BD_LeiturasHidrômetro_PRJ03'!$A169,G:G,A:A),"0000")</f>
        <v>28234.10879</v>
      </c>
      <c r="J169" s="36">
        <f>IF('BD_LeiturasHidrômetro_PRJ03'!$G169&amp;'BD_LeiturasHidrômetro_PRJ03'!$H169="",'BD_LeiturasHidrômetro_PRJ03'!$I169,'BD_LeiturasHidrômetro_PRJ03'!$G169&amp;'BD_LeiturasHidrômetro_PRJ03'!$H169)</f>
        <v>28234.10879</v>
      </c>
      <c r="K169" s="36">
        <f t="shared" si="1"/>
        <v>28215.02929</v>
      </c>
      <c r="L169" s="15"/>
      <c r="M169" s="15"/>
      <c r="N169" s="17">
        <f t="shared" si="2"/>
        <v>19.07949791</v>
      </c>
      <c r="O169" s="15" t="s">
        <v>261</v>
      </c>
      <c r="S169" s="19"/>
    </row>
    <row r="170" ht="15.75" customHeight="1">
      <c r="A170" s="10">
        <v>185.0</v>
      </c>
      <c r="B170" s="11" t="s">
        <v>196</v>
      </c>
      <c r="C170" s="12">
        <v>26.0</v>
      </c>
      <c r="D170" s="10" t="s">
        <v>171</v>
      </c>
      <c r="E170" s="10">
        <v>2025.0</v>
      </c>
      <c r="F170" s="10" t="s">
        <v>26</v>
      </c>
      <c r="G170" s="35"/>
      <c r="H170" s="35"/>
      <c r="I170" s="36">
        <f>IFERROR(_xlfn.FORECAST.LINEAR('BD_LeiturasHidrômetro_PRJ03'!$A170,G:G,A:A),"0000")</f>
        <v>28253.18828</v>
      </c>
      <c r="J170" s="36">
        <f>IF('BD_LeiturasHidrômetro_PRJ03'!$G170&amp;'BD_LeiturasHidrômetro_PRJ03'!$H170="",'BD_LeiturasHidrômetro_PRJ03'!$I170,'BD_LeiturasHidrômetro_PRJ03'!$G170&amp;'BD_LeiturasHidrômetro_PRJ03'!$H170)</f>
        <v>28253.18828</v>
      </c>
      <c r="K170" s="36">
        <f t="shared" si="1"/>
        <v>28234.10879</v>
      </c>
      <c r="L170" s="15"/>
      <c r="M170" s="15"/>
      <c r="N170" s="17">
        <f t="shared" si="2"/>
        <v>19.07949791</v>
      </c>
      <c r="O170" s="15" t="s">
        <v>261</v>
      </c>
      <c r="S170" s="19"/>
    </row>
    <row r="171" ht="15.75" customHeight="1">
      <c r="A171" s="10">
        <v>186.0</v>
      </c>
      <c r="B171" s="11" t="s">
        <v>197</v>
      </c>
      <c r="C171" s="12">
        <v>27.0</v>
      </c>
      <c r="D171" s="10" t="s">
        <v>171</v>
      </c>
      <c r="E171" s="10">
        <v>2025.0</v>
      </c>
      <c r="F171" s="10" t="s">
        <v>28</v>
      </c>
      <c r="G171" s="35"/>
      <c r="H171" s="35"/>
      <c r="I171" s="36">
        <f>IFERROR(_xlfn.FORECAST.LINEAR('BD_LeiturasHidrômetro_PRJ03'!$A171,G:G,A:A),"0000")</f>
        <v>28272.26778</v>
      </c>
      <c r="J171" s="36">
        <f>IF('BD_LeiturasHidrômetro_PRJ03'!$G171&amp;'BD_LeiturasHidrômetro_PRJ03'!$H171="",'BD_LeiturasHidrômetro_PRJ03'!$I171,'BD_LeiturasHidrômetro_PRJ03'!$G171&amp;'BD_LeiturasHidrômetro_PRJ03'!$H171)</f>
        <v>28272.26778</v>
      </c>
      <c r="K171" s="36">
        <f t="shared" si="1"/>
        <v>28253.18828</v>
      </c>
      <c r="L171" s="15"/>
      <c r="M171" s="15"/>
      <c r="N171" s="17">
        <f t="shared" si="2"/>
        <v>19.07949791</v>
      </c>
      <c r="O171" s="15" t="s">
        <v>261</v>
      </c>
      <c r="S171" s="19"/>
    </row>
    <row r="172" ht="15.75" customHeight="1">
      <c r="A172" s="10">
        <v>187.0</v>
      </c>
      <c r="B172" s="11" t="s">
        <v>198</v>
      </c>
      <c r="C172" s="12">
        <v>28.0</v>
      </c>
      <c r="D172" s="10" t="s">
        <v>171</v>
      </c>
      <c r="E172" s="10">
        <v>2025.0</v>
      </c>
      <c r="F172" s="10" t="s">
        <v>30</v>
      </c>
      <c r="G172" s="35"/>
      <c r="H172" s="35"/>
      <c r="I172" s="36">
        <f>IFERROR(_xlfn.FORECAST.LINEAR('BD_LeiturasHidrômetro_PRJ03'!$A172,G:G,A:A),"0000")</f>
        <v>28291.34728</v>
      </c>
      <c r="J172" s="36">
        <f>IF('BD_LeiturasHidrômetro_PRJ03'!$G172&amp;'BD_LeiturasHidrômetro_PRJ03'!$H172="",'BD_LeiturasHidrômetro_PRJ03'!$I172,'BD_LeiturasHidrômetro_PRJ03'!$G172&amp;'BD_LeiturasHidrômetro_PRJ03'!$H172)</f>
        <v>28291.34728</v>
      </c>
      <c r="K172" s="36">
        <f t="shared" si="1"/>
        <v>28272.26778</v>
      </c>
      <c r="L172" s="15"/>
      <c r="M172" s="15"/>
      <c r="N172" s="17">
        <f t="shared" si="2"/>
        <v>19.07949791</v>
      </c>
      <c r="O172" s="15" t="s">
        <v>261</v>
      </c>
      <c r="S172" s="19"/>
    </row>
    <row r="173" ht="15.75" customHeight="1">
      <c r="A173" s="10">
        <v>188.0</v>
      </c>
      <c r="B173" s="11" t="s">
        <v>199</v>
      </c>
      <c r="C173" s="12">
        <v>29.0</v>
      </c>
      <c r="D173" s="10" t="s">
        <v>171</v>
      </c>
      <c r="E173" s="10">
        <v>2025.0</v>
      </c>
      <c r="F173" s="10" t="s">
        <v>32</v>
      </c>
      <c r="G173" s="35"/>
      <c r="H173" s="35"/>
      <c r="I173" s="36">
        <f>IFERROR(_xlfn.FORECAST.LINEAR('BD_LeiturasHidrômetro_PRJ03'!$A173,G:G,A:A),"0000")</f>
        <v>28310.42678</v>
      </c>
      <c r="J173" s="36">
        <f>IF('BD_LeiturasHidrômetro_PRJ03'!$G173&amp;'BD_LeiturasHidrômetro_PRJ03'!$H173="",'BD_LeiturasHidrômetro_PRJ03'!$I173,'BD_LeiturasHidrômetro_PRJ03'!$G173&amp;'BD_LeiturasHidrômetro_PRJ03'!$H173)</f>
        <v>28310.42678</v>
      </c>
      <c r="K173" s="36">
        <f t="shared" si="1"/>
        <v>28291.34728</v>
      </c>
      <c r="L173" s="15"/>
      <c r="M173" s="15"/>
      <c r="N173" s="17">
        <f t="shared" si="2"/>
        <v>19.07949791</v>
      </c>
      <c r="O173" s="15" t="s">
        <v>261</v>
      </c>
      <c r="S173" s="19"/>
    </row>
    <row r="174" ht="15.75" customHeight="1">
      <c r="A174" s="10">
        <v>189.0</v>
      </c>
      <c r="B174" s="11" t="s">
        <v>200</v>
      </c>
      <c r="C174" s="12">
        <v>30.0</v>
      </c>
      <c r="D174" s="10" t="s">
        <v>171</v>
      </c>
      <c r="E174" s="10">
        <v>2025.0</v>
      </c>
      <c r="F174" s="10" t="s">
        <v>34</v>
      </c>
      <c r="G174" s="35"/>
      <c r="H174" s="35"/>
      <c r="I174" s="36">
        <f>IFERROR(_xlfn.FORECAST.LINEAR('BD_LeiturasHidrômetro_PRJ03'!$A174,G:G,A:A),"0000")</f>
        <v>28329.50628</v>
      </c>
      <c r="J174" s="36">
        <f>IF('BD_LeiturasHidrômetro_PRJ03'!$G174&amp;'BD_LeiturasHidrômetro_PRJ03'!$H174="",'BD_LeiturasHidrômetro_PRJ03'!$I174,'BD_LeiturasHidrômetro_PRJ03'!$G174&amp;'BD_LeiturasHidrômetro_PRJ03'!$H174)</f>
        <v>28329.50628</v>
      </c>
      <c r="K174" s="36">
        <f t="shared" si="1"/>
        <v>28310.42678</v>
      </c>
      <c r="L174" s="15"/>
      <c r="M174" s="15"/>
      <c r="N174" s="17">
        <f t="shared" si="2"/>
        <v>19.07949791</v>
      </c>
      <c r="O174" s="15" t="s">
        <v>261</v>
      </c>
      <c r="S174" s="19"/>
    </row>
    <row r="175" ht="15.75" customHeight="1">
      <c r="A175" s="10">
        <v>190.0</v>
      </c>
      <c r="B175" s="11" t="s">
        <v>201</v>
      </c>
      <c r="C175" s="12">
        <v>1.0</v>
      </c>
      <c r="D175" s="10" t="s">
        <v>202</v>
      </c>
      <c r="E175" s="10">
        <v>2025.0</v>
      </c>
      <c r="F175" s="10" t="s">
        <v>19</v>
      </c>
      <c r="G175" s="35"/>
      <c r="H175" s="35"/>
      <c r="I175" s="36">
        <f>IFERROR(_xlfn.FORECAST.LINEAR('BD_LeiturasHidrômetro_PRJ03'!$A175,G:G,A:A),"0000")</f>
        <v>28348.58577</v>
      </c>
      <c r="J175" s="36">
        <f>IF('BD_LeiturasHidrômetro_PRJ03'!$G175&amp;'BD_LeiturasHidrômetro_PRJ03'!$H175="",'BD_LeiturasHidrômetro_PRJ03'!$I175,'BD_LeiturasHidrômetro_PRJ03'!$G175&amp;'BD_LeiturasHidrômetro_PRJ03'!$H175)</f>
        <v>28348.58577</v>
      </c>
      <c r="K175" s="36">
        <f t="shared" si="1"/>
        <v>28329.50628</v>
      </c>
      <c r="L175" s="15"/>
      <c r="M175" s="15"/>
      <c r="N175" s="17">
        <f t="shared" si="2"/>
        <v>19.07949791</v>
      </c>
      <c r="O175" s="15" t="s">
        <v>261</v>
      </c>
      <c r="S175" s="19"/>
    </row>
    <row r="176" ht="15.75" customHeight="1">
      <c r="A176" s="10">
        <v>191.0</v>
      </c>
      <c r="B176" s="11" t="s">
        <v>203</v>
      </c>
      <c r="C176" s="12">
        <v>2.0</v>
      </c>
      <c r="D176" s="10" t="s">
        <v>202</v>
      </c>
      <c r="E176" s="10">
        <v>2025.0</v>
      </c>
      <c r="F176" s="10" t="s">
        <v>23</v>
      </c>
      <c r="G176" s="35"/>
      <c r="H176" s="35"/>
      <c r="I176" s="36">
        <f>IFERROR(_xlfn.FORECAST.LINEAR('BD_LeiturasHidrômetro_PRJ03'!$A176,G:G,A:A),"0000")</f>
        <v>28367.66527</v>
      </c>
      <c r="J176" s="36">
        <f>IF('BD_LeiturasHidrômetro_PRJ03'!$G176&amp;'BD_LeiturasHidrômetro_PRJ03'!$H176="",'BD_LeiturasHidrômetro_PRJ03'!$I176,'BD_LeiturasHidrômetro_PRJ03'!$G176&amp;'BD_LeiturasHidrômetro_PRJ03'!$H176)</f>
        <v>28367.66527</v>
      </c>
      <c r="K176" s="36">
        <f t="shared" si="1"/>
        <v>28348.58577</v>
      </c>
      <c r="L176" s="15"/>
      <c r="M176" s="15"/>
      <c r="N176" s="17">
        <f t="shared" si="2"/>
        <v>19.07949791</v>
      </c>
      <c r="O176" s="15" t="s">
        <v>261</v>
      </c>
      <c r="S176" s="19"/>
    </row>
    <row r="177" ht="15.75" customHeight="1">
      <c r="A177" s="10">
        <v>192.0</v>
      </c>
      <c r="B177" s="11" t="s">
        <v>204</v>
      </c>
      <c r="C177" s="12">
        <v>3.0</v>
      </c>
      <c r="D177" s="10" t="s">
        <v>202</v>
      </c>
      <c r="E177" s="10">
        <v>2025.0</v>
      </c>
      <c r="F177" s="10" t="s">
        <v>26</v>
      </c>
      <c r="G177" s="35"/>
      <c r="H177" s="35"/>
      <c r="I177" s="36">
        <f>IFERROR(_xlfn.FORECAST.LINEAR('BD_LeiturasHidrômetro_PRJ03'!$A177,G:G,A:A),"0000")</f>
        <v>28386.74477</v>
      </c>
      <c r="J177" s="36">
        <f>IF('BD_LeiturasHidrômetro_PRJ03'!$G177&amp;'BD_LeiturasHidrômetro_PRJ03'!$H177="",'BD_LeiturasHidrômetro_PRJ03'!$I177,'BD_LeiturasHidrômetro_PRJ03'!$G177&amp;'BD_LeiturasHidrômetro_PRJ03'!$H177)</f>
        <v>28386.74477</v>
      </c>
      <c r="K177" s="36">
        <f t="shared" si="1"/>
        <v>28367.66527</v>
      </c>
      <c r="L177" s="15"/>
      <c r="M177" s="15"/>
      <c r="N177" s="17">
        <f t="shared" si="2"/>
        <v>19.07949791</v>
      </c>
      <c r="O177" s="15" t="s">
        <v>261</v>
      </c>
      <c r="S177" s="19"/>
    </row>
    <row r="178" ht="15.75" customHeight="1">
      <c r="A178" s="10">
        <v>193.0</v>
      </c>
      <c r="B178" s="11" t="s">
        <v>205</v>
      </c>
      <c r="C178" s="12">
        <v>4.0</v>
      </c>
      <c r="D178" s="10" t="s">
        <v>202</v>
      </c>
      <c r="E178" s="10">
        <v>2025.0</v>
      </c>
      <c r="F178" s="10" t="s">
        <v>28</v>
      </c>
      <c r="G178" s="35"/>
      <c r="H178" s="35"/>
      <c r="I178" s="36">
        <f>IFERROR(_xlfn.FORECAST.LINEAR('BD_LeiturasHidrômetro_PRJ03'!$A178,G:G,A:A),"0000")</f>
        <v>28405.82427</v>
      </c>
      <c r="J178" s="36">
        <f>IF('BD_LeiturasHidrômetro_PRJ03'!$G178&amp;'BD_LeiturasHidrômetro_PRJ03'!$H178="",'BD_LeiturasHidrômetro_PRJ03'!$I178,'BD_LeiturasHidrômetro_PRJ03'!$G178&amp;'BD_LeiturasHidrômetro_PRJ03'!$H178)</f>
        <v>28405.82427</v>
      </c>
      <c r="K178" s="36">
        <f t="shared" si="1"/>
        <v>28386.74477</v>
      </c>
      <c r="L178" s="15"/>
      <c r="M178" s="15"/>
      <c r="N178" s="17">
        <f t="shared" si="2"/>
        <v>19.07949791</v>
      </c>
      <c r="O178" s="15" t="s">
        <v>261</v>
      </c>
      <c r="S178" s="19"/>
    </row>
    <row r="179" ht="15.75" customHeight="1">
      <c r="A179" s="10">
        <v>194.0</v>
      </c>
      <c r="B179" s="11" t="s">
        <v>206</v>
      </c>
      <c r="C179" s="12">
        <v>5.0</v>
      </c>
      <c r="D179" s="10" t="s">
        <v>202</v>
      </c>
      <c r="E179" s="10">
        <v>2025.0</v>
      </c>
      <c r="F179" s="10" t="s">
        <v>30</v>
      </c>
      <c r="G179" s="35"/>
      <c r="H179" s="35"/>
      <c r="I179" s="36">
        <f>IFERROR(_xlfn.FORECAST.LINEAR('BD_LeiturasHidrômetro_PRJ03'!$A179,G:G,A:A),"0000")</f>
        <v>28424.90377</v>
      </c>
      <c r="J179" s="36">
        <f>IF('BD_LeiturasHidrômetro_PRJ03'!$G179&amp;'BD_LeiturasHidrômetro_PRJ03'!$H179="",'BD_LeiturasHidrômetro_PRJ03'!$I179,'BD_LeiturasHidrômetro_PRJ03'!$G179&amp;'BD_LeiturasHidrômetro_PRJ03'!$H179)</f>
        <v>28424.90377</v>
      </c>
      <c r="K179" s="36">
        <f t="shared" si="1"/>
        <v>28405.82427</v>
      </c>
      <c r="L179" s="15"/>
      <c r="M179" s="15"/>
      <c r="N179" s="17">
        <f t="shared" si="2"/>
        <v>19.07949791</v>
      </c>
      <c r="O179" s="15" t="s">
        <v>261</v>
      </c>
      <c r="S179" s="19"/>
    </row>
    <row r="180" ht="15.75" customHeight="1">
      <c r="A180" s="10">
        <v>195.0</v>
      </c>
      <c r="B180" s="11" t="s">
        <v>207</v>
      </c>
      <c r="C180" s="12">
        <v>6.0</v>
      </c>
      <c r="D180" s="10" t="s">
        <v>202</v>
      </c>
      <c r="E180" s="10">
        <v>2025.0</v>
      </c>
      <c r="F180" s="10" t="s">
        <v>32</v>
      </c>
      <c r="G180" s="35"/>
      <c r="H180" s="35"/>
      <c r="I180" s="36">
        <f>IFERROR(_xlfn.FORECAST.LINEAR('BD_LeiturasHidrômetro_PRJ03'!$A180,G:G,A:A),"0000")</f>
        <v>28443.98326</v>
      </c>
      <c r="J180" s="36">
        <f>IF('BD_LeiturasHidrômetro_PRJ03'!$G180&amp;'BD_LeiturasHidrômetro_PRJ03'!$H180="",'BD_LeiturasHidrômetro_PRJ03'!$I180,'BD_LeiturasHidrômetro_PRJ03'!$G180&amp;'BD_LeiturasHidrômetro_PRJ03'!$H180)</f>
        <v>28443.98326</v>
      </c>
      <c r="K180" s="36">
        <f t="shared" si="1"/>
        <v>28424.90377</v>
      </c>
      <c r="L180" s="15"/>
      <c r="M180" s="15"/>
      <c r="N180" s="17">
        <f t="shared" si="2"/>
        <v>19.07949791</v>
      </c>
      <c r="O180" s="15" t="s">
        <v>261</v>
      </c>
      <c r="S180" s="19"/>
    </row>
    <row r="181" ht="15.75" customHeight="1">
      <c r="A181" s="10">
        <v>196.0</v>
      </c>
      <c r="B181" s="11" t="s">
        <v>208</v>
      </c>
      <c r="C181" s="12">
        <v>7.0</v>
      </c>
      <c r="D181" s="10" t="s">
        <v>202</v>
      </c>
      <c r="E181" s="10">
        <v>2025.0</v>
      </c>
      <c r="F181" s="10" t="s">
        <v>34</v>
      </c>
      <c r="G181" s="35"/>
      <c r="H181" s="35"/>
      <c r="I181" s="36">
        <f>IFERROR(_xlfn.FORECAST.LINEAR('BD_LeiturasHidrômetro_PRJ03'!$A181,G:G,A:A),"0000")</f>
        <v>28463.06276</v>
      </c>
      <c r="J181" s="36">
        <f>IF('BD_LeiturasHidrômetro_PRJ03'!$G181&amp;'BD_LeiturasHidrômetro_PRJ03'!$H181="",'BD_LeiturasHidrômetro_PRJ03'!$I181,'BD_LeiturasHidrômetro_PRJ03'!$G181&amp;'BD_LeiturasHidrômetro_PRJ03'!$H181)</f>
        <v>28463.06276</v>
      </c>
      <c r="K181" s="36">
        <f t="shared" si="1"/>
        <v>28443.98326</v>
      </c>
      <c r="L181" s="15"/>
      <c r="M181" s="15"/>
      <c r="N181" s="17">
        <f t="shared" si="2"/>
        <v>19.07949791</v>
      </c>
      <c r="O181" s="15" t="s">
        <v>261</v>
      </c>
      <c r="S181" s="19"/>
    </row>
    <row r="182" ht="15.75" customHeight="1">
      <c r="A182" s="10">
        <v>197.0</v>
      </c>
      <c r="B182" s="11" t="s">
        <v>209</v>
      </c>
      <c r="C182" s="12">
        <v>8.0</v>
      </c>
      <c r="D182" s="10" t="s">
        <v>202</v>
      </c>
      <c r="E182" s="10">
        <v>2025.0</v>
      </c>
      <c r="F182" s="10" t="s">
        <v>19</v>
      </c>
      <c r="G182" s="35"/>
      <c r="H182" s="35"/>
      <c r="I182" s="36">
        <f>IFERROR(_xlfn.FORECAST.LINEAR('BD_LeiturasHidrômetro_PRJ03'!$A182,G:G,A:A),"0000")</f>
        <v>28482.14226</v>
      </c>
      <c r="J182" s="36">
        <f>IF('BD_LeiturasHidrômetro_PRJ03'!$G182&amp;'BD_LeiturasHidrômetro_PRJ03'!$H182="",'BD_LeiturasHidrômetro_PRJ03'!$I182,'BD_LeiturasHidrômetro_PRJ03'!$G182&amp;'BD_LeiturasHidrômetro_PRJ03'!$H182)</f>
        <v>28482.14226</v>
      </c>
      <c r="K182" s="36">
        <f t="shared" si="1"/>
        <v>28463.06276</v>
      </c>
      <c r="L182" s="15"/>
      <c r="M182" s="15"/>
      <c r="N182" s="17">
        <f t="shared" si="2"/>
        <v>19.07949791</v>
      </c>
      <c r="O182" s="15" t="s">
        <v>261</v>
      </c>
      <c r="S182" s="19"/>
    </row>
    <row r="183" ht="15.75" customHeight="1">
      <c r="A183" s="10">
        <v>198.0</v>
      </c>
      <c r="B183" s="11" t="s">
        <v>210</v>
      </c>
      <c r="C183" s="12">
        <v>9.0</v>
      </c>
      <c r="D183" s="10" t="s">
        <v>202</v>
      </c>
      <c r="E183" s="10">
        <v>2025.0</v>
      </c>
      <c r="F183" s="10" t="s">
        <v>23</v>
      </c>
      <c r="G183" s="35"/>
      <c r="H183" s="35"/>
      <c r="I183" s="36">
        <f>IFERROR(_xlfn.FORECAST.LINEAR('BD_LeiturasHidrômetro_PRJ03'!$A183,G:G,A:A),"0000")</f>
        <v>28501.22176</v>
      </c>
      <c r="J183" s="36">
        <f>IF('BD_LeiturasHidrômetro_PRJ03'!$G183&amp;'BD_LeiturasHidrômetro_PRJ03'!$H183="",'BD_LeiturasHidrômetro_PRJ03'!$I183,'BD_LeiturasHidrômetro_PRJ03'!$G183&amp;'BD_LeiturasHidrômetro_PRJ03'!$H183)</f>
        <v>28501.22176</v>
      </c>
      <c r="K183" s="36">
        <f t="shared" si="1"/>
        <v>28482.14226</v>
      </c>
      <c r="L183" s="15"/>
      <c r="M183" s="15"/>
      <c r="N183" s="17">
        <f t="shared" si="2"/>
        <v>19.07949791</v>
      </c>
      <c r="O183" s="15" t="s">
        <v>261</v>
      </c>
      <c r="S183" s="19"/>
    </row>
    <row r="184" ht="15.75" customHeight="1">
      <c r="A184" s="10">
        <v>199.0</v>
      </c>
      <c r="B184" s="11" t="s">
        <v>211</v>
      </c>
      <c r="C184" s="12">
        <v>10.0</v>
      </c>
      <c r="D184" s="10" t="s">
        <v>202</v>
      </c>
      <c r="E184" s="10">
        <v>2025.0</v>
      </c>
      <c r="F184" s="10" t="s">
        <v>26</v>
      </c>
      <c r="G184" s="35"/>
      <c r="H184" s="35"/>
      <c r="I184" s="36">
        <f>IFERROR(_xlfn.FORECAST.LINEAR('BD_LeiturasHidrômetro_PRJ03'!$A184,G:G,A:A),"0000")</f>
        <v>28520.30126</v>
      </c>
      <c r="J184" s="36">
        <f>IF('BD_LeiturasHidrômetro_PRJ03'!$G184&amp;'BD_LeiturasHidrômetro_PRJ03'!$H184="",'BD_LeiturasHidrômetro_PRJ03'!$I184,'BD_LeiturasHidrômetro_PRJ03'!$G184&amp;'BD_LeiturasHidrômetro_PRJ03'!$H184)</f>
        <v>28520.30126</v>
      </c>
      <c r="K184" s="36">
        <f t="shared" si="1"/>
        <v>28501.22176</v>
      </c>
      <c r="L184" s="15"/>
      <c r="M184" s="15"/>
      <c r="N184" s="17">
        <f t="shared" si="2"/>
        <v>19.07949791</v>
      </c>
      <c r="O184" s="15" t="s">
        <v>261</v>
      </c>
      <c r="S184" s="19"/>
    </row>
    <row r="185" ht="15.75" customHeight="1">
      <c r="A185" s="10">
        <v>200.0</v>
      </c>
      <c r="B185" s="11" t="s">
        <v>212</v>
      </c>
      <c r="C185" s="12">
        <v>11.0</v>
      </c>
      <c r="D185" s="10" t="s">
        <v>202</v>
      </c>
      <c r="E185" s="10">
        <v>2025.0</v>
      </c>
      <c r="F185" s="10" t="s">
        <v>28</v>
      </c>
      <c r="G185" s="35"/>
      <c r="H185" s="35"/>
      <c r="I185" s="36">
        <f>IFERROR(_xlfn.FORECAST.LINEAR('BD_LeiturasHidrômetro_PRJ03'!$A185,G:G,A:A),"0000")</f>
        <v>28539.38075</v>
      </c>
      <c r="J185" s="36">
        <f>IF('BD_LeiturasHidrômetro_PRJ03'!$G185&amp;'BD_LeiturasHidrômetro_PRJ03'!$H185="",'BD_LeiturasHidrômetro_PRJ03'!$I185,'BD_LeiturasHidrômetro_PRJ03'!$G185&amp;'BD_LeiturasHidrômetro_PRJ03'!$H185)</f>
        <v>28539.38075</v>
      </c>
      <c r="K185" s="36">
        <f t="shared" si="1"/>
        <v>28520.30126</v>
      </c>
      <c r="L185" s="15"/>
      <c r="M185" s="15"/>
      <c r="N185" s="17">
        <f t="shared" si="2"/>
        <v>19.07949791</v>
      </c>
      <c r="O185" s="15" t="s">
        <v>261</v>
      </c>
      <c r="S185" s="19"/>
    </row>
    <row r="186" ht="15.75" customHeight="1">
      <c r="A186" s="10">
        <v>201.0</v>
      </c>
      <c r="B186" s="11" t="s">
        <v>213</v>
      </c>
      <c r="C186" s="12">
        <v>12.0</v>
      </c>
      <c r="D186" s="10" t="s">
        <v>202</v>
      </c>
      <c r="E186" s="10">
        <v>2025.0</v>
      </c>
      <c r="F186" s="10" t="s">
        <v>30</v>
      </c>
      <c r="G186" s="35"/>
      <c r="H186" s="35"/>
      <c r="I186" s="36">
        <f>IFERROR(_xlfn.FORECAST.LINEAR('BD_LeiturasHidrômetro_PRJ03'!$A186,G:G,A:A),"0000")</f>
        <v>28558.46025</v>
      </c>
      <c r="J186" s="36">
        <f>IF('BD_LeiturasHidrômetro_PRJ03'!$G186&amp;'BD_LeiturasHidrômetro_PRJ03'!$H186="",'BD_LeiturasHidrômetro_PRJ03'!$I186,'BD_LeiturasHidrômetro_PRJ03'!$G186&amp;'BD_LeiturasHidrômetro_PRJ03'!$H186)</f>
        <v>28558.46025</v>
      </c>
      <c r="K186" s="36">
        <f t="shared" si="1"/>
        <v>28539.38075</v>
      </c>
      <c r="L186" s="15"/>
      <c r="M186" s="15"/>
      <c r="N186" s="17">
        <f t="shared" si="2"/>
        <v>19.07949791</v>
      </c>
      <c r="O186" s="15" t="s">
        <v>261</v>
      </c>
      <c r="S186" s="19"/>
    </row>
    <row r="187" ht="15.75" customHeight="1">
      <c r="A187" s="10">
        <v>202.0</v>
      </c>
      <c r="B187" s="11" t="s">
        <v>214</v>
      </c>
      <c r="C187" s="12">
        <v>13.0</v>
      </c>
      <c r="D187" s="10" t="s">
        <v>202</v>
      </c>
      <c r="E187" s="10">
        <v>2025.0</v>
      </c>
      <c r="F187" s="10" t="s">
        <v>32</v>
      </c>
      <c r="G187" s="35"/>
      <c r="H187" s="35"/>
      <c r="I187" s="36">
        <f>IFERROR(_xlfn.FORECAST.LINEAR('BD_LeiturasHidrômetro_PRJ03'!$A187,G:G,A:A),"0000")</f>
        <v>28577.53975</v>
      </c>
      <c r="J187" s="36">
        <f>IF('BD_LeiturasHidrômetro_PRJ03'!$G187&amp;'BD_LeiturasHidrômetro_PRJ03'!$H187="",'BD_LeiturasHidrômetro_PRJ03'!$I187,'BD_LeiturasHidrômetro_PRJ03'!$G187&amp;'BD_LeiturasHidrômetro_PRJ03'!$H187)</f>
        <v>28577.53975</v>
      </c>
      <c r="K187" s="36">
        <f t="shared" si="1"/>
        <v>28558.46025</v>
      </c>
      <c r="L187" s="15"/>
      <c r="M187" s="15"/>
      <c r="N187" s="17">
        <f t="shared" si="2"/>
        <v>19.07949791</v>
      </c>
      <c r="O187" s="15" t="s">
        <v>261</v>
      </c>
      <c r="S187" s="19"/>
    </row>
    <row r="188" ht="15.75" customHeight="1">
      <c r="A188" s="10">
        <v>203.0</v>
      </c>
      <c r="B188" s="11" t="s">
        <v>215</v>
      </c>
      <c r="C188" s="12">
        <v>14.0</v>
      </c>
      <c r="D188" s="10" t="s">
        <v>202</v>
      </c>
      <c r="E188" s="10">
        <v>2025.0</v>
      </c>
      <c r="F188" s="10" t="s">
        <v>34</v>
      </c>
      <c r="G188" s="35"/>
      <c r="H188" s="35"/>
      <c r="I188" s="36">
        <f>IFERROR(_xlfn.FORECAST.LINEAR('BD_LeiturasHidrômetro_PRJ03'!$A188,G:G,A:A),"0000")</f>
        <v>28596.61925</v>
      </c>
      <c r="J188" s="36">
        <f>IF('BD_LeiturasHidrômetro_PRJ03'!$G188&amp;'BD_LeiturasHidrômetro_PRJ03'!$H188="",'BD_LeiturasHidrômetro_PRJ03'!$I188,'BD_LeiturasHidrômetro_PRJ03'!$G188&amp;'BD_LeiturasHidrômetro_PRJ03'!$H188)</f>
        <v>28596.61925</v>
      </c>
      <c r="K188" s="36">
        <f t="shared" si="1"/>
        <v>28577.53975</v>
      </c>
      <c r="L188" s="15"/>
      <c r="M188" s="15"/>
      <c r="N188" s="17">
        <f t="shared" si="2"/>
        <v>19.07949791</v>
      </c>
      <c r="O188" s="15" t="s">
        <v>261</v>
      </c>
      <c r="S188" s="19"/>
    </row>
    <row r="189" ht="15.75" customHeight="1">
      <c r="A189" s="10">
        <v>204.0</v>
      </c>
      <c r="B189" s="11" t="s">
        <v>216</v>
      </c>
      <c r="C189" s="12">
        <v>15.0</v>
      </c>
      <c r="D189" s="10" t="s">
        <v>202</v>
      </c>
      <c r="E189" s="10">
        <v>2025.0</v>
      </c>
      <c r="F189" s="10" t="s">
        <v>19</v>
      </c>
      <c r="G189" s="35"/>
      <c r="H189" s="35"/>
      <c r="I189" s="36">
        <f>IFERROR(_xlfn.FORECAST.LINEAR('BD_LeiturasHidrômetro_PRJ03'!$A189,G:G,A:A),"0000")</f>
        <v>28615.69874</v>
      </c>
      <c r="J189" s="36">
        <f>IF('BD_LeiturasHidrômetro_PRJ03'!$G189&amp;'BD_LeiturasHidrômetro_PRJ03'!$H189="",'BD_LeiturasHidrômetro_PRJ03'!$I189,'BD_LeiturasHidrômetro_PRJ03'!$G189&amp;'BD_LeiturasHidrômetro_PRJ03'!$H189)</f>
        <v>28615.69874</v>
      </c>
      <c r="K189" s="36">
        <f t="shared" si="1"/>
        <v>28596.61925</v>
      </c>
      <c r="L189" s="15"/>
      <c r="M189" s="15"/>
      <c r="N189" s="17">
        <f t="shared" si="2"/>
        <v>19.07949791</v>
      </c>
      <c r="O189" s="15" t="s">
        <v>261</v>
      </c>
      <c r="S189" s="19"/>
    </row>
    <row r="190" ht="15.75" customHeight="1">
      <c r="A190" s="10">
        <v>205.0</v>
      </c>
      <c r="B190" s="11" t="s">
        <v>217</v>
      </c>
      <c r="C190" s="12">
        <v>16.0</v>
      </c>
      <c r="D190" s="10" t="s">
        <v>202</v>
      </c>
      <c r="E190" s="10">
        <v>2025.0</v>
      </c>
      <c r="F190" s="10" t="s">
        <v>23</v>
      </c>
      <c r="G190" s="35"/>
      <c r="H190" s="35"/>
      <c r="I190" s="36">
        <f>IFERROR(_xlfn.FORECAST.LINEAR('BD_LeiturasHidrômetro_PRJ03'!$A190,G:G,A:A),"0000")</f>
        <v>28634.77824</v>
      </c>
      <c r="J190" s="36">
        <f>IF('BD_LeiturasHidrômetro_PRJ03'!$G190&amp;'BD_LeiturasHidrômetro_PRJ03'!$H190="",'BD_LeiturasHidrômetro_PRJ03'!$I190,'BD_LeiturasHidrômetro_PRJ03'!$G190&amp;'BD_LeiturasHidrômetro_PRJ03'!$H190)</f>
        <v>28634.77824</v>
      </c>
      <c r="K190" s="36">
        <f t="shared" si="1"/>
        <v>28615.69874</v>
      </c>
      <c r="L190" s="15"/>
      <c r="M190" s="15"/>
      <c r="N190" s="17">
        <f t="shared" si="2"/>
        <v>19.07949791</v>
      </c>
      <c r="O190" s="15" t="s">
        <v>261</v>
      </c>
      <c r="S190" s="19"/>
    </row>
    <row r="191" ht="15.75" customHeight="1">
      <c r="A191" s="10">
        <v>206.0</v>
      </c>
      <c r="B191" s="11" t="s">
        <v>218</v>
      </c>
      <c r="C191" s="12">
        <v>17.0</v>
      </c>
      <c r="D191" s="10" t="s">
        <v>202</v>
      </c>
      <c r="E191" s="10">
        <v>2025.0</v>
      </c>
      <c r="F191" s="10" t="s">
        <v>26</v>
      </c>
      <c r="G191" s="35"/>
      <c r="H191" s="35"/>
      <c r="I191" s="36">
        <f>IFERROR(_xlfn.FORECAST.LINEAR('BD_LeiturasHidrômetro_PRJ03'!$A191,G:G,A:A),"0000")</f>
        <v>28653.85774</v>
      </c>
      <c r="J191" s="36">
        <f>IF('BD_LeiturasHidrômetro_PRJ03'!$G191&amp;'BD_LeiturasHidrômetro_PRJ03'!$H191="",'BD_LeiturasHidrômetro_PRJ03'!$I191,'BD_LeiturasHidrômetro_PRJ03'!$G191&amp;'BD_LeiturasHidrômetro_PRJ03'!$H191)</f>
        <v>28653.85774</v>
      </c>
      <c r="K191" s="36">
        <f t="shared" si="1"/>
        <v>28634.77824</v>
      </c>
      <c r="L191" s="15"/>
      <c r="M191" s="15"/>
      <c r="N191" s="17">
        <f t="shared" si="2"/>
        <v>19.07949791</v>
      </c>
      <c r="O191" s="15" t="s">
        <v>261</v>
      </c>
      <c r="S191" s="19"/>
    </row>
    <row r="192" ht="15.75" customHeight="1">
      <c r="A192" s="10">
        <v>207.0</v>
      </c>
      <c r="B192" s="11" t="s">
        <v>219</v>
      </c>
      <c r="C192" s="12">
        <v>18.0</v>
      </c>
      <c r="D192" s="10" t="s">
        <v>202</v>
      </c>
      <c r="E192" s="10">
        <v>2025.0</v>
      </c>
      <c r="F192" s="10" t="s">
        <v>28</v>
      </c>
      <c r="G192" s="35"/>
      <c r="H192" s="35"/>
      <c r="I192" s="36">
        <f>IFERROR(_xlfn.FORECAST.LINEAR('BD_LeiturasHidrômetro_PRJ03'!$A192,G:G,A:A),"0000")</f>
        <v>28672.93724</v>
      </c>
      <c r="J192" s="36">
        <f>IF('BD_LeiturasHidrômetro_PRJ03'!$G192&amp;'BD_LeiturasHidrômetro_PRJ03'!$H192="",'BD_LeiturasHidrômetro_PRJ03'!$I192,'BD_LeiturasHidrômetro_PRJ03'!$G192&amp;'BD_LeiturasHidrômetro_PRJ03'!$H192)</f>
        <v>28672.93724</v>
      </c>
      <c r="K192" s="36">
        <f t="shared" si="1"/>
        <v>28653.85774</v>
      </c>
      <c r="L192" s="15"/>
      <c r="M192" s="15"/>
      <c r="N192" s="17">
        <f t="shared" si="2"/>
        <v>19.07949791</v>
      </c>
      <c r="O192" s="15" t="s">
        <v>261</v>
      </c>
      <c r="S192" s="19"/>
    </row>
    <row r="193" ht="15.75" customHeight="1">
      <c r="A193" s="10">
        <v>208.0</v>
      </c>
      <c r="B193" s="11" t="s">
        <v>220</v>
      </c>
      <c r="C193" s="12">
        <v>19.0</v>
      </c>
      <c r="D193" s="10" t="s">
        <v>202</v>
      </c>
      <c r="E193" s="10">
        <v>2025.0</v>
      </c>
      <c r="F193" s="10" t="s">
        <v>30</v>
      </c>
      <c r="G193" s="35"/>
      <c r="H193" s="35"/>
      <c r="I193" s="36">
        <f>IFERROR(_xlfn.FORECAST.LINEAR('BD_LeiturasHidrômetro_PRJ03'!$A193,G:G,A:A),"0000")</f>
        <v>28692.01674</v>
      </c>
      <c r="J193" s="36">
        <f>IF('BD_LeiturasHidrômetro_PRJ03'!$G193&amp;'BD_LeiturasHidrômetro_PRJ03'!$H193="",'BD_LeiturasHidrômetro_PRJ03'!$I193,'BD_LeiturasHidrômetro_PRJ03'!$G193&amp;'BD_LeiturasHidrômetro_PRJ03'!$H193)</f>
        <v>28692.01674</v>
      </c>
      <c r="K193" s="36">
        <f t="shared" si="1"/>
        <v>28672.93724</v>
      </c>
      <c r="L193" s="15"/>
      <c r="M193" s="15"/>
      <c r="N193" s="17">
        <f t="shared" si="2"/>
        <v>19.07949791</v>
      </c>
      <c r="O193" s="15" t="s">
        <v>261</v>
      </c>
      <c r="S193" s="19"/>
    </row>
    <row r="194" ht="15.75" customHeight="1">
      <c r="A194" s="10">
        <v>209.0</v>
      </c>
      <c r="B194" s="11" t="s">
        <v>221</v>
      </c>
      <c r="C194" s="12">
        <v>20.0</v>
      </c>
      <c r="D194" s="10" t="s">
        <v>202</v>
      </c>
      <c r="E194" s="10">
        <v>2025.0</v>
      </c>
      <c r="F194" s="10" t="s">
        <v>32</v>
      </c>
      <c r="G194" s="35"/>
      <c r="H194" s="35"/>
      <c r="I194" s="36">
        <f>IFERROR(_xlfn.FORECAST.LINEAR('BD_LeiturasHidrômetro_PRJ03'!$A194,G:G,A:A),"0000")</f>
        <v>28711.09623</v>
      </c>
      <c r="J194" s="36">
        <f>IF('BD_LeiturasHidrômetro_PRJ03'!$G194&amp;'BD_LeiturasHidrômetro_PRJ03'!$H194="",'BD_LeiturasHidrômetro_PRJ03'!$I194,'BD_LeiturasHidrômetro_PRJ03'!$G194&amp;'BD_LeiturasHidrômetro_PRJ03'!$H194)</f>
        <v>28711.09623</v>
      </c>
      <c r="K194" s="36">
        <f t="shared" si="1"/>
        <v>28692.01674</v>
      </c>
      <c r="L194" s="15"/>
      <c r="M194" s="15"/>
      <c r="N194" s="17">
        <f t="shared" si="2"/>
        <v>19.07949791</v>
      </c>
      <c r="O194" s="15" t="s">
        <v>261</v>
      </c>
      <c r="S194" s="19"/>
    </row>
    <row r="195" ht="15.75" customHeight="1">
      <c r="A195" s="10">
        <v>210.0</v>
      </c>
      <c r="B195" s="11" t="s">
        <v>222</v>
      </c>
      <c r="C195" s="12">
        <v>21.0</v>
      </c>
      <c r="D195" s="10" t="s">
        <v>202</v>
      </c>
      <c r="E195" s="10">
        <v>2025.0</v>
      </c>
      <c r="F195" s="10" t="s">
        <v>34</v>
      </c>
      <c r="G195" s="35"/>
      <c r="H195" s="35"/>
      <c r="I195" s="36">
        <f>IFERROR(_xlfn.FORECAST.LINEAR('BD_LeiturasHidrômetro_PRJ03'!$A195,G:G,A:A),"0000")</f>
        <v>28730.17573</v>
      </c>
      <c r="J195" s="36">
        <f>IF('BD_LeiturasHidrômetro_PRJ03'!$G195&amp;'BD_LeiturasHidrômetro_PRJ03'!$H195="",'BD_LeiturasHidrômetro_PRJ03'!$I195,'BD_LeiturasHidrômetro_PRJ03'!$G195&amp;'BD_LeiturasHidrômetro_PRJ03'!$H195)</f>
        <v>28730.17573</v>
      </c>
      <c r="K195" s="36">
        <f t="shared" si="1"/>
        <v>28711.09623</v>
      </c>
      <c r="L195" s="15"/>
      <c r="M195" s="15"/>
      <c r="N195" s="17">
        <f t="shared" si="2"/>
        <v>19.07949791</v>
      </c>
      <c r="O195" s="15" t="s">
        <v>261</v>
      </c>
      <c r="S195" s="19"/>
    </row>
    <row r="196" ht="15.75" customHeight="1">
      <c r="A196" s="10">
        <v>211.0</v>
      </c>
      <c r="B196" s="11" t="s">
        <v>223</v>
      </c>
      <c r="C196" s="12">
        <v>22.0</v>
      </c>
      <c r="D196" s="10" t="s">
        <v>202</v>
      </c>
      <c r="E196" s="10">
        <v>2025.0</v>
      </c>
      <c r="F196" s="10" t="s">
        <v>19</v>
      </c>
      <c r="G196" s="35"/>
      <c r="H196" s="35"/>
      <c r="I196" s="36">
        <f>IFERROR(_xlfn.FORECAST.LINEAR('BD_LeiturasHidrômetro_PRJ03'!$A196,G:G,A:A),"0000")</f>
        <v>28749.25523</v>
      </c>
      <c r="J196" s="36">
        <f>IF('BD_LeiturasHidrômetro_PRJ03'!$G196&amp;'BD_LeiturasHidrômetro_PRJ03'!$H196="",'BD_LeiturasHidrômetro_PRJ03'!$I196,'BD_LeiturasHidrômetro_PRJ03'!$G196&amp;'BD_LeiturasHidrômetro_PRJ03'!$H196)</f>
        <v>28749.25523</v>
      </c>
      <c r="K196" s="36">
        <f t="shared" si="1"/>
        <v>28730.17573</v>
      </c>
      <c r="L196" s="15"/>
      <c r="M196" s="15"/>
      <c r="N196" s="17">
        <f t="shared" si="2"/>
        <v>19.07949791</v>
      </c>
      <c r="O196" s="15" t="s">
        <v>261</v>
      </c>
      <c r="S196" s="19"/>
    </row>
    <row r="197" ht="15.75" customHeight="1">
      <c r="A197" s="10">
        <v>212.0</v>
      </c>
      <c r="B197" s="11" t="s">
        <v>224</v>
      </c>
      <c r="C197" s="12">
        <v>23.0</v>
      </c>
      <c r="D197" s="10" t="s">
        <v>202</v>
      </c>
      <c r="E197" s="10">
        <v>2025.0</v>
      </c>
      <c r="F197" s="10" t="s">
        <v>23</v>
      </c>
      <c r="G197" s="35"/>
      <c r="H197" s="35"/>
      <c r="I197" s="36">
        <f>IFERROR(_xlfn.FORECAST.LINEAR('BD_LeiturasHidrômetro_PRJ03'!$A197,G:G,A:A),"0000")</f>
        <v>28768.33473</v>
      </c>
      <c r="J197" s="36">
        <f>IF('BD_LeiturasHidrômetro_PRJ03'!$G197&amp;'BD_LeiturasHidrômetro_PRJ03'!$H197="",'BD_LeiturasHidrômetro_PRJ03'!$I197,'BD_LeiturasHidrômetro_PRJ03'!$G197&amp;'BD_LeiturasHidrômetro_PRJ03'!$H197)</f>
        <v>28768.33473</v>
      </c>
      <c r="K197" s="36">
        <f t="shared" si="1"/>
        <v>28749.25523</v>
      </c>
      <c r="L197" s="15"/>
      <c r="M197" s="15"/>
      <c r="N197" s="17">
        <f t="shared" si="2"/>
        <v>19.07949791</v>
      </c>
      <c r="O197" s="15" t="s">
        <v>261</v>
      </c>
      <c r="S197" s="19"/>
    </row>
    <row r="198" ht="15.75" customHeight="1">
      <c r="A198" s="10">
        <v>213.0</v>
      </c>
      <c r="B198" s="11" t="s">
        <v>225</v>
      </c>
      <c r="C198" s="12">
        <v>24.0</v>
      </c>
      <c r="D198" s="10" t="s">
        <v>202</v>
      </c>
      <c r="E198" s="10">
        <v>2025.0</v>
      </c>
      <c r="F198" s="10" t="s">
        <v>26</v>
      </c>
      <c r="G198" s="35"/>
      <c r="H198" s="35"/>
      <c r="I198" s="36">
        <f>IFERROR(_xlfn.FORECAST.LINEAR('BD_LeiturasHidrômetro_PRJ03'!$A198,G:G,A:A),"0000")</f>
        <v>28787.41423</v>
      </c>
      <c r="J198" s="36">
        <f>IF('BD_LeiturasHidrômetro_PRJ03'!$G198&amp;'BD_LeiturasHidrômetro_PRJ03'!$H198="",'BD_LeiturasHidrômetro_PRJ03'!$I198,'BD_LeiturasHidrômetro_PRJ03'!$G198&amp;'BD_LeiturasHidrômetro_PRJ03'!$H198)</f>
        <v>28787.41423</v>
      </c>
      <c r="K198" s="36">
        <f t="shared" si="1"/>
        <v>28768.33473</v>
      </c>
      <c r="L198" s="15"/>
      <c r="M198" s="15"/>
      <c r="N198" s="17">
        <f t="shared" si="2"/>
        <v>19.07949791</v>
      </c>
      <c r="O198" s="15" t="s">
        <v>261</v>
      </c>
      <c r="S198" s="19"/>
    </row>
    <row r="199" ht="15.75" customHeight="1">
      <c r="A199" s="10">
        <v>214.0</v>
      </c>
      <c r="B199" s="11" t="s">
        <v>226</v>
      </c>
      <c r="C199" s="12">
        <v>25.0</v>
      </c>
      <c r="D199" s="10" t="s">
        <v>202</v>
      </c>
      <c r="E199" s="10">
        <v>2025.0</v>
      </c>
      <c r="F199" s="10" t="s">
        <v>28</v>
      </c>
      <c r="G199" s="35"/>
      <c r="H199" s="35"/>
      <c r="I199" s="36">
        <f>IFERROR(_xlfn.FORECAST.LINEAR('BD_LeiturasHidrômetro_PRJ03'!$A199,G:G,A:A),"0000")</f>
        <v>28806.49372</v>
      </c>
      <c r="J199" s="36">
        <f>IF('BD_LeiturasHidrômetro_PRJ03'!$G199&amp;'BD_LeiturasHidrômetro_PRJ03'!$H199="",'BD_LeiturasHidrômetro_PRJ03'!$I199,'BD_LeiturasHidrômetro_PRJ03'!$G199&amp;'BD_LeiturasHidrômetro_PRJ03'!$H199)</f>
        <v>28806.49372</v>
      </c>
      <c r="K199" s="36">
        <f t="shared" si="1"/>
        <v>28787.41423</v>
      </c>
      <c r="L199" s="15"/>
      <c r="M199" s="15"/>
      <c r="N199" s="17">
        <f t="shared" si="2"/>
        <v>19.07949791</v>
      </c>
      <c r="O199" s="15" t="s">
        <v>261</v>
      </c>
      <c r="S199" s="19"/>
    </row>
    <row r="200" ht="15.75" customHeight="1">
      <c r="A200" s="10">
        <v>215.0</v>
      </c>
      <c r="B200" s="11" t="s">
        <v>227</v>
      </c>
      <c r="C200" s="12">
        <v>26.0</v>
      </c>
      <c r="D200" s="10" t="s">
        <v>202</v>
      </c>
      <c r="E200" s="10">
        <v>2025.0</v>
      </c>
      <c r="F200" s="10" t="s">
        <v>30</v>
      </c>
      <c r="G200" s="35"/>
      <c r="H200" s="35"/>
      <c r="I200" s="36">
        <f>IFERROR(_xlfn.FORECAST.LINEAR('BD_LeiturasHidrômetro_PRJ03'!$A200,G:G,A:A),"0000")</f>
        <v>28825.57322</v>
      </c>
      <c r="J200" s="36">
        <f>IF('BD_LeiturasHidrômetro_PRJ03'!$G200&amp;'BD_LeiturasHidrômetro_PRJ03'!$H200="",'BD_LeiturasHidrômetro_PRJ03'!$I200,'BD_LeiturasHidrômetro_PRJ03'!$G200&amp;'BD_LeiturasHidrômetro_PRJ03'!$H200)</f>
        <v>28825.57322</v>
      </c>
      <c r="K200" s="36">
        <f t="shared" si="1"/>
        <v>28806.49372</v>
      </c>
      <c r="L200" s="15"/>
      <c r="M200" s="15"/>
      <c r="N200" s="17">
        <f t="shared" si="2"/>
        <v>19.07949791</v>
      </c>
      <c r="O200" s="15" t="s">
        <v>261</v>
      </c>
      <c r="S200" s="19"/>
    </row>
    <row r="201" ht="15.75" customHeight="1">
      <c r="A201" s="10">
        <v>216.0</v>
      </c>
      <c r="B201" s="11" t="s">
        <v>228</v>
      </c>
      <c r="C201" s="12">
        <v>27.0</v>
      </c>
      <c r="D201" s="10" t="s">
        <v>202</v>
      </c>
      <c r="E201" s="10">
        <v>2025.0</v>
      </c>
      <c r="F201" s="10" t="s">
        <v>32</v>
      </c>
      <c r="G201" s="35"/>
      <c r="H201" s="35"/>
      <c r="I201" s="36">
        <f>IFERROR(_xlfn.FORECAST.LINEAR('BD_LeiturasHidrômetro_PRJ03'!$A201,G:G,A:A),"0000")</f>
        <v>28844.65272</v>
      </c>
      <c r="J201" s="36">
        <f>IF('BD_LeiturasHidrômetro_PRJ03'!$G201&amp;'BD_LeiturasHidrômetro_PRJ03'!$H201="",'BD_LeiturasHidrômetro_PRJ03'!$I201,'BD_LeiturasHidrômetro_PRJ03'!$G201&amp;'BD_LeiturasHidrômetro_PRJ03'!$H201)</f>
        <v>28844.65272</v>
      </c>
      <c r="K201" s="36">
        <f t="shared" si="1"/>
        <v>28825.57322</v>
      </c>
      <c r="L201" s="15"/>
      <c r="M201" s="15"/>
      <c r="N201" s="17">
        <f t="shared" si="2"/>
        <v>19.07949791</v>
      </c>
      <c r="O201" s="15" t="s">
        <v>261</v>
      </c>
      <c r="S201" s="19"/>
    </row>
    <row r="202" ht="15.75" customHeight="1">
      <c r="A202" s="10">
        <v>217.0</v>
      </c>
      <c r="B202" s="11" t="s">
        <v>229</v>
      </c>
      <c r="C202" s="12">
        <v>28.0</v>
      </c>
      <c r="D202" s="10" t="s">
        <v>202</v>
      </c>
      <c r="E202" s="10">
        <v>2025.0</v>
      </c>
      <c r="F202" s="10" t="s">
        <v>34</v>
      </c>
      <c r="G202" s="35"/>
      <c r="H202" s="35"/>
      <c r="I202" s="36">
        <f>IFERROR(_xlfn.FORECAST.LINEAR('BD_LeiturasHidrômetro_PRJ03'!$A202,G:G,A:A),"0000")</f>
        <v>28863.73222</v>
      </c>
      <c r="J202" s="36">
        <f>IF('BD_LeiturasHidrômetro_PRJ03'!$G202&amp;'BD_LeiturasHidrômetro_PRJ03'!$H202="",'BD_LeiturasHidrômetro_PRJ03'!$I202,'BD_LeiturasHidrômetro_PRJ03'!$G202&amp;'BD_LeiturasHidrômetro_PRJ03'!$H202)</f>
        <v>28863.73222</v>
      </c>
      <c r="K202" s="36">
        <f t="shared" si="1"/>
        <v>28844.65272</v>
      </c>
      <c r="L202" s="15"/>
      <c r="M202" s="15"/>
      <c r="N202" s="17">
        <f t="shared" si="2"/>
        <v>19.07949791</v>
      </c>
      <c r="O202" s="15" t="s">
        <v>261</v>
      </c>
      <c r="S202" s="19"/>
    </row>
    <row r="203" ht="15.75" customHeight="1">
      <c r="A203" s="10">
        <v>218.0</v>
      </c>
      <c r="B203" s="11" t="s">
        <v>230</v>
      </c>
      <c r="C203" s="12">
        <v>29.0</v>
      </c>
      <c r="D203" s="10" t="s">
        <v>202</v>
      </c>
      <c r="E203" s="10">
        <v>2025.0</v>
      </c>
      <c r="F203" s="10" t="s">
        <v>19</v>
      </c>
      <c r="G203" s="35"/>
      <c r="H203" s="35"/>
      <c r="I203" s="36">
        <f>IFERROR(_xlfn.FORECAST.LINEAR('BD_LeiturasHidrômetro_PRJ03'!$A203,G:G,A:A),"0000")</f>
        <v>28882.81172</v>
      </c>
      <c r="J203" s="36">
        <f>IF('BD_LeiturasHidrômetro_PRJ03'!$G203&amp;'BD_LeiturasHidrômetro_PRJ03'!$H203="",'BD_LeiturasHidrômetro_PRJ03'!$I203,'BD_LeiturasHidrômetro_PRJ03'!$G203&amp;'BD_LeiturasHidrômetro_PRJ03'!$H203)</f>
        <v>28882.81172</v>
      </c>
      <c r="K203" s="36">
        <f t="shared" si="1"/>
        <v>28863.73222</v>
      </c>
      <c r="L203" s="15"/>
      <c r="M203" s="15"/>
      <c r="N203" s="17">
        <f t="shared" si="2"/>
        <v>19.07949791</v>
      </c>
      <c r="O203" s="15" t="s">
        <v>261</v>
      </c>
      <c r="S203" s="19"/>
    </row>
    <row r="204" ht="15.75" customHeight="1">
      <c r="A204" s="10">
        <v>219.0</v>
      </c>
      <c r="B204" s="11" t="s">
        <v>231</v>
      </c>
      <c r="C204" s="12">
        <v>30.0</v>
      </c>
      <c r="D204" s="10" t="s">
        <v>202</v>
      </c>
      <c r="E204" s="10">
        <v>2025.0</v>
      </c>
      <c r="F204" s="10" t="s">
        <v>23</v>
      </c>
      <c r="G204" s="35"/>
      <c r="H204" s="35"/>
      <c r="I204" s="36">
        <f>IFERROR(_xlfn.FORECAST.LINEAR('BD_LeiturasHidrômetro_PRJ03'!$A204,G:G,A:A),"0000")</f>
        <v>28901.89121</v>
      </c>
      <c r="J204" s="36">
        <f>IF('BD_LeiturasHidrômetro_PRJ03'!$G204&amp;'BD_LeiturasHidrômetro_PRJ03'!$H204="",'BD_LeiturasHidrômetro_PRJ03'!$I204,'BD_LeiturasHidrômetro_PRJ03'!$G204&amp;'BD_LeiturasHidrômetro_PRJ03'!$H204)</f>
        <v>28901.89121</v>
      </c>
      <c r="K204" s="36">
        <f t="shared" si="1"/>
        <v>28882.81172</v>
      </c>
      <c r="L204" s="15"/>
      <c r="M204" s="15"/>
      <c r="N204" s="17">
        <f t="shared" si="2"/>
        <v>19.07949791</v>
      </c>
      <c r="O204" s="15" t="s">
        <v>261</v>
      </c>
      <c r="S204" s="19"/>
    </row>
    <row r="205" ht="15.75" customHeight="1">
      <c r="A205" s="10">
        <v>220.0</v>
      </c>
      <c r="B205" s="11" t="s">
        <v>232</v>
      </c>
      <c r="C205" s="12">
        <v>31.0</v>
      </c>
      <c r="D205" s="10" t="s">
        <v>202</v>
      </c>
      <c r="E205" s="10">
        <v>2025.0</v>
      </c>
      <c r="F205" s="10" t="s">
        <v>26</v>
      </c>
      <c r="G205" s="35"/>
      <c r="H205" s="35"/>
      <c r="I205" s="36">
        <f>IFERROR(_xlfn.FORECAST.LINEAR('BD_LeiturasHidrômetro_PRJ03'!$A205,G:G,A:A),"0000")</f>
        <v>28920.97071</v>
      </c>
      <c r="J205" s="36">
        <f>IF('BD_LeiturasHidrômetro_PRJ03'!$G205&amp;'BD_LeiturasHidrômetro_PRJ03'!$H205="",'BD_LeiturasHidrômetro_PRJ03'!$I205,'BD_LeiturasHidrômetro_PRJ03'!$G205&amp;'BD_LeiturasHidrômetro_PRJ03'!$H205)</f>
        <v>28920.97071</v>
      </c>
      <c r="K205" s="36">
        <f t="shared" si="1"/>
        <v>28901.89121</v>
      </c>
      <c r="L205" s="15"/>
      <c r="M205" s="15"/>
      <c r="N205" s="17">
        <f t="shared" si="2"/>
        <v>19.07949791</v>
      </c>
      <c r="O205" s="15" t="s">
        <v>261</v>
      </c>
      <c r="S205" s="22"/>
    </row>
    <row r="206" ht="15.75" customHeight="1">
      <c r="A206" s="23"/>
      <c r="B206" s="24"/>
      <c r="C206" s="25"/>
      <c r="D206" s="26"/>
      <c r="E206" s="26"/>
      <c r="F206" s="26"/>
      <c r="G206" s="37"/>
      <c r="H206" s="37"/>
      <c r="I206" s="37"/>
      <c r="J206" s="37"/>
      <c r="K206" s="37"/>
      <c r="L206" s="23"/>
      <c r="M206" s="23"/>
      <c r="P206" s="22"/>
    </row>
    <row r="207" ht="15.75" customHeight="1">
      <c r="A207" s="23"/>
      <c r="B207" s="24"/>
      <c r="C207" s="25"/>
      <c r="D207" s="26"/>
      <c r="E207" s="26"/>
      <c r="F207" s="26"/>
      <c r="G207" s="37"/>
      <c r="H207" s="37"/>
      <c r="I207" s="37"/>
      <c r="J207" s="37"/>
      <c r="K207" s="37"/>
      <c r="L207" s="23"/>
      <c r="M207" s="23"/>
      <c r="P207" s="22"/>
    </row>
    <row r="208" ht="15.75" customHeight="1">
      <c r="A208" s="23"/>
      <c r="B208" s="24"/>
      <c r="C208" s="25"/>
      <c r="D208" s="26"/>
      <c r="E208" s="26"/>
      <c r="F208" s="26"/>
      <c r="G208" s="37"/>
      <c r="H208" s="37"/>
      <c r="I208" s="37"/>
      <c r="J208" s="37"/>
      <c r="K208" s="37"/>
      <c r="L208" s="23"/>
      <c r="M208" s="23"/>
      <c r="P208" s="22"/>
    </row>
    <row r="209" ht="15.75" customHeight="1">
      <c r="A209" s="23"/>
      <c r="B209" s="24"/>
      <c r="C209" s="25"/>
      <c r="D209" s="26"/>
      <c r="E209" s="26"/>
      <c r="F209" s="26"/>
      <c r="G209" s="37"/>
      <c r="H209" s="37"/>
      <c r="I209" s="37"/>
      <c r="J209" s="37"/>
      <c r="K209" s="37"/>
      <c r="L209" s="23"/>
      <c r="M209" s="23"/>
      <c r="P209" s="22"/>
    </row>
    <row r="210" ht="15.75" customHeight="1">
      <c r="A210" s="23"/>
      <c r="B210" s="24"/>
      <c r="C210" s="25"/>
      <c r="D210" s="26"/>
      <c r="E210" s="26"/>
      <c r="F210" s="26"/>
      <c r="G210" s="37"/>
      <c r="H210" s="37"/>
      <c r="I210" s="37"/>
      <c r="J210" s="37"/>
      <c r="K210" s="37"/>
      <c r="L210" s="23"/>
      <c r="M210" s="23"/>
      <c r="P210" s="22"/>
    </row>
    <row r="211" ht="15.75" customHeight="1">
      <c r="A211" s="23"/>
      <c r="B211" s="24"/>
      <c r="C211" s="25"/>
      <c r="D211" s="26"/>
      <c r="E211" s="26"/>
      <c r="F211" s="26"/>
      <c r="G211" s="37"/>
      <c r="H211" s="37"/>
      <c r="I211" s="37"/>
      <c r="J211" s="37"/>
      <c r="K211" s="37"/>
      <c r="L211" s="23"/>
      <c r="M211" s="23"/>
      <c r="P211" s="22"/>
    </row>
    <row r="212" ht="15.75" customHeight="1">
      <c r="A212" s="23"/>
      <c r="B212" s="24"/>
      <c r="C212" s="25"/>
      <c r="D212" s="26"/>
      <c r="E212" s="26"/>
      <c r="F212" s="26"/>
      <c r="G212" s="37"/>
      <c r="H212" s="37"/>
      <c r="I212" s="37"/>
      <c r="J212" s="37"/>
      <c r="K212" s="37"/>
      <c r="L212" s="23"/>
      <c r="M212" s="23"/>
      <c r="P212" s="22"/>
    </row>
    <row r="213" ht="15.75" customHeight="1">
      <c r="A213" s="23"/>
      <c r="B213" s="24"/>
      <c r="C213" s="25"/>
      <c r="D213" s="26"/>
      <c r="E213" s="26"/>
      <c r="F213" s="26"/>
      <c r="G213" s="37"/>
      <c r="H213" s="37"/>
      <c r="I213" s="37"/>
      <c r="J213" s="37"/>
      <c r="K213" s="37"/>
      <c r="L213" s="23"/>
      <c r="M213" s="23"/>
      <c r="P213" s="22"/>
    </row>
    <row r="214" ht="15.75" customHeight="1">
      <c r="A214" s="23"/>
      <c r="B214" s="24"/>
      <c r="C214" s="25"/>
      <c r="D214" s="26"/>
      <c r="E214" s="26"/>
      <c r="F214" s="26"/>
      <c r="G214" s="37"/>
      <c r="H214" s="37"/>
      <c r="I214" s="37"/>
      <c r="J214" s="37"/>
      <c r="K214" s="37"/>
      <c r="L214" s="23"/>
      <c r="M214" s="23"/>
      <c r="P214" s="22"/>
    </row>
    <row r="215" ht="15.75" customHeight="1">
      <c r="A215" s="23"/>
      <c r="B215" s="24"/>
      <c r="C215" s="25"/>
      <c r="D215" s="26"/>
      <c r="E215" s="26"/>
      <c r="F215" s="26"/>
      <c r="G215" s="37"/>
      <c r="H215" s="37"/>
      <c r="I215" s="37"/>
      <c r="J215" s="37"/>
      <c r="K215" s="37"/>
      <c r="L215" s="23"/>
      <c r="M215" s="23"/>
      <c r="P215" s="22"/>
    </row>
    <row r="216" ht="15.75" customHeight="1">
      <c r="A216" s="23"/>
      <c r="B216" s="24"/>
      <c r="C216" s="25"/>
      <c r="D216" s="26"/>
      <c r="E216" s="26"/>
      <c r="F216" s="26"/>
      <c r="G216" s="37"/>
      <c r="H216" s="37"/>
      <c r="I216" s="37"/>
      <c r="J216" s="37"/>
      <c r="K216" s="37"/>
      <c r="L216" s="23"/>
      <c r="M216" s="23"/>
      <c r="P216" s="22"/>
    </row>
    <row r="217" ht="15.75" customHeight="1">
      <c r="A217" s="23"/>
      <c r="B217" s="24"/>
      <c r="C217" s="25"/>
      <c r="D217" s="26"/>
      <c r="E217" s="26"/>
      <c r="F217" s="26"/>
      <c r="G217" s="37"/>
      <c r="H217" s="37"/>
      <c r="I217" s="37"/>
      <c r="J217" s="37"/>
      <c r="K217" s="37"/>
      <c r="L217" s="23"/>
      <c r="M217" s="23"/>
      <c r="P217" s="22"/>
    </row>
    <row r="218" ht="15.75" customHeight="1">
      <c r="A218" s="23"/>
      <c r="B218" s="24"/>
      <c r="C218" s="25"/>
      <c r="D218" s="26"/>
      <c r="E218" s="26"/>
      <c r="F218" s="26"/>
      <c r="G218" s="37"/>
      <c r="H218" s="37"/>
      <c r="I218" s="37"/>
      <c r="J218" s="37"/>
      <c r="K218" s="37"/>
      <c r="L218" s="23"/>
      <c r="M218" s="23"/>
      <c r="P218" s="22"/>
    </row>
    <row r="219" ht="15.75" customHeight="1">
      <c r="A219" s="23"/>
      <c r="B219" s="24"/>
      <c r="C219" s="25"/>
      <c r="D219" s="26"/>
      <c r="E219" s="26"/>
      <c r="F219" s="26"/>
      <c r="G219" s="37"/>
      <c r="H219" s="37"/>
      <c r="I219" s="37"/>
      <c r="J219" s="37"/>
      <c r="K219" s="37"/>
      <c r="L219" s="23"/>
      <c r="M219" s="23"/>
      <c r="P219" s="22"/>
    </row>
    <row r="220" ht="15.75" customHeight="1">
      <c r="A220" s="23"/>
      <c r="B220" s="24"/>
      <c r="C220" s="25"/>
      <c r="D220" s="26"/>
      <c r="E220" s="26"/>
      <c r="F220" s="26"/>
      <c r="G220" s="37"/>
      <c r="H220" s="37"/>
      <c r="I220" s="37"/>
      <c r="J220" s="37"/>
      <c r="K220" s="37"/>
      <c r="L220" s="23"/>
      <c r="M220" s="23"/>
      <c r="P220" s="22"/>
    </row>
    <row r="221" ht="15.75" customHeight="1">
      <c r="A221" s="23"/>
      <c r="B221" s="24"/>
      <c r="C221" s="25"/>
      <c r="D221" s="26"/>
      <c r="E221" s="26"/>
      <c r="F221" s="26"/>
      <c r="G221" s="37"/>
      <c r="H221" s="37"/>
      <c r="I221" s="37"/>
      <c r="J221" s="37"/>
      <c r="K221" s="37"/>
      <c r="L221" s="23"/>
      <c r="M221" s="23"/>
      <c r="P221" s="22"/>
    </row>
    <row r="222" ht="15.75" customHeight="1">
      <c r="A222" s="23"/>
      <c r="B222" s="24"/>
      <c r="C222" s="25"/>
      <c r="D222" s="26"/>
      <c r="E222" s="26"/>
      <c r="F222" s="26"/>
      <c r="G222" s="37"/>
      <c r="H222" s="37"/>
      <c r="I222" s="37"/>
      <c r="J222" s="37"/>
      <c r="K222" s="37"/>
      <c r="L222" s="23"/>
      <c r="M222" s="23"/>
      <c r="P222" s="22"/>
    </row>
    <row r="223" ht="15.75" customHeight="1">
      <c r="A223" s="23"/>
      <c r="B223" s="24"/>
      <c r="C223" s="25"/>
      <c r="D223" s="26"/>
      <c r="E223" s="26"/>
      <c r="F223" s="26"/>
      <c r="G223" s="37"/>
      <c r="H223" s="37"/>
      <c r="I223" s="37"/>
      <c r="J223" s="37"/>
      <c r="K223" s="37"/>
      <c r="L223" s="23"/>
      <c r="M223" s="23"/>
      <c r="P223" s="22"/>
    </row>
    <row r="224" ht="15.75" customHeight="1">
      <c r="A224" s="23"/>
      <c r="B224" s="24"/>
      <c r="C224" s="25"/>
      <c r="D224" s="26"/>
      <c r="E224" s="26"/>
      <c r="F224" s="26"/>
      <c r="G224" s="37"/>
      <c r="H224" s="37"/>
      <c r="I224" s="37"/>
      <c r="J224" s="37"/>
      <c r="K224" s="37"/>
      <c r="L224" s="23"/>
      <c r="M224" s="23"/>
      <c r="P224" s="22"/>
    </row>
    <row r="225" ht="15.75" customHeight="1">
      <c r="A225" s="23"/>
      <c r="B225" s="24"/>
      <c r="C225" s="25"/>
      <c r="D225" s="26"/>
      <c r="E225" s="26"/>
      <c r="F225" s="26"/>
      <c r="G225" s="37"/>
      <c r="H225" s="37"/>
      <c r="I225" s="37"/>
      <c r="J225" s="37"/>
      <c r="K225" s="37"/>
      <c r="L225" s="23"/>
      <c r="M225" s="23"/>
      <c r="P225" s="22"/>
    </row>
    <row r="226" ht="15.75" customHeight="1">
      <c r="A226" s="23"/>
      <c r="B226" s="24"/>
      <c r="C226" s="25"/>
      <c r="D226" s="26"/>
      <c r="E226" s="26"/>
      <c r="F226" s="26"/>
      <c r="G226" s="37"/>
      <c r="H226" s="37"/>
      <c r="I226" s="37"/>
      <c r="J226" s="37"/>
      <c r="K226" s="37"/>
      <c r="L226" s="23"/>
      <c r="M226" s="23"/>
      <c r="P226" s="22"/>
    </row>
    <row r="227" ht="15.75" customHeight="1">
      <c r="A227" s="23"/>
      <c r="B227" s="24"/>
      <c r="C227" s="25"/>
      <c r="D227" s="26"/>
      <c r="E227" s="26"/>
      <c r="F227" s="26"/>
      <c r="G227" s="37"/>
      <c r="H227" s="37"/>
      <c r="I227" s="37"/>
      <c r="J227" s="37"/>
      <c r="K227" s="37"/>
      <c r="L227" s="23"/>
      <c r="M227" s="23"/>
      <c r="P227" s="22"/>
    </row>
    <row r="228" ht="15.75" customHeight="1">
      <c r="A228" s="23"/>
      <c r="B228" s="24"/>
      <c r="C228" s="25"/>
      <c r="D228" s="26"/>
      <c r="E228" s="26"/>
      <c r="F228" s="26"/>
      <c r="G228" s="37"/>
      <c r="H228" s="37"/>
      <c r="I228" s="37"/>
      <c r="J228" s="37"/>
      <c r="K228" s="37"/>
      <c r="L228" s="23"/>
      <c r="M228" s="23"/>
      <c r="P228" s="22"/>
    </row>
    <row r="229" ht="15.75" customHeight="1">
      <c r="A229" s="23"/>
      <c r="B229" s="24"/>
      <c r="C229" s="25"/>
      <c r="D229" s="26"/>
      <c r="E229" s="26"/>
      <c r="F229" s="26"/>
      <c r="G229" s="37"/>
      <c r="H229" s="37"/>
      <c r="I229" s="37"/>
      <c r="J229" s="37"/>
      <c r="K229" s="37"/>
      <c r="L229" s="23"/>
      <c r="M229" s="23"/>
      <c r="P229" s="22"/>
    </row>
    <row r="230" ht="15.75" customHeight="1">
      <c r="A230" s="23"/>
      <c r="B230" s="24"/>
      <c r="C230" s="25"/>
      <c r="D230" s="26"/>
      <c r="E230" s="26"/>
      <c r="F230" s="26"/>
      <c r="G230" s="37"/>
      <c r="H230" s="37"/>
      <c r="I230" s="37"/>
      <c r="J230" s="37"/>
      <c r="K230" s="37"/>
      <c r="L230" s="23"/>
      <c r="M230" s="23"/>
      <c r="P230" s="22"/>
    </row>
    <row r="231" ht="15.75" customHeight="1">
      <c r="A231" s="23"/>
      <c r="B231" s="24"/>
      <c r="C231" s="25"/>
      <c r="D231" s="26"/>
      <c r="E231" s="26"/>
      <c r="F231" s="26"/>
      <c r="G231" s="37"/>
      <c r="H231" s="37"/>
      <c r="I231" s="37"/>
      <c r="J231" s="37"/>
      <c r="K231" s="37"/>
      <c r="L231" s="23"/>
      <c r="M231" s="23"/>
      <c r="P231" s="22"/>
    </row>
    <row r="232" ht="15.75" customHeight="1">
      <c r="A232" s="23"/>
      <c r="B232" s="24"/>
      <c r="C232" s="25"/>
      <c r="D232" s="26"/>
      <c r="E232" s="26"/>
      <c r="F232" s="26"/>
      <c r="G232" s="37"/>
      <c r="H232" s="37"/>
      <c r="I232" s="37"/>
      <c r="J232" s="37"/>
      <c r="K232" s="37"/>
      <c r="L232" s="23"/>
      <c r="M232" s="23"/>
      <c r="P232" s="22"/>
    </row>
    <row r="233" ht="15.75" customHeight="1">
      <c r="A233" s="23"/>
      <c r="B233" s="24"/>
      <c r="C233" s="25"/>
      <c r="D233" s="26"/>
      <c r="E233" s="26"/>
      <c r="F233" s="26"/>
      <c r="G233" s="37"/>
      <c r="H233" s="37"/>
      <c r="I233" s="37"/>
      <c r="J233" s="37"/>
      <c r="K233" s="37"/>
      <c r="L233" s="23"/>
      <c r="M233" s="23"/>
      <c r="P233" s="22"/>
    </row>
    <row r="234" ht="15.75" customHeight="1">
      <c r="A234" s="23"/>
      <c r="B234" s="24"/>
      <c r="C234" s="25"/>
      <c r="D234" s="26"/>
      <c r="E234" s="26"/>
      <c r="F234" s="26"/>
      <c r="G234" s="37"/>
      <c r="H234" s="37"/>
      <c r="I234" s="37"/>
      <c r="J234" s="37"/>
      <c r="K234" s="37"/>
      <c r="L234" s="23"/>
      <c r="M234" s="23"/>
      <c r="P234" s="22"/>
    </row>
    <row r="235" ht="15.75" customHeight="1">
      <c r="A235" s="23"/>
      <c r="B235" s="24"/>
      <c r="C235" s="25"/>
      <c r="D235" s="26"/>
      <c r="E235" s="26"/>
      <c r="F235" s="26"/>
      <c r="G235" s="37"/>
      <c r="H235" s="37"/>
      <c r="I235" s="37"/>
      <c r="J235" s="37"/>
      <c r="K235" s="37"/>
      <c r="L235" s="23"/>
      <c r="M235" s="23"/>
      <c r="P235" s="22"/>
    </row>
    <row r="236" ht="15.75" customHeight="1">
      <c r="A236" s="23"/>
      <c r="B236" s="24"/>
      <c r="C236" s="25"/>
      <c r="D236" s="26"/>
      <c r="E236" s="26"/>
      <c r="F236" s="26"/>
      <c r="G236" s="37"/>
      <c r="H236" s="37"/>
      <c r="I236" s="37"/>
      <c r="J236" s="37"/>
      <c r="K236" s="37"/>
      <c r="L236" s="23"/>
      <c r="M236" s="23"/>
      <c r="P236" s="22"/>
    </row>
    <row r="237" ht="15.75" customHeight="1">
      <c r="A237" s="23"/>
      <c r="B237" s="24"/>
      <c r="C237" s="25"/>
      <c r="D237" s="26"/>
      <c r="E237" s="26"/>
      <c r="F237" s="26"/>
      <c r="G237" s="37"/>
      <c r="H237" s="37"/>
      <c r="I237" s="37"/>
      <c r="J237" s="37"/>
      <c r="K237" s="37"/>
      <c r="L237" s="23"/>
      <c r="M237" s="23"/>
      <c r="P237" s="22"/>
    </row>
    <row r="238" ht="15.75" customHeight="1">
      <c r="A238" s="23"/>
      <c r="B238" s="24"/>
      <c r="C238" s="25"/>
      <c r="D238" s="26"/>
      <c r="E238" s="26"/>
      <c r="F238" s="26"/>
      <c r="G238" s="37"/>
      <c r="H238" s="37"/>
      <c r="I238" s="37"/>
      <c r="J238" s="37"/>
      <c r="K238" s="37"/>
      <c r="L238" s="23"/>
      <c r="M238" s="23"/>
      <c r="P238" s="22"/>
    </row>
    <row r="239" ht="15.75" customHeight="1">
      <c r="A239" s="23"/>
      <c r="B239" s="24"/>
      <c r="C239" s="25"/>
      <c r="D239" s="26"/>
      <c r="E239" s="26"/>
      <c r="F239" s="26"/>
      <c r="G239" s="37"/>
      <c r="H239" s="37"/>
      <c r="I239" s="37"/>
      <c r="J239" s="37"/>
      <c r="K239" s="37"/>
      <c r="L239" s="23"/>
      <c r="M239" s="23"/>
      <c r="P239" s="22"/>
    </row>
    <row r="240" ht="15.75" customHeight="1">
      <c r="A240" s="23"/>
      <c r="B240" s="24"/>
      <c r="C240" s="25"/>
      <c r="D240" s="26"/>
      <c r="E240" s="26"/>
      <c r="F240" s="26"/>
      <c r="G240" s="37"/>
      <c r="H240" s="37"/>
      <c r="I240" s="37"/>
      <c r="J240" s="37"/>
      <c r="K240" s="37"/>
      <c r="L240" s="23"/>
      <c r="M240" s="23"/>
      <c r="P240" s="22"/>
    </row>
    <row r="241" ht="15.75" customHeight="1">
      <c r="A241" s="23"/>
      <c r="B241" s="24"/>
      <c r="C241" s="25"/>
      <c r="D241" s="26"/>
      <c r="E241" s="26"/>
      <c r="F241" s="26"/>
      <c r="G241" s="37"/>
      <c r="H241" s="37"/>
      <c r="I241" s="37"/>
      <c r="J241" s="37"/>
      <c r="K241" s="37"/>
      <c r="L241" s="23"/>
      <c r="M241" s="23"/>
      <c r="P241" s="22"/>
    </row>
    <row r="242" ht="15.75" customHeight="1">
      <c r="A242" s="23"/>
      <c r="B242" s="24"/>
      <c r="C242" s="25"/>
      <c r="D242" s="26"/>
      <c r="E242" s="26"/>
      <c r="F242" s="26"/>
      <c r="G242" s="37"/>
      <c r="H242" s="37"/>
      <c r="I242" s="37"/>
      <c r="J242" s="37"/>
      <c r="K242" s="37"/>
      <c r="L242" s="23"/>
      <c r="M242" s="23"/>
      <c r="P242" s="22"/>
    </row>
    <row r="243" ht="15.75" customHeight="1">
      <c r="A243" s="23"/>
      <c r="B243" s="24"/>
      <c r="C243" s="25"/>
      <c r="D243" s="26"/>
      <c r="E243" s="26"/>
      <c r="F243" s="26"/>
      <c r="G243" s="37"/>
      <c r="H243" s="37"/>
      <c r="I243" s="37"/>
      <c r="J243" s="37"/>
      <c r="K243" s="37"/>
      <c r="L243" s="23"/>
      <c r="M243" s="23"/>
      <c r="P243" s="22"/>
    </row>
    <row r="244" ht="15.75" customHeight="1">
      <c r="A244" s="23"/>
      <c r="B244" s="24"/>
      <c r="C244" s="25"/>
      <c r="D244" s="26"/>
      <c r="E244" s="26"/>
      <c r="F244" s="26"/>
      <c r="G244" s="37"/>
      <c r="H244" s="37"/>
      <c r="I244" s="37"/>
      <c r="J244" s="37"/>
      <c r="K244" s="37"/>
      <c r="L244" s="23"/>
      <c r="M244" s="23"/>
      <c r="P244" s="22"/>
    </row>
    <row r="245" ht="15.75" customHeight="1">
      <c r="A245" s="23"/>
      <c r="B245" s="24"/>
      <c r="C245" s="25"/>
      <c r="D245" s="26"/>
      <c r="E245" s="26"/>
      <c r="F245" s="26"/>
      <c r="G245" s="37"/>
      <c r="H245" s="37"/>
      <c r="I245" s="37"/>
      <c r="J245" s="37"/>
      <c r="K245" s="37"/>
      <c r="L245" s="23"/>
      <c r="M245" s="23"/>
      <c r="P245" s="22"/>
    </row>
    <row r="246" ht="15.75" customHeight="1">
      <c r="A246" s="23"/>
      <c r="B246" s="24"/>
      <c r="C246" s="25"/>
      <c r="D246" s="26"/>
      <c r="E246" s="26"/>
      <c r="F246" s="26"/>
      <c r="G246" s="37"/>
      <c r="H246" s="37"/>
      <c r="I246" s="37"/>
      <c r="J246" s="37"/>
      <c r="K246" s="37"/>
      <c r="L246" s="23"/>
      <c r="M246" s="23"/>
      <c r="P246" s="22"/>
    </row>
    <row r="247" ht="15.75" customHeight="1">
      <c r="A247" s="23"/>
      <c r="B247" s="24"/>
      <c r="C247" s="25"/>
      <c r="D247" s="26"/>
      <c r="E247" s="26"/>
      <c r="F247" s="26"/>
      <c r="G247" s="37"/>
      <c r="H247" s="37"/>
      <c r="I247" s="37"/>
      <c r="J247" s="37"/>
      <c r="K247" s="37"/>
      <c r="L247" s="23"/>
      <c r="M247" s="23"/>
      <c r="P247" s="22"/>
    </row>
    <row r="248" ht="15.75" customHeight="1">
      <c r="A248" s="23"/>
      <c r="B248" s="24"/>
      <c r="C248" s="25"/>
      <c r="D248" s="26"/>
      <c r="E248" s="26"/>
      <c r="F248" s="26"/>
      <c r="G248" s="37"/>
      <c r="H248" s="37"/>
      <c r="I248" s="37"/>
      <c r="J248" s="37"/>
      <c r="K248" s="37"/>
      <c r="L248" s="23"/>
      <c r="M248" s="23"/>
      <c r="P248" s="22"/>
    </row>
    <row r="249" ht="15.75" customHeight="1">
      <c r="A249" s="23"/>
      <c r="B249" s="24"/>
      <c r="C249" s="25"/>
      <c r="D249" s="26"/>
      <c r="E249" s="26"/>
      <c r="F249" s="26"/>
      <c r="G249" s="37"/>
      <c r="H249" s="37"/>
      <c r="I249" s="37"/>
      <c r="J249" s="37"/>
      <c r="K249" s="37"/>
      <c r="L249" s="23"/>
      <c r="M249" s="23"/>
      <c r="P249" s="22"/>
    </row>
    <row r="250" ht="15.75" customHeight="1">
      <c r="A250" s="23"/>
      <c r="B250" s="24"/>
      <c r="C250" s="25"/>
      <c r="D250" s="26"/>
      <c r="E250" s="26"/>
      <c r="F250" s="26"/>
      <c r="G250" s="37"/>
      <c r="H250" s="37"/>
      <c r="I250" s="37"/>
      <c r="J250" s="37"/>
      <c r="K250" s="37"/>
      <c r="L250" s="23"/>
      <c r="M250" s="23"/>
      <c r="P250" s="22"/>
    </row>
    <row r="251" ht="15.75" customHeight="1">
      <c r="A251" s="23"/>
      <c r="B251" s="24"/>
      <c r="C251" s="25"/>
      <c r="D251" s="26"/>
      <c r="E251" s="26"/>
      <c r="F251" s="26"/>
      <c r="G251" s="37"/>
      <c r="H251" s="37"/>
      <c r="I251" s="37"/>
      <c r="J251" s="37"/>
      <c r="K251" s="37"/>
      <c r="L251" s="23"/>
      <c r="M251" s="23"/>
      <c r="P251" s="22"/>
    </row>
    <row r="252" ht="15.75" customHeight="1">
      <c r="A252" s="23"/>
      <c r="B252" s="24"/>
      <c r="C252" s="25"/>
      <c r="D252" s="26"/>
      <c r="E252" s="26"/>
      <c r="F252" s="26"/>
      <c r="G252" s="37"/>
      <c r="H252" s="37"/>
      <c r="I252" s="37"/>
      <c r="J252" s="37"/>
      <c r="K252" s="37"/>
      <c r="L252" s="23"/>
      <c r="M252" s="23"/>
      <c r="P252" s="22"/>
    </row>
    <row r="253" ht="15.75" customHeight="1">
      <c r="A253" s="23"/>
      <c r="B253" s="24"/>
      <c r="C253" s="25"/>
      <c r="D253" s="26"/>
      <c r="E253" s="26"/>
      <c r="F253" s="26"/>
      <c r="G253" s="37"/>
      <c r="H253" s="37"/>
      <c r="I253" s="37"/>
      <c r="J253" s="37"/>
      <c r="K253" s="37"/>
      <c r="L253" s="23"/>
      <c r="M253" s="23"/>
      <c r="P253" s="22"/>
    </row>
    <row r="254" ht="15.75" customHeight="1">
      <c r="A254" s="23"/>
      <c r="B254" s="24"/>
      <c r="C254" s="25"/>
      <c r="D254" s="26"/>
      <c r="E254" s="26"/>
      <c r="F254" s="26"/>
      <c r="G254" s="37"/>
      <c r="H254" s="37"/>
      <c r="I254" s="37"/>
      <c r="J254" s="37"/>
      <c r="K254" s="37"/>
      <c r="L254" s="23"/>
      <c r="M254" s="23"/>
      <c r="P254" s="22"/>
    </row>
    <row r="255" ht="15.75" customHeight="1">
      <c r="A255" s="23"/>
      <c r="B255" s="24"/>
      <c r="C255" s="25"/>
      <c r="D255" s="26"/>
      <c r="E255" s="26"/>
      <c r="F255" s="26"/>
      <c r="G255" s="37"/>
      <c r="H255" s="37"/>
      <c r="I255" s="37"/>
      <c r="J255" s="37"/>
      <c r="K255" s="37"/>
      <c r="L255" s="23"/>
      <c r="M255" s="23"/>
      <c r="P255" s="22"/>
    </row>
    <row r="256" ht="15.75" customHeight="1">
      <c r="A256" s="23"/>
      <c r="B256" s="24"/>
      <c r="C256" s="25"/>
      <c r="D256" s="26"/>
      <c r="E256" s="26"/>
      <c r="F256" s="26"/>
      <c r="G256" s="37"/>
      <c r="H256" s="37"/>
      <c r="I256" s="37"/>
      <c r="J256" s="37"/>
      <c r="K256" s="37"/>
      <c r="L256" s="23"/>
      <c r="M256" s="23"/>
      <c r="P256" s="22"/>
    </row>
    <row r="257" ht="15.75" customHeight="1">
      <c r="A257" s="23"/>
      <c r="B257" s="24"/>
      <c r="C257" s="25"/>
      <c r="D257" s="26"/>
      <c r="E257" s="26"/>
      <c r="F257" s="26"/>
      <c r="G257" s="37"/>
      <c r="H257" s="37"/>
      <c r="I257" s="37"/>
      <c r="J257" s="37"/>
      <c r="K257" s="37"/>
      <c r="L257" s="23"/>
      <c r="M257" s="23"/>
      <c r="P257" s="22"/>
    </row>
    <row r="258" ht="15.75" customHeight="1">
      <c r="A258" s="23"/>
      <c r="B258" s="24"/>
      <c r="C258" s="25"/>
      <c r="D258" s="26"/>
      <c r="E258" s="26"/>
      <c r="F258" s="26"/>
      <c r="G258" s="37"/>
      <c r="H258" s="37"/>
      <c r="I258" s="37"/>
      <c r="J258" s="37"/>
      <c r="K258" s="37"/>
      <c r="L258" s="23"/>
      <c r="M258" s="23"/>
      <c r="P258" s="22"/>
    </row>
    <row r="259" ht="15.75" customHeight="1">
      <c r="A259" s="23"/>
      <c r="B259" s="24"/>
      <c r="C259" s="25"/>
      <c r="D259" s="26"/>
      <c r="E259" s="26"/>
      <c r="F259" s="26"/>
      <c r="G259" s="37"/>
      <c r="H259" s="37"/>
      <c r="I259" s="37"/>
      <c r="J259" s="37"/>
      <c r="K259" s="37"/>
      <c r="L259" s="23"/>
      <c r="M259" s="23"/>
      <c r="P259" s="22"/>
    </row>
    <row r="260" ht="15.75" customHeight="1">
      <c r="A260" s="23"/>
      <c r="B260" s="24"/>
      <c r="C260" s="25"/>
      <c r="D260" s="26"/>
      <c r="E260" s="26"/>
      <c r="F260" s="26"/>
      <c r="G260" s="37"/>
      <c r="H260" s="37"/>
      <c r="I260" s="37"/>
      <c r="J260" s="37"/>
      <c r="K260" s="37"/>
      <c r="L260" s="23"/>
      <c r="M260" s="23"/>
      <c r="P260" s="22"/>
    </row>
    <row r="261" ht="15.75" customHeight="1">
      <c r="A261" s="23"/>
      <c r="B261" s="24"/>
      <c r="C261" s="25"/>
      <c r="D261" s="26"/>
      <c r="E261" s="26"/>
      <c r="F261" s="26"/>
      <c r="G261" s="37"/>
      <c r="H261" s="37"/>
      <c r="I261" s="37"/>
      <c r="J261" s="37"/>
      <c r="K261" s="37"/>
      <c r="L261" s="23"/>
      <c r="M261" s="23"/>
      <c r="P261" s="22"/>
    </row>
    <row r="262" ht="15.75" customHeight="1">
      <c r="A262" s="23"/>
      <c r="B262" s="24"/>
      <c r="C262" s="25"/>
      <c r="D262" s="26"/>
      <c r="E262" s="26"/>
      <c r="F262" s="26"/>
      <c r="G262" s="37"/>
      <c r="H262" s="37"/>
      <c r="I262" s="37"/>
      <c r="J262" s="37"/>
      <c r="K262" s="37"/>
      <c r="L262" s="23"/>
      <c r="M262" s="23"/>
      <c r="P262" s="22"/>
    </row>
    <row r="263" ht="15.75" customHeight="1">
      <c r="A263" s="23"/>
      <c r="B263" s="24"/>
      <c r="C263" s="25"/>
      <c r="D263" s="26"/>
      <c r="E263" s="26"/>
      <c r="F263" s="26"/>
      <c r="G263" s="37"/>
      <c r="H263" s="37"/>
      <c r="I263" s="37"/>
      <c r="J263" s="37"/>
      <c r="K263" s="37"/>
      <c r="L263" s="23"/>
      <c r="M263" s="23"/>
      <c r="P263" s="22"/>
    </row>
    <row r="264" ht="15.75" customHeight="1">
      <c r="A264" s="23"/>
      <c r="B264" s="24"/>
      <c r="C264" s="25"/>
      <c r="D264" s="26"/>
      <c r="E264" s="26"/>
      <c r="F264" s="26"/>
      <c r="G264" s="37"/>
      <c r="H264" s="37"/>
      <c r="I264" s="37"/>
      <c r="J264" s="37"/>
      <c r="K264" s="37"/>
      <c r="L264" s="23"/>
      <c r="M264" s="23"/>
      <c r="P264" s="22"/>
    </row>
    <row r="265" ht="15.75" customHeight="1">
      <c r="A265" s="23"/>
      <c r="B265" s="24"/>
      <c r="C265" s="25"/>
      <c r="D265" s="26"/>
      <c r="E265" s="26"/>
      <c r="F265" s="26"/>
      <c r="G265" s="37"/>
      <c r="H265" s="37"/>
      <c r="I265" s="37"/>
      <c r="J265" s="37"/>
      <c r="K265" s="37"/>
      <c r="L265" s="23"/>
      <c r="M265" s="23"/>
      <c r="P265" s="22"/>
    </row>
    <row r="266" ht="15.75" customHeight="1">
      <c r="A266" s="23"/>
      <c r="B266" s="24"/>
      <c r="C266" s="25"/>
      <c r="D266" s="26"/>
      <c r="E266" s="26"/>
      <c r="F266" s="26"/>
      <c r="G266" s="37"/>
      <c r="H266" s="37"/>
      <c r="I266" s="37"/>
      <c r="J266" s="37"/>
      <c r="K266" s="37"/>
      <c r="L266" s="23"/>
      <c r="M266" s="23"/>
      <c r="P266" s="22"/>
    </row>
    <row r="267" ht="15.75" customHeight="1">
      <c r="A267" s="23"/>
      <c r="B267" s="24"/>
      <c r="C267" s="25"/>
      <c r="D267" s="26"/>
      <c r="E267" s="26"/>
      <c r="F267" s="26"/>
      <c r="G267" s="37"/>
      <c r="H267" s="37"/>
      <c r="I267" s="37"/>
      <c r="J267" s="37"/>
      <c r="K267" s="37"/>
      <c r="L267" s="23"/>
      <c r="M267" s="23"/>
      <c r="P267" s="22"/>
    </row>
    <row r="268" ht="15.75" customHeight="1">
      <c r="A268" s="23"/>
      <c r="B268" s="24"/>
      <c r="C268" s="25"/>
      <c r="D268" s="26"/>
      <c r="E268" s="26"/>
      <c r="F268" s="26"/>
      <c r="G268" s="37"/>
      <c r="H268" s="37"/>
      <c r="I268" s="37"/>
      <c r="J268" s="37"/>
      <c r="K268" s="37"/>
      <c r="L268" s="23"/>
      <c r="M268" s="23"/>
      <c r="P268" s="22"/>
    </row>
    <row r="269" ht="15.75" customHeight="1">
      <c r="A269" s="23"/>
      <c r="B269" s="24"/>
      <c r="C269" s="25"/>
      <c r="D269" s="26"/>
      <c r="E269" s="26"/>
      <c r="F269" s="26"/>
      <c r="G269" s="37"/>
      <c r="H269" s="37"/>
      <c r="I269" s="37"/>
      <c r="J269" s="37"/>
      <c r="K269" s="37"/>
      <c r="L269" s="23"/>
      <c r="M269" s="23"/>
      <c r="P269" s="22"/>
    </row>
    <row r="270" ht="15.75" customHeight="1">
      <c r="A270" s="23"/>
      <c r="B270" s="24"/>
      <c r="C270" s="25"/>
      <c r="D270" s="26"/>
      <c r="E270" s="26"/>
      <c r="F270" s="26"/>
      <c r="G270" s="37"/>
      <c r="H270" s="37"/>
      <c r="I270" s="37"/>
      <c r="J270" s="37"/>
      <c r="K270" s="37"/>
      <c r="L270" s="23"/>
      <c r="M270" s="23"/>
      <c r="P270" s="22"/>
    </row>
    <row r="271" ht="15.75" customHeight="1">
      <c r="A271" s="23"/>
      <c r="B271" s="24"/>
      <c r="C271" s="25"/>
      <c r="D271" s="26"/>
      <c r="E271" s="26"/>
      <c r="F271" s="26"/>
      <c r="G271" s="37"/>
      <c r="H271" s="37"/>
      <c r="I271" s="37"/>
      <c r="J271" s="37"/>
      <c r="K271" s="37"/>
      <c r="L271" s="23"/>
      <c r="M271" s="23"/>
      <c r="P271" s="22"/>
    </row>
    <row r="272" ht="15.75" customHeight="1">
      <c r="A272" s="23"/>
      <c r="B272" s="24"/>
      <c r="C272" s="25"/>
      <c r="D272" s="26"/>
      <c r="E272" s="26"/>
      <c r="F272" s="26"/>
      <c r="G272" s="37"/>
      <c r="H272" s="37"/>
      <c r="I272" s="37"/>
      <c r="J272" s="37"/>
      <c r="K272" s="37"/>
      <c r="L272" s="23"/>
      <c r="M272" s="23"/>
      <c r="P272" s="22"/>
    </row>
    <row r="273" ht="15.75" customHeight="1">
      <c r="A273" s="23"/>
      <c r="B273" s="24"/>
      <c r="C273" s="25"/>
      <c r="D273" s="26"/>
      <c r="E273" s="26"/>
      <c r="F273" s="26"/>
      <c r="G273" s="37"/>
      <c r="H273" s="37"/>
      <c r="I273" s="37"/>
      <c r="J273" s="37"/>
      <c r="K273" s="37"/>
      <c r="L273" s="23"/>
      <c r="M273" s="23"/>
      <c r="P273" s="22"/>
    </row>
    <row r="274" ht="15.75" customHeight="1">
      <c r="A274" s="23"/>
      <c r="B274" s="24"/>
      <c r="C274" s="25"/>
      <c r="D274" s="26"/>
      <c r="E274" s="26"/>
      <c r="F274" s="26"/>
      <c r="G274" s="37"/>
      <c r="H274" s="37"/>
      <c r="I274" s="37"/>
      <c r="J274" s="37"/>
      <c r="K274" s="37"/>
      <c r="L274" s="23"/>
      <c r="M274" s="23"/>
      <c r="P274" s="22"/>
    </row>
    <row r="275" ht="15.75" customHeight="1">
      <c r="A275" s="23"/>
      <c r="B275" s="24"/>
      <c r="C275" s="25"/>
      <c r="D275" s="26"/>
      <c r="E275" s="26"/>
      <c r="F275" s="26"/>
      <c r="G275" s="37"/>
      <c r="H275" s="37"/>
      <c r="I275" s="37"/>
      <c r="J275" s="37"/>
      <c r="K275" s="37"/>
      <c r="L275" s="23"/>
      <c r="M275" s="23"/>
      <c r="P275" s="22"/>
    </row>
    <row r="276" ht="15.75" customHeight="1">
      <c r="A276" s="23"/>
      <c r="B276" s="24"/>
      <c r="C276" s="25"/>
      <c r="D276" s="26"/>
      <c r="E276" s="26"/>
      <c r="F276" s="26"/>
      <c r="G276" s="37"/>
      <c r="H276" s="37"/>
      <c r="I276" s="37"/>
      <c r="J276" s="37"/>
      <c r="K276" s="37"/>
      <c r="L276" s="23"/>
      <c r="M276" s="23"/>
      <c r="P276" s="22"/>
    </row>
    <row r="277" ht="15.75" customHeight="1">
      <c r="A277" s="23"/>
      <c r="B277" s="24"/>
      <c r="C277" s="25"/>
      <c r="D277" s="26"/>
      <c r="E277" s="26"/>
      <c r="F277" s="26"/>
      <c r="G277" s="37"/>
      <c r="H277" s="37"/>
      <c r="I277" s="37"/>
      <c r="J277" s="37"/>
      <c r="K277" s="37"/>
      <c r="L277" s="23"/>
      <c r="M277" s="23"/>
      <c r="P277" s="22"/>
    </row>
    <row r="278" ht="15.75" customHeight="1">
      <c r="A278" s="23"/>
      <c r="B278" s="24"/>
      <c r="C278" s="25"/>
      <c r="D278" s="26"/>
      <c r="E278" s="26"/>
      <c r="F278" s="26"/>
      <c r="G278" s="37"/>
      <c r="H278" s="37"/>
      <c r="I278" s="37"/>
      <c r="J278" s="37"/>
      <c r="K278" s="37"/>
      <c r="L278" s="23"/>
      <c r="M278" s="23"/>
      <c r="P278" s="22"/>
    </row>
    <row r="279" ht="15.75" customHeight="1">
      <c r="A279" s="23"/>
      <c r="B279" s="24"/>
      <c r="C279" s="25"/>
      <c r="D279" s="26"/>
      <c r="E279" s="26"/>
      <c r="F279" s="26"/>
      <c r="G279" s="37"/>
      <c r="H279" s="37"/>
      <c r="I279" s="37"/>
      <c r="J279" s="37"/>
      <c r="K279" s="37"/>
      <c r="L279" s="23"/>
      <c r="M279" s="23"/>
      <c r="P279" s="22"/>
    </row>
    <row r="280" ht="15.75" customHeight="1">
      <c r="A280" s="23"/>
      <c r="B280" s="24"/>
      <c r="C280" s="25"/>
      <c r="D280" s="26"/>
      <c r="E280" s="26"/>
      <c r="F280" s="26"/>
      <c r="G280" s="37"/>
      <c r="H280" s="37"/>
      <c r="I280" s="37"/>
      <c r="J280" s="37"/>
      <c r="K280" s="37"/>
      <c r="L280" s="23"/>
      <c r="M280" s="23"/>
      <c r="P280" s="22"/>
    </row>
    <row r="281" ht="15.75" customHeight="1">
      <c r="A281" s="23"/>
      <c r="B281" s="24"/>
      <c r="C281" s="25"/>
      <c r="D281" s="26"/>
      <c r="E281" s="26"/>
      <c r="F281" s="26"/>
      <c r="G281" s="37"/>
      <c r="H281" s="37"/>
      <c r="I281" s="37"/>
      <c r="J281" s="37"/>
      <c r="K281" s="37"/>
      <c r="L281" s="23"/>
      <c r="M281" s="23"/>
      <c r="P281" s="22"/>
    </row>
    <row r="282" ht="15.75" customHeight="1">
      <c r="A282" s="23"/>
      <c r="B282" s="24"/>
      <c r="C282" s="25"/>
      <c r="D282" s="26"/>
      <c r="E282" s="26"/>
      <c r="F282" s="26"/>
      <c r="G282" s="37"/>
      <c r="H282" s="37"/>
      <c r="I282" s="37"/>
      <c r="J282" s="37"/>
      <c r="K282" s="37"/>
      <c r="L282" s="23"/>
      <c r="M282" s="23"/>
      <c r="P282" s="22"/>
    </row>
    <row r="283" ht="15.75" customHeight="1">
      <c r="A283" s="23"/>
      <c r="B283" s="24"/>
      <c r="C283" s="25"/>
      <c r="D283" s="26"/>
      <c r="E283" s="26"/>
      <c r="F283" s="26"/>
      <c r="G283" s="37"/>
      <c r="H283" s="37"/>
      <c r="I283" s="37"/>
      <c r="J283" s="37"/>
      <c r="K283" s="37"/>
      <c r="L283" s="23"/>
      <c r="M283" s="23"/>
      <c r="P283" s="22"/>
    </row>
    <row r="284" ht="15.75" customHeight="1">
      <c r="A284" s="23"/>
      <c r="B284" s="24"/>
      <c r="C284" s="25"/>
      <c r="D284" s="26"/>
      <c r="E284" s="26"/>
      <c r="F284" s="26"/>
      <c r="G284" s="37"/>
      <c r="H284" s="37"/>
      <c r="I284" s="37"/>
      <c r="J284" s="37"/>
      <c r="K284" s="37"/>
      <c r="L284" s="23"/>
      <c r="M284" s="23"/>
      <c r="P284" s="22"/>
    </row>
    <row r="285" ht="15.75" customHeight="1">
      <c r="A285" s="23"/>
      <c r="B285" s="24"/>
      <c r="C285" s="25"/>
      <c r="D285" s="26"/>
      <c r="E285" s="26"/>
      <c r="F285" s="26"/>
      <c r="G285" s="37"/>
      <c r="H285" s="37"/>
      <c r="I285" s="37"/>
      <c r="J285" s="37"/>
      <c r="K285" s="37"/>
      <c r="L285" s="23"/>
      <c r="M285" s="23"/>
      <c r="P285" s="22"/>
    </row>
    <row r="286" ht="15.75" customHeight="1">
      <c r="A286" s="23"/>
      <c r="B286" s="24"/>
      <c r="C286" s="25"/>
      <c r="D286" s="26"/>
      <c r="E286" s="26"/>
      <c r="F286" s="26"/>
      <c r="G286" s="37"/>
      <c r="H286" s="37"/>
      <c r="I286" s="37"/>
      <c r="J286" s="37"/>
      <c r="K286" s="37"/>
      <c r="L286" s="23"/>
      <c r="M286" s="23"/>
      <c r="P286" s="22"/>
    </row>
    <row r="287" ht="15.75" customHeight="1">
      <c r="A287" s="23"/>
      <c r="B287" s="24"/>
      <c r="C287" s="25"/>
      <c r="D287" s="26"/>
      <c r="E287" s="26"/>
      <c r="F287" s="26"/>
      <c r="G287" s="37"/>
      <c r="H287" s="37"/>
      <c r="I287" s="37"/>
      <c r="J287" s="37"/>
      <c r="K287" s="37"/>
      <c r="L287" s="23"/>
      <c r="M287" s="23"/>
      <c r="P287" s="22"/>
    </row>
    <row r="288" ht="15.75" customHeight="1">
      <c r="A288" s="23"/>
      <c r="B288" s="24"/>
      <c r="C288" s="25"/>
      <c r="D288" s="26"/>
      <c r="E288" s="26"/>
      <c r="F288" s="26"/>
      <c r="G288" s="37"/>
      <c r="H288" s="37"/>
      <c r="I288" s="37"/>
      <c r="J288" s="37"/>
      <c r="K288" s="37"/>
      <c r="L288" s="23"/>
      <c r="M288" s="23"/>
      <c r="P288" s="22"/>
    </row>
    <row r="289" ht="15.75" customHeight="1">
      <c r="A289" s="23"/>
      <c r="B289" s="24"/>
      <c r="C289" s="25"/>
      <c r="D289" s="26"/>
      <c r="E289" s="26"/>
      <c r="F289" s="26"/>
      <c r="G289" s="37"/>
      <c r="H289" s="37"/>
      <c r="I289" s="37"/>
      <c r="J289" s="37"/>
      <c r="K289" s="37"/>
      <c r="L289" s="23"/>
      <c r="M289" s="23"/>
      <c r="P289" s="22"/>
    </row>
    <row r="290" ht="15.75" customHeight="1">
      <c r="A290" s="23"/>
      <c r="B290" s="24"/>
      <c r="C290" s="25"/>
      <c r="D290" s="26"/>
      <c r="E290" s="26"/>
      <c r="F290" s="26"/>
      <c r="G290" s="37"/>
      <c r="H290" s="37"/>
      <c r="I290" s="37"/>
      <c r="J290" s="37"/>
      <c r="K290" s="37"/>
      <c r="L290" s="23"/>
      <c r="M290" s="23"/>
      <c r="P290" s="22"/>
    </row>
    <row r="291" ht="15.75" customHeight="1">
      <c r="A291" s="23"/>
      <c r="B291" s="24"/>
      <c r="C291" s="25"/>
      <c r="D291" s="26"/>
      <c r="E291" s="26"/>
      <c r="F291" s="26"/>
      <c r="G291" s="37"/>
      <c r="H291" s="37"/>
      <c r="I291" s="37"/>
      <c r="J291" s="37"/>
      <c r="K291" s="37"/>
      <c r="L291" s="23"/>
      <c r="M291" s="23"/>
      <c r="P291" s="22"/>
    </row>
    <row r="292" ht="15.75" customHeight="1">
      <c r="A292" s="23"/>
      <c r="B292" s="24"/>
      <c r="C292" s="25"/>
      <c r="D292" s="26"/>
      <c r="E292" s="26"/>
      <c r="F292" s="26"/>
      <c r="G292" s="37"/>
      <c r="H292" s="37"/>
      <c r="I292" s="37"/>
      <c r="J292" s="37"/>
      <c r="K292" s="37"/>
      <c r="L292" s="23"/>
      <c r="M292" s="23"/>
      <c r="P292" s="22"/>
    </row>
    <row r="293" ht="15.75" customHeight="1">
      <c r="A293" s="23"/>
      <c r="B293" s="24"/>
      <c r="C293" s="25"/>
      <c r="D293" s="26"/>
      <c r="E293" s="26"/>
      <c r="F293" s="26"/>
      <c r="G293" s="37"/>
      <c r="H293" s="37"/>
      <c r="I293" s="37"/>
      <c r="J293" s="37"/>
      <c r="K293" s="37"/>
      <c r="L293" s="23"/>
      <c r="M293" s="23"/>
      <c r="P293" s="22"/>
    </row>
    <row r="294" ht="15.75" customHeight="1">
      <c r="A294" s="23"/>
      <c r="B294" s="24"/>
      <c r="C294" s="25"/>
      <c r="D294" s="26"/>
      <c r="E294" s="26"/>
      <c r="F294" s="26"/>
      <c r="G294" s="37"/>
      <c r="H294" s="37"/>
      <c r="I294" s="37"/>
      <c r="J294" s="37"/>
      <c r="K294" s="37"/>
      <c r="L294" s="23"/>
      <c r="M294" s="23"/>
      <c r="P294" s="22"/>
    </row>
    <row r="295" ht="15.75" customHeight="1">
      <c r="A295" s="23"/>
      <c r="B295" s="24"/>
      <c r="C295" s="25"/>
      <c r="D295" s="26"/>
      <c r="E295" s="26"/>
      <c r="F295" s="26"/>
      <c r="G295" s="37"/>
      <c r="H295" s="37"/>
      <c r="I295" s="37"/>
      <c r="J295" s="37"/>
      <c r="K295" s="37"/>
      <c r="L295" s="23"/>
      <c r="M295" s="23"/>
      <c r="P295" s="22"/>
    </row>
    <row r="296" ht="15.75" customHeight="1">
      <c r="A296" s="23"/>
      <c r="B296" s="24"/>
      <c r="C296" s="25"/>
      <c r="D296" s="26"/>
      <c r="E296" s="26"/>
      <c r="F296" s="26"/>
      <c r="G296" s="37"/>
      <c r="H296" s="37"/>
      <c r="I296" s="37"/>
      <c r="J296" s="37"/>
      <c r="K296" s="37"/>
      <c r="L296" s="23"/>
      <c r="M296" s="23"/>
      <c r="P296" s="22"/>
    </row>
    <row r="297" ht="15.75" customHeight="1">
      <c r="A297" s="23"/>
      <c r="B297" s="24"/>
      <c r="C297" s="25"/>
      <c r="D297" s="26"/>
      <c r="E297" s="26"/>
      <c r="F297" s="26"/>
      <c r="G297" s="37"/>
      <c r="H297" s="37"/>
      <c r="I297" s="37"/>
      <c r="J297" s="37"/>
      <c r="K297" s="37"/>
      <c r="L297" s="23"/>
      <c r="M297" s="23"/>
      <c r="P297" s="22"/>
    </row>
    <row r="298" ht="15.75" customHeight="1">
      <c r="A298" s="23"/>
      <c r="B298" s="24"/>
      <c r="C298" s="25"/>
      <c r="D298" s="26"/>
      <c r="E298" s="26"/>
      <c r="F298" s="26"/>
      <c r="G298" s="37"/>
      <c r="H298" s="37"/>
      <c r="I298" s="37"/>
      <c r="J298" s="37"/>
      <c r="K298" s="37"/>
      <c r="L298" s="23"/>
      <c r="M298" s="23"/>
      <c r="P298" s="22"/>
    </row>
    <row r="299" ht="15.75" customHeight="1">
      <c r="A299" s="23"/>
      <c r="B299" s="24"/>
      <c r="C299" s="25"/>
      <c r="D299" s="26"/>
      <c r="E299" s="26"/>
      <c r="F299" s="26"/>
      <c r="G299" s="37"/>
      <c r="H299" s="37"/>
      <c r="I299" s="37"/>
      <c r="J299" s="37"/>
      <c r="K299" s="37"/>
      <c r="L299" s="23"/>
      <c r="M299" s="23"/>
      <c r="P299" s="22"/>
    </row>
    <row r="300" ht="15.75" customHeight="1">
      <c r="A300" s="23"/>
      <c r="B300" s="24"/>
      <c r="C300" s="25"/>
      <c r="D300" s="26"/>
      <c r="E300" s="26"/>
      <c r="F300" s="26"/>
      <c r="G300" s="37"/>
      <c r="H300" s="37"/>
      <c r="I300" s="37"/>
      <c r="J300" s="37"/>
      <c r="K300" s="37"/>
      <c r="L300" s="23"/>
      <c r="M300" s="23"/>
      <c r="P300" s="22"/>
    </row>
    <row r="301" ht="15.75" customHeight="1">
      <c r="A301" s="23"/>
      <c r="B301" s="24"/>
      <c r="C301" s="25"/>
      <c r="D301" s="26"/>
      <c r="E301" s="26"/>
      <c r="F301" s="26"/>
      <c r="G301" s="37"/>
      <c r="H301" s="37"/>
      <c r="I301" s="37"/>
      <c r="J301" s="37"/>
      <c r="K301" s="37"/>
      <c r="L301" s="23"/>
      <c r="M301" s="23"/>
      <c r="P301" s="22"/>
    </row>
    <row r="302" ht="15.75" customHeight="1">
      <c r="A302" s="23"/>
      <c r="B302" s="24"/>
      <c r="C302" s="25"/>
      <c r="D302" s="26"/>
      <c r="E302" s="26"/>
      <c r="F302" s="26"/>
      <c r="G302" s="37"/>
      <c r="H302" s="37"/>
      <c r="I302" s="37"/>
      <c r="J302" s="37"/>
      <c r="K302" s="37"/>
      <c r="L302" s="23"/>
      <c r="M302" s="23"/>
      <c r="P302" s="22"/>
    </row>
    <row r="303" ht="15.75" customHeight="1">
      <c r="A303" s="23"/>
      <c r="B303" s="24"/>
      <c r="C303" s="25"/>
      <c r="D303" s="26"/>
      <c r="E303" s="26"/>
      <c r="F303" s="26"/>
      <c r="G303" s="37"/>
      <c r="H303" s="37"/>
      <c r="I303" s="37"/>
      <c r="J303" s="37"/>
      <c r="K303" s="37"/>
      <c r="L303" s="23"/>
      <c r="M303" s="23"/>
      <c r="P303" s="22"/>
    </row>
    <row r="304" ht="15.75" customHeight="1">
      <c r="A304" s="23"/>
      <c r="B304" s="24"/>
      <c r="C304" s="25"/>
      <c r="D304" s="26"/>
      <c r="E304" s="26"/>
      <c r="F304" s="26"/>
      <c r="G304" s="37"/>
      <c r="H304" s="37"/>
      <c r="I304" s="37"/>
      <c r="J304" s="37"/>
      <c r="K304" s="37"/>
      <c r="L304" s="23"/>
      <c r="M304" s="23"/>
      <c r="P304" s="22"/>
    </row>
    <row r="305" ht="15.75" customHeight="1">
      <c r="A305" s="23"/>
      <c r="B305" s="24"/>
      <c r="C305" s="25"/>
      <c r="D305" s="26"/>
      <c r="E305" s="26"/>
      <c r="F305" s="26"/>
      <c r="G305" s="37"/>
      <c r="H305" s="37"/>
      <c r="I305" s="37"/>
      <c r="J305" s="37"/>
      <c r="K305" s="37"/>
      <c r="L305" s="23"/>
      <c r="M305" s="23"/>
      <c r="P305" s="22"/>
    </row>
    <row r="306" ht="15.75" customHeight="1">
      <c r="A306" s="23"/>
      <c r="B306" s="24"/>
      <c r="C306" s="25"/>
      <c r="D306" s="26"/>
      <c r="E306" s="26"/>
      <c r="F306" s="26"/>
      <c r="G306" s="37"/>
      <c r="H306" s="37"/>
      <c r="I306" s="37"/>
      <c r="J306" s="37"/>
      <c r="K306" s="37"/>
      <c r="L306" s="23"/>
      <c r="M306" s="23"/>
      <c r="P306" s="22"/>
    </row>
    <row r="307" ht="15.75" customHeight="1">
      <c r="A307" s="23"/>
      <c r="B307" s="24"/>
      <c r="C307" s="25"/>
      <c r="D307" s="26"/>
      <c r="E307" s="26"/>
      <c r="F307" s="26"/>
      <c r="G307" s="37"/>
      <c r="H307" s="37"/>
      <c r="I307" s="37"/>
      <c r="J307" s="37"/>
      <c r="K307" s="37"/>
      <c r="L307" s="23"/>
      <c r="M307" s="23"/>
      <c r="P307" s="22"/>
    </row>
    <row r="308" ht="15.75" customHeight="1">
      <c r="A308" s="23"/>
      <c r="B308" s="24"/>
      <c r="C308" s="25"/>
      <c r="D308" s="26"/>
      <c r="E308" s="26"/>
      <c r="F308" s="26"/>
      <c r="G308" s="37"/>
      <c r="H308" s="37"/>
      <c r="I308" s="37"/>
      <c r="J308" s="37"/>
      <c r="K308" s="37"/>
      <c r="L308" s="23"/>
      <c r="M308" s="23"/>
      <c r="P308" s="22"/>
    </row>
    <row r="309" ht="15.75" customHeight="1">
      <c r="A309" s="23"/>
      <c r="B309" s="24"/>
      <c r="C309" s="25"/>
      <c r="D309" s="26"/>
      <c r="E309" s="26"/>
      <c r="F309" s="26"/>
      <c r="G309" s="37"/>
      <c r="H309" s="37"/>
      <c r="I309" s="37"/>
      <c r="J309" s="37"/>
      <c r="K309" s="37"/>
      <c r="L309" s="23"/>
      <c r="M309" s="23"/>
      <c r="P309" s="22"/>
    </row>
    <row r="310" ht="15.75" customHeight="1">
      <c r="A310" s="23"/>
      <c r="B310" s="24"/>
      <c r="C310" s="25"/>
      <c r="D310" s="26"/>
      <c r="E310" s="26"/>
      <c r="F310" s="26"/>
      <c r="G310" s="37"/>
      <c r="H310" s="37"/>
      <c r="I310" s="37"/>
      <c r="J310" s="37"/>
      <c r="K310" s="37"/>
      <c r="L310" s="23"/>
      <c r="M310" s="23"/>
      <c r="P310" s="22"/>
    </row>
    <row r="311" ht="15.75" customHeight="1">
      <c r="A311" s="23"/>
      <c r="B311" s="24"/>
      <c r="C311" s="25"/>
      <c r="D311" s="26"/>
      <c r="E311" s="26"/>
      <c r="F311" s="26"/>
      <c r="G311" s="37"/>
      <c r="H311" s="37"/>
      <c r="I311" s="37"/>
      <c r="J311" s="37"/>
      <c r="K311" s="37"/>
      <c r="L311" s="23"/>
      <c r="M311" s="23"/>
      <c r="P311" s="22"/>
    </row>
    <row r="312" ht="15.75" customHeight="1">
      <c r="A312" s="23"/>
      <c r="B312" s="24"/>
      <c r="C312" s="25"/>
      <c r="D312" s="26"/>
      <c r="E312" s="26"/>
      <c r="F312" s="26"/>
      <c r="G312" s="37"/>
      <c r="H312" s="37"/>
      <c r="I312" s="37"/>
      <c r="J312" s="37"/>
      <c r="K312" s="37"/>
      <c r="L312" s="23"/>
      <c r="M312" s="23"/>
      <c r="P312" s="22"/>
    </row>
    <row r="313" ht="15.75" customHeight="1">
      <c r="A313" s="23"/>
      <c r="B313" s="24"/>
      <c r="C313" s="25"/>
      <c r="D313" s="26"/>
      <c r="E313" s="26"/>
      <c r="F313" s="26"/>
      <c r="G313" s="37"/>
      <c r="H313" s="37"/>
      <c r="I313" s="37"/>
      <c r="J313" s="37"/>
      <c r="K313" s="37"/>
      <c r="L313" s="23"/>
      <c r="M313" s="23"/>
      <c r="P313" s="22"/>
    </row>
    <row r="314" ht="15.75" customHeight="1">
      <c r="A314" s="23"/>
      <c r="B314" s="24"/>
      <c r="C314" s="25"/>
      <c r="D314" s="26"/>
      <c r="E314" s="26"/>
      <c r="F314" s="26"/>
      <c r="G314" s="37"/>
      <c r="H314" s="37"/>
      <c r="I314" s="37"/>
      <c r="J314" s="37"/>
      <c r="K314" s="37"/>
      <c r="L314" s="23"/>
      <c r="M314" s="23"/>
      <c r="P314" s="22"/>
    </row>
    <row r="315" ht="15.75" customHeight="1">
      <c r="A315" s="23"/>
      <c r="B315" s="24"/>
      <c r="C315" s="25"/>
      <c r="D315" s="26"/>
      <c r="E315" s="26"/>
      <c r="F315" s="26"/>
      <c r="G315" s="37"/>
      <c r="H315" s="37"/>
      <c r="I315" s="37"/>
      <c r="J315" s="37"/>
      <c r="K315" s="37"/>
      <c r="L315" s="23"/>
      <c r="M315" s="23"/>
      <c r="P315" s="22"/>
    </row>
    <row r="316" ht="15.75" customHeight="1">
      <c r="A316" s="23"/>
      <c r="B316" s="24"/>
      <c r="C316" s="25"/>
      <c r="D316" s="26"/>
      <c r="E316" s="26"/>
      <c r="F316" s="26"/>
      <c r="G316" s="37"/>
      <c r="H316" s="37"/>
      <c r="I316" s="37"/>
      <c r="J316" s="37"/>
      <c r="K316" s="37"/>
      <c r="L316" s="23"/>
      <c r="M316" s="23"/>
      <c r="P316" s="22"/>
    </row>
    <row r="317" ht="15.75" customHeight="1">
      <c r="A317" s="23"/>
      <c r="B317" s="24"/>
      <c r="C317" s="25"/>
      <c r="D317" s="26"/>
      <c r="E317" s="26"/>
      <c r="F317" s="26"/>
      <c r="G317" s="37"/>
      <c r="H317" s="37"/>
      <c r="I317" s="37"/>
      <c r="J317" s="37"/>
      <c r="K317" s="37"/>
      <c r="L317" s="23"/>
      <c r="M317" s="23"/>
      <c r="P317" s="22"/>
    </row>
    <row r="318" ht="15.75" customHeight="1">
      <c r="A318" s="23"/>
      <c r="B318" s="24"/>
      <c r="C318" s="25"/>
      <c r="D318" s="26"/>
      <c r="E318" s="26"/>
      <c r="F318" s="26"/>
      <c r="G318" s="37"/>
      <c r="H318" s="37"/>
      <c r="I318" s="37"/>
      <c r="J318" s="37"/>
      <c r="K318" s="37"/>
      <c r="L318" s="23"/>
      <c r="M318" s="23"/>
      <c r="P318" s="22"/>
    </row>
    <row r="319" ht="15.75" customHeight="1">
      <c r="A319" s="23"/>
      <c r="B319" s="24"/>
      <c r="C319" s="25"/>
      <c r="D319" s="26"/>
      <c r="E319" s="26"/>
      <c r="F319" s="26"/>
      <c r="G319" s="37"/>
      <c r="H319" s="37"/>
      <c r="I319" s="37"/>
      <c r="J319" s="37"/>
      <c r="K319" s="37"/>
      <c r="L319" s="23"/>
      <c r="M319" s="23"/>
      <c r="P319" s="22"/>
    </row>
    <row r="320" ht="15.75" customHeight="1">
      <c r="A320" s="23"/>
      <c r="B320" s="24"/>
      <c r="C320" s="25"/>
      <c r="D320" s="26"/>
      <c r="E320" s="26"/>
      <c r="F320" s="26"/>
      <c r="G320" s="37"/>
      <c r="H320" s="37"/>
      <c r="I320" s="37"/>
      <c r="J320" s="37"/>
      <c r="K320" s="37"/>
      <c r="L320" s="23"/>
      <c r="M320" s="23"/>
      <c r="P320" s="22"/>
    </row>
    <row r="321" ht="15.75" customHeight="1">
      <c r="A321" s="23"/>
      <c r="B321" s="24"/>
      <c r="C321" s="25"/>
      <c r="D321" s="26"/>
      <c r="E321" s="26"/>
      <c r="F321" s="26"/>
      <c r="G321" s="37"/>
      <c r="H321" s="37"/>
      <c r="I321" s="37"/>
      <c r="J321" s="37"/>
      <c r="K321" s="37"/>
      <c r="L321" s="23"/>
      <c r="M321" s="23"/>
      <c r="P321" s="22"/>
    </row>
    <row r="322" ht="15.75" customHeight="1">
      <c r="A322" s="23"/>
      <c r="B322" s="24"/>
      <c r="C322" s="25"/>
      <c r="D322" s="26"/>
      <c r="E322" s="26"/>
      <c r="F322" s="26"/>
      <c r="G322" s="37"/>
      <c r="H322" s="37"/>
      <c r="I322" s="37"/>
      <c r="J322" s="37"/>
      <c r="K322" s="37"/>
      <c r="L322" s="23"/>
      <c r="M322" s="23"/>
      <c r="P322" s="22"/>
    </row>
    <row r="323" ht="15.75" customHeight="1">
      <c r="A323" s="23"/>
      <c r="B323" s="24"/>
      <c r="C323" s="25"/>
      <c r="D323" s="26"/>
      <c r="E323" s="26"/>
      <c r="F323" s="26"/>
      <c r="G323" s="37"/>
      <c r="H323" s="37"/>
      <c r="I323" s="37"/>
      <c r="J323" s="37"/>
      <c r="K323" s="37"/>
      <c r="L323" s="23"/>
      <c r="M323" s="23"/>
      <c r="P323" s="22"/>
    </row>
    <row r="324" ht="15.75" customHeight="1">
      <c r="A324" s="23"/>
      <c r="B324" s="24"/>
      <c r="C324" s="25"/>
      <c r="D324" s="26"/>
      <c r="E324" s="26"/>
      <c r="F324" s="26"/>
      <c r="G324" s="37"/>
      <c r="H324" s="37"/>
      <c r="I324" s="37"/>
      <c r="J324" s="37"/>
      <c r="K324" s="37"/>
      <c r="L324" s="23"/>
      <c r="M324" s="23"/>
      <c r="P324" s="22"/>
    </row>
    <row r="325" ht="15.75" customHeight="1">
      <c r="A325" s="23"/>
      <c r="B325" s="24"/>
      <c r="C325" s="25"/>
      <c r="D325" s="26"/>
      <c r="E325" s="26"/>
      <c r="F325" s="26"/>
      <c r="G325" s="37"/>
      <c r="H325" s="37"/>
      <c r="I325" s="37"/>
      <c r="J325" s="37"/>
      <c r="K325" s="37"/>
      <c r="L325" s="23"/>
      <c r="M325" s="23"/>
      <c r="P325" s="22"/>
    </row>
    <row r="326" ht="15.75" customHeight="1">
      <c r="A326" s="23"/>
      <c r="B326" s="24"/>
      <c r="C326" s="25"/>
      <c r="D326" s="26"/>
      <c r="E326" s="26"/>
      <c r="F326" s="26"/>
      <c r="G326" s="37"/>
      <c r="H326" s="37"/>
      <c r="I326" s="37"/>
      <c r="J326" s="37"/>
      <c r="K326" s="37"/>
      <c r="L326" s="23"/>
      <c r="M326" s="23"/>
      <c r="P326" s="22"/>
    </row>
    <row r="327" ht="15.75" customHeight="1">
      <c r="A327" s="23"/>
      <c r="B327" s="24"/>
      <c r="C327" s="25"/>
      <c r="D327" s="26"/>
      <c r="E327" s="26"/>
      <c r="F327" s="26"/>
      <c r="G327" s="37"/>
      <c r="H327" s="37"/>
      <c r="I327" s="37"/>
      <c r="J327" s="37"/>
      <c r="K327" s="37"/>
      <c r="L327" s="23"/>
      <c r="M327" s="23"/>
      <c r="P327" s="22"/>
    </row>
    <row r="328" ht="15.75" customHeight="1">
      <c r="A328" s="23"/>
      <c r="B328" s="24"/>
      <c r="C328" s="25"/>
      <c r="D328" s="26"/>
      <c r="E328" s="26"/>
      <c r="F328" s="26"/>
      <c r="G328" s="37"/>
      <c r="H328" s="37"/>
      <c r="I328" s="37"/>
      <c r="J328" s="37"/>
      <c r="K328" s="37"/>
      <c r="L328" s="23"/>
      <c r="M328" s="23"/>
      <c r="P328" s="22"/>
    </row>
    <row r="329" ht="15.75" customHeight="1">
      <c r="A329" s="23"/>
      <c r="B329" s="24"/>
      <c r="C329" s="25"/>
      <c r="D329" s="26"/>
      <c r="E329" s="26"/>
      <c r="F329" s="26"/>
      <c r="G329" s="37"/>
      <c r="H329" s="37"/>
      <c r="I329" s="37"/>
      <c r="J329" s="37"/>
      <c r="K329" s="37"/>
      <c r="L329" s="23"/>
      <c r="M329" s="23"/>
      <c r="P329" s="22"/>
    </row>
    <row r="330" ht="15.75" customHeight="1">
      <c r="A330" s="23"/>
      <c r="B330" s="24"/>
      <c r="C330" s="25"/>
      <c r="D330" s="26"/>
      <c r="E330" s="26"/>
      <c r="F330" s="26"/>
      <c r="G330" s="37"/>
      <c r="H330" s="37"/>
      <c r="I330" s="37"/>
      <c r="J330" s="37"/>
      <c r="K330" s="37"/>
      <c r="L330" s="23"/>
      <c r="M330" s="23"/>
      <c r="P330" s="22"/>
    </row>
    <row r="331" ht="15.75" customHeight="1">
      <c r="A331" s="23"/>
      <c r="B331" s="24"/>
      <c r="C331" s="25"/>
      <c r="D331" s="26"/>
      <c r="E331" s="26"/>
      <c r="F331" s="26"/>
      <c r="G331" s="37"/>
      <c r="H331" s="37"/>
      <c r="I331" s="37"/>
      <c r="J331" s="37"/>
      <c r="K331" s="37"/>
      <c r="L331" s="23"/>
      <c r="M331" s="23"/>
      <c r="P331" s="22"/>
    </row>
    <row r="332" ht="15.75" customHeight="1">
      <c r="A332" s="23"/>
      <c r="B332" s="24"/>
      <c r="C332" s="25"/>
      <c r="D332" s="26"/>
      <c r="E332" s="26"/>
      <c r="F332" s="26"/>
      <c r="G332" s="37"/>
      <c r="H332" s="37"/>
      <c r="I332" s="37"/>
      <c r="J332" s="37"/>
      <c r="K332" s="37"/>
      <c r="L332" s="23"/>
      <c r="M332" s="23"/>
      <c r="P332" s="22"/>
    </row>
    <row r="333" ht="15.75" customHeight="1">
      <c r="A333" s="23"/>
      <c r="B333" s="24"/>
      <c r="C333" s="25"/>
      <c r="D333" s="26"/>
      <c r="E333" s="26"/>
      <c r="F333" s="26"/>
      <c r="G333" s="37"/>
      <c r="H333" s="37"/>
      <c r="I333" s="37"/>
      <c r="J333" s="37"/>
      <c r="K333" s="37"/>
      <c r="L333" s="23"/>
      <c r="M333" s="23"/>
      <c r="P333" s="22"/>
    </row>
    <row r="334" ht="15.75" customHeight="1">
      <c r="A334" s="23"/>
      <c r="B334" s="24"/>
      <c r="C334" s="25"/>
      <c r="D334" s="26"/>
      <c r="E334" s="26"/>
      <c r="F334" s="26"/>
      <c r="G334" s="37"/>
      <c r="H334" s="37"/>
      <c r="I334" s="37"/>
      <c r="J334" s="37"/>
      <c r="K334" s="37"/>
      <c r="L334" s="23"/>
      <c r="M334" s="23"/>
      <c r="P334" s="22"/>
    </row>
    <row r="335" ht="15.75" customHeight="1">
      <c r="A335" s="23"/>
      <c r="B335" s="24"/>
      <c r="C335" s="25"/>
      <c r="D335" s="26"/>
      <c r="E335" s="26"/>
      <c r="F335" s="26"/>
      <c r="G335" s="37"/>
      <c r="H335" s="37"/>
      <c r="I335" s="37"/>
      <c r="J335" s="37"/>
      <c r="K335" s="37"/>
      <c r="L335" s="23"/>
      <c r="M335" s="23"/>
      <c r="P335" s="22"/>
    </row>
    <row r="336" ht="15.75" customHeight="1">
      <c r="A336" s="23"/>
      <c r="B336" s="24"/>
      <c r="C336" s="25"/>
      <c r="D336" s="26"/>
      <c r="E336" s="26"/>
      <c r="F336" s="26"/>
      <c r="G336" s="37"/>
      <c r="H336" s="37"/>
      <c r="I336" s="37"/>
      <c r="J336" s="37"/>
      <c r="K336" s="37"/>
      <c r="L336" s="23"/>
      <c r="M336" s="23"/>
      <c r="P336" s="22"/>
    </row>
    <row r="337" ht="15.75" customHeight="1">
      <c r="A337" s="23"/>
      <c r="B337" s="24"/>
      <c r="C337" s="25"/>
      <c r="D337" s="26"/>
      <c r="E337" s="26"/>
      <c r="F337" s="26"/>
      <c r="G337" s="37"/>
      <c r="H337" s="37"/>
      <c r="I337" s="37"/>
      <c r="J337" s="37"/>
      <c r="K337" s="37"/>
      <c r="L337" s="23"/>
      <c r="M337" s="23"/>
      <c r="P337" s="22"/>
    </row>
    <row r="338" ht="15.75" customHeight="1">
      <c r="A338" s="23"/>
      <c r="B338" s="24"/>
      <c r="C338" s="25"/>
      <c r="D338" s="26"/>
      <c r="E338" s="26"/>
      <c r="F338" s="26"/>
      <c r="G338" s="37"/>
      <c r="H338" s="37"/>
      <c r="I338" s="37"/>
      <c r="J338" s="37"/>
      <c r="K338" s="37"/>
      <c r="L338" s="23"/>
      <c r="M338" s="23"/>
      <c r="P338" s="22"/>
    </row>
    <row r="339" ht="15.75" customHeight="1">
      <c r="A339" s="23"/>
      <c r="B339" s="24"/>
      <c r="C339" s="25"/>
      <c r="D339" s="26"/>
      <c r="E339" s="26"/>
      <c r="F339" s="26"/>
      <c r="G339" s="37"/>
      <c r="H339" s="37"/>
      <c r="I339" s="37"/>
      <c r="J339" s="37"/>
      <c r="K339" s="37"/>
      <c r="L339" s="23"/>
      <c r="M339" s="23"/>
      <c r="P339" s="22"/>
    </row>
    <row r="340" ht="15.75" customHeight="1">
      <c r="A340" s="23"/>
      <c r="B340" s="24"/>
      <c r="C340" s="25"/>
      <c r="D340" s="26"/>
      <c r="E340" s="26"/>
      <c r="F340" s="26"/>
      <c r="G340" s="37"/>
      <c r="H340" s="37"/>
      <c r="I340" s="37"/>
      <c r="J340" s="37"/>
      <c r="K340" s="37"/>
      <c r="L340" s="23"/>
      <c r="M340" s="23"/>
      <c r="P340" s="22"/>
    </row>
    <row r="341" ht="15.75" customHeight="1">
      <c r="A341" s="23"/>
      <c r="B341" s="24"/>
      <c r="C341" s="25"/>
      <c r="D341" s="26"/>
      <c r="E341" s="26"/>
      <c r="F341" s="26"/>
      <c r="G341" s="37"/>
      <c r="H341" s="37"/>
      <c r="I341" s="37"/>
      <c r="J341" s="37"/>
      <c r="K341" s="37"/>
      <c r="L341" s="23"/>
      <c r="M341" s="23"/>
      <c r="P341" s="22"/>
    </row>
    <row r="342" ht="15.75" customHeight="1">
      <c r="A342" s="23"/>
      <c r="B342" s="24"/>
      <c r="C342" s="25"/>
      <c r="D342" s="26"/>
      <c r="E342" s="26"/>
      <c r="F342" s="26"/>
      <c r="G342" s="37"/>
      <c r="H342" s="37"/>
      <c r="I342" s="37"/>
      <c r="J342" s="37"/>
      <c r="K342" s="37"/>
      <c r="L342" s="23"/>
      <c r="M342" s="23"/>
      <c r="P342" s="22"/>
    </row>
    <row r="343" ht="15.75" customHeight="1">
      <c r="A343" s="23"/>
      <c r="B343" s="24"/>
      <c r="C343" s="25"/>
      <c r="D343" s="26"/>
      <c r="E343" s="26"/>
      <c r="F343" s="26"/>
      <c r="G343" s="37"/>
      <c r="H343" s="37"/>
      <c r="I343" s="37"/>
      <c r="J343" s="37"/>
      <c r="K343" s="37"/>
      <c r="L343" s="23"/>
      <c r="M343" s="23"/>
      <c r="P343" s="22"/>
    </row>
    <row r="344" ht="15.75" customHeight="1">
      <c r="A344" s="23"/>
      <c r="B344" s="24"/>
      <c r="C344" s="25"/>
      <c r="D344" s="26"/>
      <c r="E344" s="26"/>
      <c r="F344" s="26"/>
      <c r="G344" s="37"/>
      <c r="H344" s="37"/>
      <c r="I344" s="37"/>
      <c r="J344" s="37"/>
      <c r="K344" s="37"/>
      <c r="L344" s="23"/>
      <c r="M344" s="23"/>
      <c r="P344" s="22"/>
    </row>
    <row r="345" ht="15.75" customHeight="1">
      <c r="A345" s="23"/>
      <c r="B345" s="24"/>
      <c r="C345" s="25"/>
      <c r="D345" s="26"/>
      <c r="E345" s="26"/>
      <c r="F345" s="26"/>
      <c r="G345" s="37"/>
      <c r="H345" s="37"/>
      <c r="I345" s="37"/>
      <c r="J345" s="37"/>
      <c r="K345" s="37"/>
      <c r="L345" s="23"/>
      <c r="M345" s="23"/>
      <c r="P345" s="22"/>
    </row>
    <row r="346" ht="15.75" customHeight="1">
      <c r="A346" s="23"/>
      <c r="B346" s="24"/>
      <c r="C346" s="25"/>
      <c r="D346" s="26"/>
      <c r="E346" s="26"/>
      <c r="F346" s="26"/>
      <c r="G346" s="37"/>
      <c r="H346" s="37"/>
      <c r="I346" s="37"/>
      <c r="J346" s="37"/>
      <c r="K346" s="37"/>
      <c r="L346" s="23"/>
      <c r="M346" s="23"/>
      <c r="P346" s="22"/>
    </row>
    <row r="347" ht="15.75" customHeight="1">
      <c r="A347" s="23"/>
      <c r="B347" s="24"/>
      <c r="C347" s="25"/>
      <c r="D347" s="26"/>
      <c r="E347" s="26"/>
      <c r="F347" s="26"/>
      <c r="G347" s="37"/>
      <c r="H347" s="37"/>
      <c r="I347" s="37"/>
      <c r="J347" s="37"/>
      <c r="K347" s="37"/>
      <c r="L347" s="23"/>
      <c r="M347" s="23"/>
      <c r="P347" s="22"/>
    </row>
    <row r="348" ht="15.75" customHeight="1">
      <c r="A348" s="23"/>
      <c r="B348" s="24"/>
      <c r="C348" s="25"/>
      <c r="D348" s="26"/>
      <c r="E348" s="26"/>
      <c r="F348" s="26"/>
      <c r="G348" s="37"/>
      <c r="H348" s="37"/>
      <c r="I348" s="37"/>
      <c r="J348" s="37"/>
      <c r="K348" s="37"/>
      <c r="L348" s="23"/>
      <c r="M348" s="23"/>
      <c r="P348" s="22"/>
    </row>
    <row r="349" ht="15.75" customHeight="1">
      <c r="A349" s="23"/>
      <c r="B349" s="24"/>
      <c r="C349" s="25"/>
      <c r="D349" s="26"/>
      <c r="E349" s="26"/>
      <c r="F349" s="26"/>
      <c r="G349" s="37"/>
      <c r="H349" s="37"/>
      <c r="I349" s="37"/>
      <c r="J349" s="37"/>
      <c r="K349" s="37"/>
      <c r="L349" s="23"/>
      <c r="M349" s="23"/>
      <c r="P349" s="22"/>
    </row>
    <row r="350" ht="15.75" customHeight="1">
      <c r="A350" s="23"/>
      <c r="B350" s="24"/>
      <c r="C350" s="25"/>
      <c r="D350" s="26"/>
      <c r="E350" s="26"/>
      <c r="F350" s="26"/>
      <c r="G350" s="37"/>
      <c r="H350" s="37"/>
      <c r="I350" s="37"/>
      <c r="J350" s="37"/>
      <c r="K350" s="37"/>
      <c r="L350" s="23"/>
      <c r="M350" s="23"/>
      <c r="P350" s="22"/>
    </row>
    <row r="351" ht="15.75" customHeight="1">
      <c r="A351" s="23"/>
      <c r="B351" s="24"/>
      <c r="C351" s="25"/>
      <c r="D351" s="26"/>
      <c r="E351" s="26"/>
      <c r="F351" s="26"/>
      <c r="G351" s="37"/>
      <c r="H351" s="37"/>
      <c r="I351" s="37"/>
      <c r="J351" s="37"/>
      <c r="K351" s="37"/>
      <c r="L351" s="23"/>
      <c r="M351" s="23"/>
      <c r="P351" s="22"/>
    </row>
    <row r="352" ht="15.75" customHeight="1">
      <c r="A352" s="23"/>
      <c r="B352" s="24"/>
      <c r="C352" s="25"/>
      <c r="D352" s="26"/>
      <c r="E352" s="26"/>
      <c r="F352" s="26"/>
      <c r="G352" s="37"/>
      <c r="H352" s="37"/>
      <c r="I352" s="37"/>
      <c r="J352" s="37"/>
      <c r="K352" s="37"/>
      <c r="L352" s="23"/>
      <c r="M352" s="23"/>
      <c r="P352" s="22"/>
    </row>
    <row r="353" ht="15.75" customHeight="1">
      <c r="A353" s="23"/>
      <c r="B353" s="24"/>
      <c r="C353" s="25"/>
      <c r="D353" s="26"/>
      <c r="E353" s="26"/>
      <c r="F353" s="26"/>
      <c r="G353" s="37"/>
      <c r="H353" s="37"/>
      <c r="I353" s="37"/>
      <c r="J353" s="37"/>
      <c r="K353" s="37"/>
      <c r="L353" s="23"/>
      <c r="M353" s="23"/>
      <c r="P353" s="22"/>
    </row>
    <row r="354" ht="15.75" customHeight="1">
      <c r="A354" s="23"/>
      <c r="B354" s="24"/>
      <c r="C354" s="25"/>
      <c r="D354" s="26"/>
      <c r="E354" s="26"/>
      <c r="F354" s="26"/>
      <c r="G354" s="37"/>
      <c r="H354" s="37"/>
      <c r="I354" s="37"/>
      <c r="J354" s="37"/>
      <c r="K354" s="37"/>
      <c r="L354" s="23"/>
      <c r="M354" s="23"/>
      <c r="P354" s="22"/>
    </row>
    <row r="355" ht="15.75" customHeight="1">
      <c r="A355" s="23"/>
      <c r="B355" s="24"/>
      <c r="C355" s="25"/>
      <c r="D355" s="26"/>
      <c r="E355" s="26"/>
      <c r="F355" s="26"/>
      <c r="G355" s="37"/>
      <c r="H355" s="37"/>
      <c r="I355" s="37"/>
      <c r="J355" s="37"/>
      <c r="K355" s="37"/>
      <c r="L355" s="23"/>
      <c r="M355" s="23"/>
      <c r="P355" s="22"/>
    </row>
    <row r="356" ht="15.75" customHeight="1">
      <c r="A356" s="23"/>
      <c r="B356" s="24"/>
      <c r="C356" s="25"/>
      <c r="D356" s="26"/>
      <c r="E356" s="26"/>
      <c r="F356" s="26"/>
      <c r="G356" s="37"/>
      <c r="H356" s="37"/>
      <c r="I356" s="37"/>
      <c r="J356" s="37"/>
      <c r="K356" s="37"/>
      <c r="L356" s="23"/>
      <c r="M356" s="23"/>
      <c r="P356" s="22"/>
    </row>
    <row r="357" ht="15.75" customHeight="1">
      <c r="A357" s="23"/>
      <c r="B357" s="24"/>
      <c r="C357" s="25"/>
      <c r="D357" s="26"/>
      <c r="E357" s="26"/>
      <c r="F357" s="26"/>
      <c r="G357" s="37"/>
      <c r="H357" s="37"/>
      <c r="I357" s="37"/>
      <c r="J357" s="37"/>
      <c r="K357" s="37"/>
      <c r="L357" s="23"/>
      <c r="M357" s="23"/>
      <c r="P357" s="22"/>
    </row>
    <row r="358" ht="15.75" customHeight="1">
      <c r="A358" s="23"/>
      <c r="B358" s="24"/>
      <c r="C358" s="25"/>
      <c r="D358" s="26"/>
      <c r="E358" s="26"/>
      <c r="F358" s="26"/>
      <c r="G358" s="37"/>
      <c r="H358" s="37"/>
      <c r="I358" s="37"/>
      <c r="J358" s="37"/>
      <c r="K358" s="37"/>
      <c r="L358" s="23"/>
      <c r="M358" s="23"/>
      <c r="P358" s="22"/>
    </row>
    <row r="359" ht="15.75" customHeight="1">
      <c r="A359" s="23"/>
      <c r="B359" s="24"/>
      <c r="C359" s="25"/>
      <c r="D359" s="26"/>
      <c r="E359" s="26"/>
      <c r="F359" s="26"/>
      <c r="G359" s="37"/>
      <c r="H359" s="37"/>
      <c r="I359" s="37"/>
      <c r="J359" s="37"/>
      <c r="K359" s="37"/>
      <c r="L359" s="23"/>
      <c r="M359" s="23"/>
      <c r="P359" s="22"/>
    </row>
    <row r="360" ht="15.75" customHeight="1">
      <c r="A360" s="23"/>
      <c r="B360" s="24"/>
      <c r="C360" s="25"/>
      <c r="D360" s="26"/>
      <c r="E360" s="26"/>
      <c r="F360" s="26"/>
      <c r="G360" s="37"/>
      <c r="H360" s="37"/>
      <c r="I360" s="37"/>
      <c r="J360" s="37"/>
      <c r="K360" s="37"/>
      <c r="L360" s="23"/>
      <c r="M360" s="23"/>
      <c r="P360" s="22"/>
    </row>
    <row r="361" ht="15.75" customHeight="1">
      <c r="A361" s="23"/>
      <c r="B361" s="24"/>
      <c r="C361" s="25"/>
      <c r="D361" s="26"/>
      <c r="E361" s="26"/>
      <c r="F361" s="26"/>
      <c r="G361" s="37"/>
      <c r="H361" s="37"/>
      <c r="I361" s="37"/>
      <c r="J361" s="37"/>
      <c r="K361" s="37"/>
      <c r="L361" s="23"/>
      <c r="M361" s="23"/>
      <c r="P361" s="22"/>
    </row>
    <row r="362" ht="15.75" customHeight="1">
      <c r="A362" s="23"/>
      <c r="B362" s="24"/>
      <c r="C362" s="25"/>
      <c r="D362" s="26"/>
      <c r="E362" s="26"/>
      <c r="F362" s="26"/>
      <c r="G362" s="37"/>
      <c r="H362" s="37"/>
      <c r="I362" s="37"/>
      <c r="J362" s="37"/>
      <c r="K362" s="37"/>
      <c r="L362" s="23"/>
      <c r="M362" s="23"/>
      <c r="P362" s="22"/>
    </row>
    <row r="363" ht="15.75" customHeight="1">
      <c r="A363" s="23"/>
      <c r="B363" s="24"/>
      <c r="C363" s="25"/>
      <c r="D363" s="26"/>
      <c r="E363" s="26"/>
      <c r="F363" s="26"/>
      <c r="G363" s="37"/>
      <c r="H363" s="37"/>
      <c r="I363" s="37"/>
      <c r="J363" s="37"/>
      <c r="K363" s="37"/>
      <c r="L363" s="23"/>
      <c r="M363" s="23"/>
      <c r="P363" s="22"/>
    </row>
    <row r="364" ht="15.75" customHeight="1">
      <c r="A364" s="23"/>
      <c r="B364" s="24"/>
      <c r="C364" s="25"/>
      <c r="D364" s="26"/>
      <c r="E364" s="26"/>
      <c r="F364" s="26"/>
      <c r="G364" s="37"/>
      <c r="H364" s="37"/>
      <c r="I364" s="37"/>
      <c r="J364" s="37"/>
      <c r="K364" s="37"/>
      <c r="L364" s="23"/>
      <c r="M364" s="23"/>
      <c r="P364" s="22"/>
    </row>
    <row r="365" ht="15.75" customHeight="1">
      <c r="A365" s="23"/>
      <c r="B365" s="24"/>
      <c r="C365" s="25"/>
      <c r="D365" s="26"/>
      <c r="E365" s="26"/>
      <c r="F365" s="26"/>
      <c r="G365" s="37"/>
      <c r="H365" s="37"/>
      <c r="I365" s="37"/>
      <c r="J365" s="37"/>
      <c r="K365" s="37"/>
      <c r="L365" s="23"/>
      <c r="M365" s="23"/>
      <c r="P365" s="22"/>
    </row>
    <row r="366" ht="15.75" customHeight="1">
      <c r="A366" s="23"/>
      <c r="B366" s="24"/>
      <c r="C366" s="25"/>
      <c r="D366" s="26"/>
      <c r="E366" s="26"/>
      <c r="F366" s="26"/>
      <c r="G366" s="37"/>
      <c r="H366" s="37"/>
      <c r="I366" s="37"/>
      <c r="J366" s="37"/>
      <c r="K366" s="37"/>
      <c r="L366" s="23"/>
      <c r="M366" s="23"/>
      <c r="P366" s="22"/>
    </row>
    <row r="367" ht="15.75" customHeight="1">
      <c r="A367" s="23"/>
      <c r="B367" s="24"/>
      <c r="C367" s="25"/>
      <c r="D367" s="26"/>
      <c r="E367" s="26"/>
      <c r="F367" s="26"/>
      <c r="G367" s="37"/>
      <c r="H367" s="37"/>
      <c r="I367" s="37"/>
      <c r="J367" s="37"/>
      <c r="K367" s="37"/>
      <c r="L367" s="23"/>
      <c r="M367" s="23"/>
      <c r="P367" s="22"/>
    </row>
    <row r="368" ht="15.75" customHeight="1">
      <c r="A368" s="23"/>
      <c r="B368" s="24"/>
      <c r="C368" s="25"/>
      <c r="D368" s="26"/>
      <c r="E368" s="26"/>
      <c r="F368" s="26"/>
      <c r="G368" s="37"/>
      <c r="H368" s="37"/>
      <c r="I368" s="37"/>
      <c r="J368" s="37"/>
      <c r="K368" s="37"/>
      <c r="L368" s="23"/>
      <c r="M368" s="23"/>
      <c r="P368" s="22"/>
    </row>
    <row r="369" ht="15.75" customHeight="1">
      <c r="A369" s="23"/>
      <c r="B369" s="24"/>
      <c r="C369" s="25"/>
      <c r="D369" s="26"/>
      <c r="E369" s="26"/>
      <c r="F369" s="26"/>
      <c r="G369" s="37"/>
      <c r="H369" s="37"/>
      <c r="I369" s="37"/>
      <c r="J369" s="37"/>
      <c r="K369" s="37"/>
      <c r="L369" s="23"/>
      <c r="M369" s="23"/>
      <c r="P369" s="22"/>
    </row>
    <row r="370" ht="15.75" customHeight="1">
      <c r="A370" s="23"/>
      <c r="B370" s="24"/>
      <c r="C370" s="25"/>
      <c r="D370" s="26"/>
      <c r="E370" s="26"/>
      <c r="F370" s="26"/>
      <c r="G370" s="37"/>
      <c r="H370" s="37"/>
      <c r="I370" s="37"/>
      <c r="J370" s="37"/>
      <c r="K370" s="37"/>
      <c r="L370" s="23"/>
      <c r="M370" s="23"/>
      <c r="P370" s="22"/>
    </row>
    <row r="371" ht="15.75" customHeight="1">
      <c r="A371" s="23"/>
      <c r="B371" s="24"/>
      <c r="C371" s="25"/>
      <c r="D371" s="26"/>
      <c r="E371" s="26"/>
      <c r="F371" s="26"/>
      <c r="G371" s="37"/>
      <c r="H371" s="37"/>
      <c r="I371" s="37"/>
      <c r="J371" s="37"/>
      <c r="K371" s="37"/>
      <c r="L371" s="23"/>
      <c r="M371" s="23"/>
      <c r="P371" s="22"/>
    </row>
    <row r="372" ht="15.75" customHeight="1">
      <c r="A372" s="23"/>
      <c r="B372" s="24"/>
      <c r="C372" s="25"/>
      <c r="D372" s="26"/>
      <c r="E372" s="26"/>
      <c r="F372" s="26"/>
      <c r="G372" s="37"/>
      <c r="H372" s="37"/>
      <c r="I372" s="37"/>
      <c r="J372" s="37"/>
      <c r="K372" s="37"/>
      <c r="L372" s="23"/>
      <c r="M372" s="23"/>
      <c r="P372" s="22"/>
    </row>
    <row r="373" ht="15.75" customHeight="1">
      <c r="A373" s="23"/>
      <c r="B373" s="24"/>
      <c r="C373" s="25"/>
      <c r="D373" s="26"/>
      <c r="E373" s="26"/>
      <c r="F373" s="26"/>
      <c r="G373" s="37"/>
      <c r="H373" s="37"/>
      <c r="I373" s="37"/>
      <c r="J373" s="37"/>
      <c r="K373" s="37"/>
      <c r="L373" s="23"/>
      <c r="M373" s="23"/>
      <c r="P373" s="22"/>
    </row>
    <row r="374" ht="15.75" customHeight="1">
      <c r="A374" s="23"/>
      <c r="B374" s="24"/>
      <c r="C374" s="25"/>
      <c r="D374" s="26"/>
      <c r="E374" s="26"/>
      <c r="F374" s="26"/>
      <c r="G374" s="37"/>
      <c r="H374" s="37"/>
      <c r="I374" s="37"/>
      <c r="J374" s="37"/>
      <c r="K374" s="37"/>
      <c r="L374" s="23"/>
      <c r="M374" s="23"/>
      <c r="P374" s="22"/>
    </row>
    <row r="375" ht="15.75" customHeight="1">
      <c r="A375" s="23"/>
      <c r="B375" s="24"/>
      <c r="C375" s="25"/>
      <c r="D375" s="26"/>
      <c r="E375" s="26"/>
      <c r="F375" s="26"/>
      <c r="G375" s="37"/>
      <c r="H375" s="37"/>
      <c r="I375" s="37"/>
      <c r="J375" s="37"/>
      <c r="K375" s="37"/>
      <c r="L375" s="23"/>
      <c r="M375" s="23"/>
      <c r="P375" s="22"/>
    </row>
    <row r="376" ht="15.75" customHeight="1">
      <c r="A376" s="23"/>
      <c r="B376" s="24"/>
      <c r="C376" s="25"/>
      <c r="D376" s="26"/>
      <c r="E376" s="26"/>
      <c r="F376" s="26"/>
      <c r="G376" s="37"/>
      <c r="H376" s="37"/>
      <c r="I376" s="37"/>
      <c r="J376" s="37"/>
      <c r="K376" s="37"/>
      <c r="L376" s="23"/>
      <c r="M376" s="23"/>
      <c r="P376" s="22"/>
    </row>
    <row r="377" ht="15.75" customHeight="1">
      <c r="A377" s="23"/>
      <c r="B377" s="24"/>
      <c r="C377" s="25"/>
      <c r="D377" s="26"/>
      <c r="E377" s="26"/>
      <c r="F377" s="26"/>
      <c r="G377" s="37"/>
      <c r="H377" s="37"/>
      <c r="I377" s="37"/>
      <c r="J377" s="37"/>
      <c r="K377" s="37"/>
      <c r="L377" s="23"/>
      <c r="M377" s="23"/>
      <c r="P377" s="22"/>
    </row>
    <row r="378" ht="15.75" customHeight="1">
      <c r="A378" s="23"/>
      <c r="B378" s="24"/>
      <c r="C378" s="25"/>
      <c r="D378" s="26"/>
      <c r="E378" s="26"/>
      <c r="F378" s="26"/>
      <c r="G378" s="37"/>
      <c r="H378" s="37"/>
      <c r="I378" s="37"/>
      <c r="J378" s="37"/>
      <c r="K378" s="37"/>
      <c r="L378" s="23"/>
      <c r="M378" s="23"/>
      <c r="P378" s="22"/>
    </row>
    <row r="379" ht="15.75" customHeight="1">
      <c r="A379" s="23"/>
      <c r="B379" s="24"/>
      <c r="C379" s="25"/>
      <c r="D379" s="26"/>
      <c r="E379" s="26"/>
      <c r="F379" s="26"/>
      <c r="G379" s="37"/>
      <c r="H379" s="37"/>
      <c r="I379" s="37"/>
      <c r="J379" s="37"/>
      <c r="K379" s="37"/>
      <c r="L379" s="23"/>
      <c r="M379" s="23"/>
      <c r="P379" s="22"/>
    </row>
    <row r="380" ht="15.75" customHeight="1">
      <c r="A380" s="23"/>
      <c r="B380" s="24"/>
      <c r="C380" s="25"/>
      <c r="D380" s="26"/>
      <c r="E380" s="26"/>
      <c r="F380" s="26"/>
      <c r="G380" s="37"/>
      <c r="H380" s="37"/>
      <c r="I380" s="37"/>
      <c r="J380" s="37"/>
      <c r="K380" s="37"/>
      <c r="L380" s="23"/>
      <c r="M380" s="23"/>
      <c r="P380" s="22"/>
    </row>
    <row r="381" ht="15.75" customHeight="1">
      <c r="A381" s="23"/>
      <c r="B381" s="24"/>
      <c r="C381" s="25"/>
      <c r="D381" s="26"/>
      <c r="E381" s="26"/>
      <c r="F381" s="26"/>
      <c r="G381" s="37"/>
      <c r="H381" s="37"/>
      <c r="I381" s="37"/>
      <c r="J381" s="37"/>
      <c r="K381" s="37"/>
      <c r="L381" s="23"/>
      <c r="M381" s="23"/>
      <c r="P381" s="22"/>
    </row>
    <row r="382" ht="15.75" customHeight="1">
      <c r="A382" s="23"/>
      <c r="B382" s="24"/>
      <c r="C382" s="25"/>
      <c r="D382" s="26"/>
      <c r="E382" s="26"/>
      <c r="F382" s="26"/>
      <c r="G382" s="37"/>
      <c r="H382" s="37"/>
      <c r="I382" s="37"/>
      <c r="J382" s="37"/>
      <c r="K382" s="37"/>
      <c r="L382" s="23"/>
      <c r="M382" s="23"/>
      <c r="P382" s="22"/>
    </row>
    <row r="383" ht="15.75" customHeight="1">
      <c r="A383" s="23"/>
      <c r="B383" s="24"/>
      <c r="C383" s="25"/>
      <c r="D383" s="26"/>
      <c r="E383" s="26"/>
      <c r="F383" s="26"/>
      <c r="G383" s="37"/>
      <c r="H383" s="37"/>
      <c r="I383" s="37"/>
      <c r="J383" s="37"/>
      <c r="K383" s="37"/>
      <c r="L383" s="23"/>
      <c r="M383" s="23"/>
      <c r="P383" s="22"/>
    </row>
    <row r="384" ht="15.75" customHeight="1">
      <c r="A384" s="23"/>
      <c r="B384" s="24"/>
      <c r="C384" s="25"/>
      <c r="D384" s="26"/>
      <c r="E384" s="26"/>
      <c r="F384" s="26"/>
      <c r="G384" s="37"/>
      <c r="H384" s="37"/>
      <c r="I384" s="37"/>
      <c r="J384" s="37"/>
      <c r="K384" s="37"/>
      <c r="L384" s="23"/>
      <c r="M384" s="23"/>
      <c r="P384" s="22"/>
    </row>
    <row r="385" ht="15.75" customHeight="1">
      <c r="A385" s="23"/>
      <c r="B385" s="24"/>
      <c r="C385" s="25"/>
      <c r="D385" s="26"/>
      <c r="E385" s="26"/>
      <c r="F385" s="26"/>
      <c r="G385" s="37"/>
      <c r="H385" s="37"/>
      <c r="I385" s="37"/>
      <c r="J385" s="37"/>
      <c r="K385" s="37"/>
      <c r="L385" s="23"/>
      <c r="M385" s="23"/>
      <c r="P385" s="22"/>
    </row>
    <row r="386" ht="15.75" customHeight="1">
      <c r="A386" s="23"/>
      <c r="B386" s="24"/>
      <c r="C386" s="25"/>
      <c r="D386" s="26"/>
      <c r="E386" s="26"/>
      <c r="F386" s="26"/>
      <c r="G386" s="37"/>
      <c r="H386" s="37"/>
      <c r="I386" s="37"/>
      <c r="J386" s="37"/>
      <c r="K386" s="37"/>
      <c r="L386" s="23"/>
      <c r="M386" s="23"/>
      <c r="P386" s="22"/>
    </row>
    <row r="387" ht="15.75" customHeight="1">
      <c r="A387" s="23"/>
      <c r="B387" s="24"/>
      <c r="C387" s="25"/>
      <c r="D387" s="26"/>
      <c r="E387" s="26"/>
      <c r="F387" s="26"/>
      <c r="G387" s="37"/>
      <c r="H387" s="37"/>
      <c r="I387" s="37"/>
      <c r="J387" s="37"/>
      <c r="K387" s="37"/>
      <c r="L387" s="23"/>
      <c r="M387" s="23"/>
      <c r="P387" s="22"/>
    </row>
    <row r="388" ht="15.75" customHeight="1">
      <c r="A388" s="23"/>
      <c r="B388" s="24"/>
      <c r="C388" s="25"/>
      <c r="D388" s="26"/>
      <c r="E388" s="26"/>
      <c r="F388" s="26"/>
      <c r="G388" s="37"/>
      <c r="H388" s="37"/>
      <c r="I388" s="37"/>
      <c r="J388" s="37"/>
      <c r="K388" s="37"/>
      <c r="L388" s="23"/>
      <c r="M388" s="23"/>
      <c r="P388" s="22"/>
    </row>
    <row r="389" ht="15.75" customHeight="1">
      <c r="A389" s="23"/>
      <c r="B389" s="24"/>
      <c r="C389" s="25"/>
      <c r="D389" s="26"/>
      <c r="E389" s="26"/>
      <c r="F389" s="26"/>
      <c r="G389" s="37"/>
      <c r="H389" s="37"/>
      <c r="I389" s="37"/>
      <c r="J389" s="37"/>
      <c r="K389" s="37"/>
      <c r="L389" s="23"/>
      <c r="M389" s="23"/>
      <c r="P389" s="22"/>
    </row>
    <row r="390" ht="15.75" customHeight="1">
      <c r="A390" s="23"/>
      <c r="B390" s="24"/>
      <c r="C390" s="25"/>
      <c r="D390" s="26"/>
      <c r="E390" s="26"/>
      <c r="F390" s="26"/>
      <c r="G390" s="37"/>
      <c r="H390" s="37"/>
      <c r="I390" s="37"/>
      <c r="J390" s="37"/>
      <c r="K390" s="37"/>
      <c r="L390" s="23"/>
      <c r="M390" s="23"/>
      <c r="P390" s="22"/>
    </row>
    <row r="391" ht="15.75" customHeight="1">
      <c r="A391" s="23"/>
      <c r="B391" s="24"/>
      <c r="C391" s="25"/>
      <c r="D391" s="26"/>
      <c r="E391" s="26"/>
      <c r="F391" s="26"/>
      <c r="G391" s="37"/>
      <c r="H391" s="37"/>
      <c r="I391" s="37"/>
      <c r="J391" s="37"/>
      <c r="K391" s="37"/>
      <c r="L391" s="23"/>
      <c r="M391" s="23"/>
      <c r="P391" s="22"/>
    </row>
    <row r="392" ht="15.75" customHeight="1">
      <c r="A392" s="23"/>
      <c r="B392" s="24"/>
      <c r="C392" s="25"/>
      <c r="D392" s="26"/>
      <c r="E392" s="26"/>
      <c r="F392" s="26"/>
      <c r="G392" s="37"/>
      <c r="H392" s="37"/>
      <c r="I392" s="37"/>
      <c r="J392" s="37"/>
      <c r="K392" s="37"/>
      <c r="L392" s="23"/>
      <c r="M392" s="23"/>
      <c r="P392" s="22"/>
    </row>
    <row r="393" ht="15.75" customHeight="1">
      <c r="A393" s="23"/>
      <c r="B393" s="24"/>
      <c r="C393" s="25"/>
      <c r="D393" s="26"/>
      <c r="E393" s="26"/>
      <c r="F393" s="26"/>
      <c r="G393" s="37"/>
      <c r="H393" s="37"/>
      <c r="I393" s="37"/>
      <c r="J393" s="37"/>
      <c r="K393" s="37"/>
      <c r="L393" s="23"/>
      <c r="M393" s="23"/>
      <c r="P393" s="22"/>
    </row>
    <row r="394" ht="15.75" customHeight="1">
      <c r="A394" s="23"/>
      <c r="B394" s="24"/>
      <c r="C394" s="25"/>
      <c r="D394" s="26"/>
      <c r="E394" s="26"/>
      <c r="F394" s="26"/>
      <c r="G394" s="37"/>
      <c r="H394" s="37"/>
      <c r="I394" s="37"/>
      <c r="J394" s="37"/>
      <c r="K394" s="37"/>
      <c r="L394" s="23"/>
      <c r="M394" s="23"/>
      <c r="P394" s="22"/>
    </row>
    <row r="395" ht="15.75" customHeight="1">
      <c r="A395" s="23"/>
      <c r="B395" s="24"/>
      <c r="C395" s="25"/>
      <c r="D395" s="26"/>
      <c r="E395" s="26"/>
      <c r="F395" s="26"/>
      <c r="G395" s="37"/>
      <c r="H395" s="37"/>
      <c r="I395" s="37"/>
      <c r="J395" s="37"/>
      <c r="K395" s="37"/>
      <c r="L395" s="23"/>
      <c r="M395" s="23"/>
      <c r="P395" s="22"/>
    </row>
    <row r="396" ht="15.75" customHeight="1">
      <c r="A396" s="23"/>
      <c r="B396" s="24"/>
      <c r="C396" s="25"/>
      <c r="D396" s="26"/>
      <c r="E396" s="26"/>
      <c r="F396" s="26"/>
      <c r="G396" s="37"/>
      <c r="H396" s="37"/>
      <c r="I396" s="37"/>
      <c r="J396" s="37"/>
      <c r="K396" s="37"/>
      <c r="L396" s="23"/>
      <c r="M396" s="23"/>
      <c r="P396" s="22"/>
    </row>
    <row r="397" ht="15.75" customHeight="1">
      <c r="A397" s="23"/>
      <c r="B397" s="24"/>
      <c r="C397" s="25"/>
      <c r="D397" s="26"/>
      <c r="E397" s="26"/>
      <c r="F397" s="26"/>
      <c r="G397" s="37"/>
      <c r="H397" s="37"/>
      <c r="I397" s="37"/>
      <c r="J397" s="37"/>
      <c r="K397" s="37"/>
      <c r="L397" s="23"/>
      <c r="M397" s="23"/>
      <c r="P397" s="22"/>
    </row>
    <row r="398" ht="15.75" customHeight="1">
      <c r="A398" s="23"/>
      <c r="B398" s="24"/>
      <c r="C398" s="25"/>
      <c r="D398" s="26"/>
      <c r="E398" s="26"/>
      <c r="F398" s="26"/>
      <c r="G398" s="37"/>
      <c r="H398" s="37"/>
      <c r="I398" s="37"/>
      <c r="J398" s="37"/>
      <c r="K398" s="37"/>
      <c r="L398" s="23"/>
      <c r="M398" s="23"/>
      <c r="P398" s="22"/>
    </row>
    <row r="399" ht="15.75" customHeight="1">
      <c r="A399" s="23"/>
      <c r="B399" s="24"/>
      <c r="C399" s="25"/>
      <c r="D399" s="26"/>
      <c r="E399" s="26"/>
      <c r="F399" s="26"/>
      <c r="G399" s="37"/>
      <c r="H399" s="37"/>
      <c r="I399" s="37"/>
      <c r="J399" s="37"/>
      <c r="K399" s="37"/>
      <c r="L399" s="23"/>
      <c r="M399" s="23"/>
      <c r="P399" s="22"/>
    </row>
    <row r="400" ht="15.75" customHeight="1">
      <c r="A400" s="23"/>
      <c r="B400" s="24"/>
      <c r="C400" s="25"/>
      <c r="D400" s="26"/>
      <c r="E400" s="26"/>
      <c r="F400" s="26"/>
      <c r="G400" s="37"/>
      <c r="H400" s="37"/>
      <c r="I400" s="37"/>
      <c r="J400" s="37"/>
      <c r="K400" s="37"/>
      <c r="L400" s="23"/>
      <c r="M400" s="23"/>
      <c r="P400" s="22"/>
    </row>
    <row r="401" ht="15.75" customHeight="1">
      <c r="A401" s="23"/>
      <c r="B401" s="24"/>
      <c r="C401" s="25"/>
      <c r="D401" s="26"/>
      <c r="E401" s="26"/>
      <c r="F401" s="26"/>
      <c r="G401" s="37"/>
      <c r="H401" s="37"/>
      <c r="I401" s="37"/>
      <c r="J401" s="37"/>
      <c r="K401" s="37"/>
      <c r="L401" s="23"/>
      <c r="M401" s="23"/>
      <c r="P401" s="22"/>
    </row>
    <row r="402" ht="15.75" customHeight="1">
      <c r="A402" s="23"/>
      <c r="B402" s="24"/>
      <c r="C402" s="25"/>
      <c r="D402" s="26"/>
      <c r="E402" s="26"/>
      <c r="F402" s="26"/>
      <c r="G402" s="37"/>
      <c r="H402" s="37"/>
      <c r="I402" s="37"/>
      <c r="J402" s="37"/>
      <c r="K402" s="37"/>
      <c r="L402" s="23"/>
      <c r="M402" s="23"/>
      <c r="P402" s="22"/>
    </row>
    <row r="403" ht="15.75" customHeight="1">
      <c r="A403" s="23"/>
      <c r="B403" s="24"/>
      <c r="C403" s="25"/>
      <c r="D403" s="26"/>
      <c r="E403" s="26"/>
      <c r="F403" s="26"/>
      <c r="G403" s="37"/>
      <c r="H403" s="37"/>
      <c r="I403" s="37"/>
      <c r="J403" s="37"/>
      <c r="K403" s="37"/>
      <c r="L403" s="23"/>
      <c r="M403" s="23"/>
      <c r="P403" s="22"/>
    </row>
    <row r="404" ht="15.75" customHeight="1">
      <c r="A404" s="23"/>
      <c r="B404" s="24"/>
      <c r="C404" s="25"/>
      <c r="D404" s="26"/>
      <c r="E404" s="26"/>
      <c r="F404" s="26"/>
      <c r="G404" s="37"/>
      <c r="H404" s="37"/>
      <c r="I404" s="37"/>
      <c r="J404" s="37"/>
      <c r="K404" s="37"/>
      <c r="L404" s="23"/>
      <c r="M404" s="23"/>
      <c r="P404" s="22"/>
    </row>
    <row r="405" ht="15.75" customHeight="1">
      <c r="A405" s="23"/>
      <c r="B405" s="24"/>
      <c r="C405" s="25"/>
      <c r="D405" s="26"/>
      <c r="E405" s="26"/>
      <c r="F405" s="26"/>
      <c r="G405" s="37"/>
      <c r="H405" s="37"/>
      <c r="I405" s="37"/>
      <c r="J405" s="37"/>
      <c r="K405" s="37"/>
      <c r="L405" s="23"/>
      <c r="M405" s="23"/>
      <c r="P405" s="22"/>
    </row>
    <row r="406" ht="15.75" customHeight="1">
      <c r="A406" s="23"/>
      <c r="B406" s="24"/>
      <c r="C406" s="25"/>
      <c r="D406" s="26"/>
      <c r="E406" s="26"/>
      <c r="F406" s="26"/>
      <c r="G406" s="37"/>
      <c r="H406" s="37"/>
      <c r="I406" s="37"/>
      <c r="J406" s="37"/>
      <c r="K406" s="37"/>
      <c r="L406" s="23"/>
      <c r="M406" s="23"/>
    </row>
    <row r="407" ht="15.75" customHeight="1">
      <c r="A407" s="23"/>
      <c r="B407" s="24"/>
      <c r="C407" s="25"/>
      <c r="D407" s="26"/>
      <c r="E407" s="26"/>
      <c r="F407" s="26"/>
      <c r="G407" s="37"/>
      <c r="H407" s="37"/>
      <c r="I407" s="37"/>
      <c r="J407" s="37"/>
      <c r="K407" s="37"/>
      <c r="L407" s="23"/>
      <c r="M407" s="23"/>
    </row>
    <row r="408" ht="15.75" customHeight="1">
      <c r="A408" s="23"/>
      <c r="B408" s="24"/>
      <c r="C408" s="25"/>
      <c r="D408" s="26"/>
      <c r="E408" s="26"/>
      <c r="F408" s="26"/>
      <c r="G408" s="37"/>
      <c r="H408" s="37"/>
      <c r="I408" s="37"/>
      <c r="J408" s="37"/>
      <c r="K408" s="37"/>
      <c r="L408" s="23"/>
      <c r="M408" s="23"/>
    </row>
    <row r="409" ht="15.75" customHeight="1">
      <c r="A409" s="23"/>
      <c r="B409" s="24"/>
      <c r="C409" s="25"/>
      <c r="D409" s="26"/>
      <c r="E409" s="26"/>
      <c r="F409" s="26"/>
      <c r="G409" s="37"/>
      <c r="H409" s="37"/>
      <c r="I409" s="37"/>
      <c r="J409" s="37"/>
      <c r="K409" s="37"/>
      <c r="L409" s="23"/>
      <c r="M409" s="23"/>
    </row>
    <row r="410" ht="15.75" customHeight="1">
      <c r="A410" s="23"/>
      <c r="B410" s="24"/>
      <c r="C410" s="25"/>
      <c r="D410" s="26"/>
      <c r="E410" s="26"/>
      <c r="F410" s="26"/>
      <c r="G410" s="37"/>
      <c r="H410" s="37"/>
      <c r="I410" s="37"/>
      <c r="J410" s="37"/>
      <c r="K410" s="37"/>
      <c r="L410" s="23"/>
      <c r="M410" s="23"/>
    </row>
    <row r="411" ht="15.75" customHeight="1">
      <c r="A411" s="23"/>
      <c r="B411" s="24"/>
      <c r="C411" s="25"/>
      <c r="D411" s="26"/>
      <c r="E411" s="26"/>
      <c r="F411" s="26"/>
      <c r="G411" s="37"/>
      <c r="H411" s="37"/>
      <c r="I411" s="37"/>
      <c r="J411" s="37"/>
      <c r="K411" s="37"/>
      <c r="L411" s="23"/>
      <c r="M411" s="23"/>
    </row>
    <row r="412" ht="15.75" customHeight="1">
      <c r="A412" s="23"/>
      <c r="B412" s="24"/>
      <c r="C412" s="25"/>
      <c r="D412" s="26"/>
      <c r="E412" s="26"/>
      <c r="F412" s="26"/>
      <c r="G412" s="37"/>
      <c r="H412" s="37"/>
      <c r="I412" s="37"/>
      <c r="J412" s="37"/>
      <c r="K412" s="37"/>
      <c r="L412" s="23"/>
      <c r="M412" s="23"/>
    </row>
    <row r="413" ht="15.75" customHeight="1">
      <c r="A413" s="23"/>
      <c r="B413" s="24"/>
      <c r="C413" s="25"/>
      <c r="D413" s="26"/>
      <c r="E413" s="26"/>
      <c r="F413" s="26"/>
      <c r="G413" s="37"/>
      <c r="H413" s="37"/>
      <c r="I413" s="37"/>
      <c r="J413" s="37"/>
      <c r="K413" s="37"/>
      <c r="L413" s="23"/>
      <c r="M413" s="23"/>
    </row>
    <row r="414" ht="15.75" customHeight="1">
      <c r="A414" s="23"/>
      <c r="B414" s="24"/>
      <c r="C414" s="25"/>
      <c r="D414" s="26"/>
      <c r="E414" s="26"/>
      <c r="F414" s="26"/>
      <c r="G414" s="37"/>
      <c r="H414" s="37"/>
      <c r="I414" s="37"/>
      <c r="J414" s="37"/>
      <c r="K414" s="37"/>
      <c r="L414" s="23"/>
      <c r="M414" s="23"/>
    </row>
    <row r="415" ht="15.75" customHeight="1">
      <c r="A415" s="23"/>
      <c r="B415" s="24"/>
      <c r="C415" s="25"/>
      <c r="D415" s="26"/>
      <c r="E415" s="26"/>
      <c r="F415" s="26"/>
      <c r="G415" s="37"/>
      <c r="H415" s="37"/>
      <c r="I415" s="37"/>
      <c r="J415" s="37"/>
      <c r="K415" s="37"/>
      <c r="L415" s="23"/>
      <c r="M415" s="23"/>
    </row>
    <row r="416" ht="15.75" customHeight="1">
      <c r="A416" s="23"/>
      <c r="B416" s="24"/>
      <c r="C416" s="25"/>
      <c r="D416" s="26"/>
      <c r="E416" s="26"/>
      <c r="F416" s="26"/>
      <c r="G416" s="37"/>
      <c r="H416" s="37"/>
      <c r="I416" s="37"/>
      <c r="J416" s="37"/>
      <c r="K416" s="37"/>
      <c r="L416" s="23"/>
      <c r="M416" s="23"/>
    </row>
    <row r="417" ht="15.75" customHeight="1">
      <c r="A417" s="23"/>
      <c r="B417" s="24"/>
      <c r="C417" s="25"/>
      <c r="D417" s="26"/>
      <c r="E417" s="26"/>
      <c r="F417" s="26"/>
      <c r="G417" s="37"/>
      <c r="H417" s="37"/>
      <c r="I417" s="37"/>
      <c r="J417" s="37"/>
      <c r="K417" s="37"/>
      <c r="L417" s="23"/>
      <c r="M417" s="23"/>
    </row>
    <row r="418" ht="15.75" customHeight="1">
      <c r="A418" s="23"/>
      <c r="B418" s="24"/>
      <c r="C418" s="25"/>
      <c r="D418" s="26"/>
      <c r="E418" s="26"/>
      <c r="F418" s="26"/>
      <c r="G418" s="37"/>
      <c r="H418" s="37"/>
      <c r="I418" s="37"/>
      <c r="J418" s="37"/>
      <c r="K418" s="37"/>
      <c r="L418" s="23"/>
      <c r="M418" s="23"/>
    </row>
    <row r="419" ht="15.75" customHeight="1">
      <c r="A419" s="23"/>
      <c r="B419" s="24"/>
      <c r="C419" s="25"/>
      <c r="D419" s="26"/>
      <c r="E419" s="26"/>
      <c r="F419" s="26"/>
      <c r="G419" s="37"/>
      <c r="H419" s="37"/>
      <c r="I419" s="37"/>
      <c r="J419" s="37"/>
      <c r="K419" s="37"/>
      <c r="L419" s="23"/>
      <c r="M419" s="23"/>
    </row>
    <row r="420" ht="15.75" customHeight="1">
      <c r="A420" s="23"/>
      <c r="B420" s="24"/>
      <c r="C420" s="25"/>
      <c r="D420" s="26"/>
      <c r="E420" s="26"/>
      <c r="F420" s="26"/>
      <c r="G420" s="37"/>
      <c r="H420" s="37"/>
      <c r="I420" s="37"/>
      <c r="J420" s="37"/>
      <c r="K420" s="37"/>
      <c r="L420" s="23"/>
      <c r="M420" s="23"/>
    </row>
    <row r="421" ht="15.75" customHeight="1">
      <c r="A421" s="23"/>
      <c r="B421" s="24"/>
      <c r="C421" s="25"/>
      <c r="D421" s="26"/>
      <c r="E421" s="26"/>
      <c r="F421" s="26"/>
      <c r="G421" s="37"/>
      <c r="H421" s="37"/>
      <c r="I421" s="37"/>
      <c r="J421" s="37"/>
      <c r="K421" s="37"/>
      <c r="L421" s="23"/>
      <c r="M421" s="23"/>
    </row>
    <row r="422" ht="15.75" customHeight="1">
      <c r="A422" s="23"/>
      <c r="B422" s="24"/>
      <c r="C422" s="25"/>
      <c r="D422" s="26"/>
      <c r="E422" s="26"/>
      <c r="F422" s="26"/>
      <c r="G422" s="37"/>
      <c r="H422" s="37"/>
      <c r="I422" s="37"/>
      <c r="J422" s="37"/>
      <c r="K422" s="37"/>
      <c r="L422" s="23"/>
      <c r="M422" s="23"/>
    </row>
    <row r="423" ht="15.75" customHeight="1">
      <c r="A423" s="23"/>
      <c r="B423" s="24"/>
      <c r="C423" s="25"/>
      <c r="D423" s="26"/>
      <c r="E423" s="26"/>
      <c r="F423" s="26"/>
      <c r="G423" s="37"/>
      <c r="H423" s="37"/>
      <c r="I423" s="37"/>
      <c r="J423" s="37"/>
      <c r="K423" s="37"/>
      <c r="L423" s="23"/>
      <c r="M423" s="23"/>
    </row>
    <row r="424" ht="15.75" customHeight="1">
      <c r="A424" s="23"/>
      <c r="B424" s="24"/>
      <c r="C424" s="25"/>
      <c r="D424" s="26"/>
      <c r="E424" s="26"/>
      <c r="F424" s="26"/>
      <c r="G424" s="37"/>
      <c r="H424" s="37"/>
      <c r="I424" s="37"/>
      <c r="J424" s="37"/>
      <c r="K424" s="37"/>
      <c r="L424" s="23"/>
      <c r="M424" s="23"/>
    </row>
    <row r="425" ht="15.75" customHeight="1">
      <c r="A425" s="23"/>
      <c r="B425" s="24"/>
      <c r="C425" s="25"/>
      <c r="D425" s="26"/>
      <c r="E425" s="26"/>
      <c r="F425" s="26"/>
      <c r="G425" s="37"/>
      <c r="H425" s="37"/>
      <c r="I425" s="37"/>
      <c r="J425" s="37"/>
      <c r="K425" s="37"/>
      <c r="L425" s="23"/>
      <c r="M425" s="23"/>
    </row>
    <row r="426" ht="15.75" customHeight="1">
      <c r="A426" s="23"/>
      <c r="B426" s="24"/>
      <c r="C426" s="25"/>
      <c r="D426" s="26"/>
      <c r="E426" s="26"/>
      <c r="F426" s="26"/>
      <c r="G426" s="37"/>
      <c r="H426" s="37"/>
      <c r="I426" s="37"/>
      <c r="J426" s="37"/>
      <c r="K426" s="37"/>
      <c r="L426" s="23"/>
      <c r="M426" s="23"/>
    </row>
    <row r="427" ht="15.75" customHeight="1">
      <c r="A427" s="23"/>
      <c r="B427" s="24"/>
      <c r="C427" s="25"/>
      <c r="D427" s="26"/>
      <c r="E427" s="26"/>
      <c r="F427" s="26"/>
      <c r="G427" s="37"/>
      <c r="H427" s="37"/>
      <c r="I427" s="37"/>
      <c r="J427" s="37"/>
      <c r="K427" s="37"/>
      <c r="L427" s="23"/>
      <c r="M427" s="23"/>
    </row>
    <row r="428" ht="15.75" customHeight="1">
      <c r="A428" s="23"/>
      <c r="B428" s="24"/>
      <c r="C428" s="25"/>
      <c r="D428" s="26"/>
      <c r="E428" s="26"/>
      <c r="F428" s="26"/>
      <c r="G428" s="37"/>
      <c r="H428" s="37"/>
      <c r="I428" s="37"/>
      <c r="J428" s="37"/>
      <c r="K428" s="37"/>
      <c r="L428" s="23"/>
      <c r="M428" s="23"/>
    </row>
    <row r="429" ht="15.75" customHeight="1">
      <c r="A429" s="23"/>
      <c r="B429" s="24"/>
      <c r="C429" s="25"/>
      <c r="D429" s="26"/>
      <c r="E429" s="26"/>
      <c r="F429" s="26"/>
      <c r="G429" s="37"/>
      <c r="H429" s="37"/>
      <c r="I429" s="37"/>
      <c r="J429" s="37"/>
      <c r="K429" s="37"/>
      <c r="L429" s="23"/>
      <c r="M429" s="23"/>
    </row>
    <row r="430" ht="15.75" customHeight="1">
      <c r="A430" s="23"/>
      <c r="B430" s="24"/>
      <c r="C430" s="25"/>
      <c r="D430" s="26"/>
      <c r="E430" s="26"/>
      <c r="F430" s="26"/>
      <c r="G430" s="37"/>
      <c r="H430" s="37"/>
      <c r="I430" s="37"/>
      <c r="J430" s="37"/>
      <c r="K430" s="37"/>
      <c r="L430" s="23"/>
      <c r="M430" s="23"/>
    </row>
    <row r="431" ht="15.75" customHeight="1">
      <c r="A431" s="23"/>
      <c r="B431" s="24"/>
      <c r="C431" s="25"/>
      <c r="D431" s="26"/>
      <c r="E431" s="26"/>
      <c r="F431" s="26"/>
      <c r="G431" s="37"/>
      <c r="H431" s="37"/>
      <c r="I431" s="37"/>
      <c r="J431" s="37"/>
      <c r="K431" s="37"/>
      <c r="L431" s="23"/>
      <c r="M431" s="23"/>
    </row>
    <row r="432" ht="15.75" customHeight="1">
      <c r="A432" s="23"/>
      <c r="B432" s="24"/>
      <c r="C432" s="25"/>
      <c r="D432" s="26"/>
      <c r="E432" s="26"/>
      <c r="F432" s="26"/>
      <c r="G432" s="37"/>
      <c r="H432" s="37"/>
      <c r="I432" s="37"/>
      <c r="J432" s="37"/>
      <c r="K432" s="37"/>
      <c r="L432" s="23"/>
      <c r="M432" s="23"/>
    </row>
    <row r="433" ht="15.75" customHeight="1">
      <c r="A433" s="23"/>
      <c r="B433" s="24"/>
      <c r="C433" s="25"/>
      <c r="D433" s="26"/>
      <c r="E433" s="26"/>
      <c r="F433" s="26"/>
      <c r="G433" s="37"/>
      <c r="H433" s="37"/>
      <c r="I433" s="37"/>
      <c r="J433" s="37"/>
      <c r="K433" s="37"/>
      <c r="L433" s="23"/>
      <c r="M433" s="23"/>
    </row>
    <row r="434" ht="15.75" customHeight="1">
      <c r="A434" s="23"/>
      <c r="B434" s="24"/>
      <c r="C434" s="25"/>
      <c r="D434" s="26"/>
      <c r="E434" s="26"/>
      <c r="F434" s="26"/>
      <c r="G434" s="37"/>
      <c r="H434" s="37"/>
      <c r="I434" s="37"/>
      <c r="J434" s="37"/>
      <c r="K434" s="37"/>
      <c r="L434" s="23"/>
      <c r="M434" s="23"/>
    </row>
    <row r="435" ht="15.75" customHeight="1">
      <c r="A435" s="23"/>
      <c r="B435" s="24"/>
      <c r="C435" s="25"/>
      <c r="D435" s="26"/>
      <c r="E435" s="26"/>
      <c r="F435" s="26"/>
      <c r="G435" s="37"/>
      <c r="H435" s="37"/>
      <c r="I435" s="37"/>
      <c r="J435" s="37"/>
      <c r="K435" s="37"/>
      <c r="L435" s="23"/>
      <c r="M435" s="23"/>
    </row>
    <row r="436" ht="15.75" customHeight="1">
      <c r="A436" s="23"/>
      <c r="B436" s="24"/>
      <c r="C436" s="25"/>
      <c r="D436" s="26"/>
      <c r="E436" s="26"/>
      <c r="F436" s="26"/>
      <c r="G436" s="37"/>
      <c r="H436" s="37"/>
      <c r="I436" s="37"/>
      <c r="J436" s="37"/>
      <c r="K436" s="37"/>
      <c r="L436" s="23"/>
      <c r="M436" s="23"/>
    </row>
    <row r="437" ht="15.75" customHeight="1">
      <c r="A437" s="23"/>
      <c r="B437" s="24"/>
      <c r="C437" s="25"/>
      <c r="D437" s="26"/>
      <c r="E437" s="26"/>
      <c r="F437" s="26"/>
      <c r="G437" s="37"/>
      <c r="H437" s="37"/>
      <c r="I437" s="37"/>
      <c r="J437" s="37"/>
      <c r="K437" s="37"/>
      <c r="L437" s="23"/>
      <c r="M437" s="23"/>
    </row>
    <row r="438" ht="15.75" customHeight="1">
      <c r="A438" s="23"/>
      <c r="B438" s="24"/>
      <c r="C438" s="25"/>
      <c r="D438" s="26"/>
      <c r="E438" s="26"/>
      <c r="F438" s="26"/>
      <c r="G438" s="37"/>
      <c r="H438" s="37"/>
      <c r="I438" s="37"/>
      <c r="J438" s="37"/>
      <c r="K438" s="37"/>
      <c r="L438" s="23"/>
      <c r="M438" s="23"/>
    </row>
    <row r="439" ht="15.75" customHeight="1">
      <c r="A439" s="23"/>
      <c r="B439" s="24"/>
      <c r="C439" s="25"/>
      <c r="D439" s="26"/>
      <c r="E439" s="26"/>
      <c r="F439" s="26"/>
      <c r="G439" s="37"/>
      <c r="H439" s="37"/>
      <c r="I439" s="37"/>
      <c r="J439" s="37"/>
      <c r="K439" s="37"/>
      <c r="L439" s="23"/>
      <c r="M439" s="23"/>
    </row>
    <row r="440" ht="15.75" customHeight="1">
      <c r="A440" s="23"/>
      <c r="B440" s="24"/>
      <c r="C440" s="25"/>
      <c r="D440" s="26"/>
      <c r="E440" s="26"/>
      <c r="F440" s="26"/>
      <c r="G440" s="37"/>
      <c r="H440" s="37"/>
      <c r="I440" s="37"/>
      <c r="J440" s="37"/>
      <c r="K440" s="37"/>
      <c r="L440" s="23"/>
      <c r="M440" s="23"/>
    </row>
    <row r="441" ht="15.75" customHeight="1">
      <c r="A441" s="23"/>
      <c r="B441" s="24"/>
      <c r="C441" s="25"/>
      <c r="D441" s="26"/>
      <c r="E441" s="26"/>
      <c r="F441" s="26"/>
      <c r="G441" s="37"/>
      <c r="H441" s="37"/>
      <c r="I441" s="37"/>
      <c r="J441" s="37"/>
      <c r="K441" s="37"/>
      <c r="L441" s="23"/>
      <c r="M441" s="23"/>
    </row>
    <row r="442" ht="15.75" customHeight="1">
      <c r="A442" s="23"/>
      <c r="B442" s="24"/>
      <c r="C442" s="25"/>
      <c r="D442" s="26"/>
      <c r="E442" s="26"/>
      <c r="F442" s="26"/>
      <c r="G442" s="37"/>
      <c r="H442" s="37"/>
      <c r="I442" s="37"/>
      <c r="J442" s="37"/>
      <c r="K442" s="37"/>
      <c r="L442" s="23"/>
      <c r="M442" s="23"/>
    </row>
    <row r="443" ht="15.75" customHeight="1">
      <c r="A443" s="23"/>
      <c r="B443" s="24"/>
      <c r="C443" s="25"/>
      <c r="D443" s="26"/>
      <c r="E443" s="26"/>
      <c r="F443" s="26"/>
      <c r="G443" s="37"/>
      <c r="H443" s="37"/>
      <c r="I443" s="37"/>
      <c r="J443" s="37"/>
      <c r="K443" s="37"/>
      <c r="L443" s="23"/>
      <c r="M443" s="23"/>
    </row>
    <row r="444" ht="15.75" customHeight="1">
      <c r="A444" s="23"/>
      <c r="B444" s="24"/>
      <c r="C444" s="25"/>
      <c r="D444" s="26"/>
      <c r="E444" s="26"/>
      <c r="F444" s="26"/>
      <c r="G444" s="37"/>
      <c r="H444" s="37"/>
      <c r="I444" s="37"/>
      <c r="J444" s="37"/>
      <c r="K444" s="37"/>
      <c r="L444" s="23"/>
      <c r="M444" s="23"/>
    </row>
    <row r="445" ht="15.75" customHeight="1">
      <c r="A445" s="23"/>
      <c r="B445" s="24"/>
      <c r="C445" s="25"/>
      <c r="D445" s="26"/>
      <c r="E445" s="26"/>
      <c r="F445" s="26"/>
      <c r="G445" s="37"/>
      <c r="H445" s="37"/>
      <c r="I445" s="37"/>
      <c r="J445" s="37"/>
      <c r="K445" s="37"/>
      <c r="L445" s="23"/>
      <c r="M445" s="23"/>
    </row>
    <row r="446" ht="15.75" customHeight="1">
      <c r="A446" s="23"/>
      <c r="B446" s="24"/>
      <c r="C446" s="25"/>
      <c r="D446" s="26"/>
      <c r="E446" s="26"/>
      <c r="F446" s="26"/>
      <c r="G446" s="37"/>
      <c r="H446" s="37"/>
      <c r="I446" s="37"/>
      <c r="J446" s="37"/>
      <c r="K446" s="37"/>
      <c r="L446" s="23"/>
      <c r="M446" s="23"/>
    </row>
    <row r="447" ht="15.75" customHeight="1">
      <c r="A447" s="23"/>
      <c r="B447" s="24"/>
      <c r="C447" s="25"/>
      <c r="D447" s="26"/>
      <c r="E447" s="26"/>
      <c r="F447" s="26"/>
      <c r="G447" s="37"/>
      <c r="H447" s="37"/>
      <c r="I447" s="37"/>
      <c r="J447" s="37"/>
      <c r="K447" s="37"/>
      <c r="L447" s="23"/>
      <c r="M447" s="23"/>
    </row>
    <row r="448" ht="15.75" customHeight="1">
      <c r="A448" s="23"/>
      <c r="B448" s="24"/>
      <c r="C448" s="25"/>
      <c r="D448" s="26"/>
      <c r="E448" s="26"/>
      <c r="F448" s="26"/>
      <c r="G448" s="37"/>
      <c r="H448" s="37"/>
      <c r="I448" s="37"/>
      <c r="J448" s="37"/>
      <c r="K448" s="37"/>
      <c r="L448" s="23"/>
      <c r="M448" s="23"/>
    </row>
    <row r="449" ht="15.75" customHeight="1">
      <c r="A449" s="23"/>
      <c r="B449" s="24"/>
      <c r="C449" s="25"/>
      <c r="D449" s="26"/>
      <c r="E449" s="26"/>
      <c r="F449" s="26"/>
      <c r="G449" s="37"/>
      <c r="H449" s="37"/>
      <c r="I449" s="37"/>
      <c r="J449" s="37"/>
      <c r="K449" s="37"/>
      <c r="L449" s="23"/>
      <c r="M449" s="23"/>
    </row>
    <row r="450" ht="15.75" customHeight="1">
      <c r="A450" s="23"/>
      <c r="B450" s="24"/>
      <c r="C450" s="25"/>
      <c r="D450" s="26"/>
      <c r="E450" s="26"/>
      <c r="F450" s="26"/>
      <c r="G450" s="37"/>
      <c r="H450" s="37"/>
      <c r="I450" s="37"/>
      <c r="J450" s="37"/>
      <c r="K450" s="37"/>
      <c r="L450" s="23"/>
      <c r="M450" s="23"/>
    </row>
    <row r="451" ht="15.75" customHeight="1">
      <c r="A451" s="23"/>
      <c r="B451" s="24"/>
      <c r="C451" s="25"/>
      <c r="D451" s="26"/>
      <c r="E451" s="26"/>
      <c r="F451" s="26"/>
      <c r="G451" s="37"/>
      <c r="H451" s="37"/>
      <c r="I451" s="37"/>
      <c r="J451" s="37"/>
      <c r="K451" s="37"/>
      <c r="L451" s="23"/>
      <c r="M451" s="23"/>
    </row>
    <row r="452" ht="15.75" customHeight="1">
      <c r="A452" s="23"/>
      <c r="B452" s="24"/>
      <c r="C452" s="25"/>
      <c r="D452" s="26"/>
      <c r="E452" s="26"/>
      <c r="F452" s="26"/>
      <c r="G452" s="37"/>
      <c r="H452" s="37"/>
      <c r="I452" s="37"/>
      <c r="J452" s="37"/>
      <c r="K452" s="37"/>
      <c r="L452" s="23"/>
      <c r="M452" s="23"/>
    </row>
    <row r="453" ht="15.75" customHeight="1">
      <c r="A453" s="23"/>
      <c r="B453" s="24"/>
      <c r="C453" s="25"/>
      <c r="D453" s="26"/>
      <c r="E453" s="26"/>
      <c r="F453" s="26"/>
      <c r="G453" s="37"/>
      <c r="H453" s="37"/>
      <c r="I453" s="37"/>
      <c r="J453" s="37"/>
      <c r="K453" s="37"/>
      <c r="L453" s="23"/>
      <c r="M453" s="23"/>
    </row>
    <row r="454" ht="15.75" customHeight="1">
      <c r="A454" s="23"/>
      <c r="B454" s="24"/>
      <c r="C454" s="25"/>
      <c r="D454" s="26"/>
      <c r="E454" s="26"/>
      <c r="F454" s="26"/>
      <c r="G454" s="37"/>
      <c r="H454" s="37"/>
      <c r="I454" s="37"/>
      <c r="J454" s="37"/>
      <c r="K454" s="37"/>
      <c r="L454" s="23"/>
      <c r="M454" s="23"/>
    </row>
    <row r="455" ht="15.75" customHeight="1">
      <c r="A455" s="23"/>
      <c r="B455" s="24"/>
      <c r="C455" s="25"/>
      <c r="D455" s="26"/>
      <c r="E455" s="26"/>
      <c r="F455" s="26"/>
      <c r="G455" s="37"/>
      <c r="H455" s="37"/>
      <c r="I455" s="37"/>
      <c r="J455" s="37"/>
      <c r="K455" s="37"/>
      <c r="L455" s="23"/>
      <c r="M455" s="23"/>
    </row>
    <row r="456" ht="15.75" customHeight="1">
      <c r="A456" s="23"/>
      <c r="B456" s="24"/>
      <c r="C456" s="25"/>
      <c r="D456" s="26"/>
      <c r="E456" s="26"/>
      <c r="F456" s="26"/>
      <c r="G456" s="37"/>
      <c r="H456" s="37"/>
      <c r="I456" s="37"/>
      <c r="J456" s="37"/>
      <c r="K456" s="37"/>
      <c r="L456" s="23"/>
      <c r="M456" s="23"/>
    </row>
    <row r="457" ht="15.75" customHeight="1">
      <c r="A457" s="23"/>
      <c r="B457" s="24"/>
      <c r="C457" s="25"/>
      <c r="D457" s="26"/>
      <c r="E457" s="26"/>
      <c r="F457" s="26"/>
      <c r="G457" s="37"/>
      <c r="H457" s="37"/>
      <c r="I457" s="37"/>
      <c r="J457" s="37"/>
      <c r="K457" s="37"/>
      <c r="L457" s="23"/>
      <c r="M457" s="23"/>
    </row>
    <row r="458" ht="15.75" customHeight="1">
      <c r="A458" s="23"/>
      <c r="B458" s="24"/>
      <c r="C458" s="25"/>
      <c r="D458" s="26"/>
      <c r="E458" s="26"/>
      <c r="F458" s="26"/>
      <c r="G458" s="37"/>
      <c r="H458" s="37"/>
      <c r="I458" s="37"/>
      <c r="J458" s="37"/>
      <c r="K458" s="37"/>
      <c r="L458" s="23"/>
      <c r="M458" s="23"/>
    </row>
    <row r="459" ht="15.75" customHeight="1">
      <c r="A459" s="23"/>
      <c r="B459" s="24"/>
      <c r="C459" s="25"/>
      <c r="D459" s="26"/>
      <c r="E459" s="26"/>
      <c r="F459" s="26"/>
      <c r="G459" s="37"/>
      <c r="H459" s="37"/>
      <c r="I459" s="37"/>
      <c r="J459" s="37"/>
      <c r="K459" s="37"/>
      <c r="L459" s="23"/>
      <c r="M459" s="23"/>
    </row>
    <row r="460" ht="15.75" customHeight="1">
      <c r="A460" s="23"/>
      <c r="B460" s="24"/>
      <c r="C460" s="25"/>
      <c r="D460" s="26"/>
      <c r="E460" s="26"/>
      <c r="F460" s="26"/>
      <c r="G460" s="37"/>
      <c r="H460" s="37"/>
      <c r="I460" s="37"/>
      <c r="J460" s="37"/>
      <c r="K460" s="37"/>
      <c r="L460" s="23"/>
      <c r="M460" s="23"/>
    </row>
    <row r="461" ht="15.75" customHeight="1">
      <c r="A461" s="23"/>
      <c r="B461" s="24"/>
      <c r="C461" s="25"/>
      <c r="D461" s="26"/>
      <c r="E461" s="26"/>
      <c r="F461" s="26"/>
      <c r="G461" s="37"/>
      <c r="H461" s="37"/>
      <c r="I461" s="37"/>
      <c r="J461" s="37"/>
      <c r="K461" s="37"/>
      <c r="L461" s="23"/>
      <c r="M461" s="23"/>
    </row>
    <row r="462" ht="15.75" customHeight="1">
      <c r="A462" s="23"/>
      <c r="B462" s="24"/>
      <c r="C462" s="25"/>
      <c r="D462" s="26"/>
      <c r="E462" s="26"/>
      <c r="F462" s="26"/>
      <c r="G462" s="37"/>
      <c r="H462" s="37"/>
      <c r="I462" s="37"/>
      <c r="J462" s="37"/>
      <c r="K462" s="37"/>
      <c r="L462" s="23"/>
      <c r="M462" s="23"/>
    </row>
    <row r="463" ht="15.75" customHeight="1">
      <c r="A463" s="23"/>
      <c r="B463" s="24"/>
      <c r="C463" s="25"/>
      <c r="D463" s="26"/>
      <c r="E463" s="26"/>
      <c r="F463" s="26"/>
      <c r="G463" s="37"/>
      <c r="H463" s="37"/>
      <c r="I463" s="37"/>
      <c r="J463" s="37"/>
      <c r="K463" s="37"/>
      <c r="L463" s="23"/>
      <c r="M463" s="23"/>
    </row>
    <row r="464" ht="15.75" customHeight="1">
      <c r="A464" s="23"/>
      <c r="B464" s="24"/>
      <c r="C464" s="25"/>
      <c r="D464" s="26"/>
      <c r="E464" s="26"/>
      <c r="F464" s="26"/>
      <c r="G464" s="37"/>
      <c r="H464" s="37"/>
      <c r="I464" s="37"/>
      <c r="J464" s="37"/>
      <c r="K464" s="37"/>
      <c r="L464" s="23"/>
      <c r="M464" s="23"/>
    </row>
    <row r="465" ht="15.75" customHeight="1">
      <c r="A465" s="23"/>
      <c r="B465" s="24"/>
      <c r="C465" s="25"/>
      <c r="D465" s="26"/>
      <c r="E465" s="26"/>
      <c r="F465" s="26"/>
      <c r="G465" s="37"/>
      <c r="H465" s="37"/>
      <c r="I465" s="37"/>
      <c r="J465" s="37"/>
      <c r="K465" s="37"/>
      <c r="L465" s="23"/>
      <c r="M465" s="23"/>
    </row>
    <row r="466" ht="15.75" customHeight="1">
      <c r="A466" s="23"/>
      <c r="B466" s="24"/>
      <c r="C466" s="25"/>
      <c r="D466" s="26"/>
      <c r="E466" s="26"/>
      <c r="F466" s="26"/>
      <c r="G466" s="37"/>
      <c r="H466" s="37"/>
      <c r="I466" s="37"/>
      <c r="J466" s="37"/>
      <c r="K466" s="37"/>
      <c r="L466" s="23"/>
      <c r="M466" s="23"/>
    </row>
    <row r="467" ht="15.75" customHeight="1">
      <c r="A467" s="23"/>
      <c r="B467" s="24"/>
      <c r="C467" s="25"/>
      <c r="D467" s="26"/>
      <c r="E467" s="26"/>
      <c r="F467" s="26"/>
      <c r="G467" s="37"/>
      <c r="H467" s="37"/>
      <c r="I467" s="37"/>
      <c r="J467" s="37"/>
      <c r="K467" s="37"/>
      <c r="L467" s="23"/>
      <c r="M467" s="23"/>
    </row>
    <row r="468" ht="15.75" customHeight="1">
      <c r="A468" s="23"/>
      <c r="B468" s="24"/>
      <c r="C468" s="25"/>
      <c r="D468" s="26"/>
      <c r="E468" s="26"/>
      <c r="F468" s="26"/>
      <c r="G468" s="37"/>
      <c r="H468" s="37"/>
      <c r="I468" s="37"/>
      <c r="J468" s="37"/>
      <c r="K468" s="37"/>
      <c r="L468" s="23"/>
      <c r="M468" s="23"/>
    </row>
    <row r="469" ht="15.75" customHeight="1">
      <c r="A469" s="23"/>
      <c r="B469" s="24"/>
      <c r="C469" s="25"/>
      <c r="D469" s="26"/>
      <c r="E469" s="26"/>
      <c r="F469" s="26"/>
      <c r="G469" s="37"/>
      <c r="H469" s="37"/>
      <c r="I469" s="37"/>
      <c r="J469" s="37"/>
      <c r="K469" s="37"/>
      <c r="L469" s="23"/>
      <c r="M469" s="23"/>
    </row>
    <row r="470" ht="15.75" customHeight="1">
      <c r="A470" s="23"/>
      <c r="B470" s="24"/>
      <c r="C470" s="25"/>
      <c r="D470" s="26"/>
      <c r="E470" s="26"/>
      <c r="F470" s="26"/>
      <c r="G470" s="37"/>
      <c r="H470" s="37"/>
      <c r="I470" s="37"/>
      <c r="J470" s="37"/>
      <c r="K470" s="37"/>
      <c r="L470" s="23"/>
      <c r="M470" s="23"/>
    </row>
    <row r="471" ht="15.75" customHeight="1">
      <c r="A471" s="23"/>
      <c r="B471" s="24"/>
      <c r="C471" s="25"/>
      <c r="D471" s="26"/>
      <c r="E471" s="26"/>
      <c r="F471" s="26"/>
      <c r="G471" s="37"/>
      <c r="H471" s="37"/>
      <c r="I471" s="37"/>
      <c r="J471" s="37"/>
      <c r="K471" s="37"/>
      <c r="L471" s="23"/>
      <c r="M471" s="23"/>
    </row>
    <row r="472" ht="15.75" customHeight="1">
      <c r="A472" s="23"/>
      <c r="B472" s="24"/>
      <c r="C472" s="25"/>
      <c r="D472" s="26"/>
      <c r="E472" s="26"/>
      <c r="F472" s="26"/>
      <c r="G472" s="37"/>
      <c r="H472" s="37"/>
      <c r="I472" s="37"/>
      <c r="J472" s="37"/>
      <c r="K472" s="37"/>
      <c r="L472" s="23"/>
      <c r="M472" s="23"/>
    </row>
    <row r="473" ht="15.75" customHeight="1">
      <c r="A473" s="23"/>
      <c r="B473" s="24"/>
      <c r="C473" s="25"/>
      <c r="D473" s="26"/>
      <c r="E473" s="26"/>
      <c r="F473" s="26"/>
      <c r="G473" s="37"/>
      <c r="H473" s="37"/>
      <c r="I473" s="37"/>
      <c r="J473" s="37"/>
      <c r="K473" s="37"/>
      <c r="L473" s="23"/>
      <c r="M473" s="23"/>
    </row>
    <row r="474" ht="15.75" customHeight="1">
      <c r="A474" s="23"/>
      <c r="B474" s="24"/>
      <c r="C474" s="25"/>
      <c r="D474" s="26"/>
      <c r="E474" s="26"/>
      <c r="F474" s="26"/>
      <c r="G474" s="37"/>
      <c r="H474" s="37"/>
      <c r="I474" s="37"/>
      <c r="J474" s="37"/>
      <c r="K474" s="37"/>
      <c r="L474" s="23"/>
      <c r="M474" s="23"/>
    </row>
    <row r="475" ht="15.75" customHeight="1">
      <c r="A475" s="23"/>
      <c r="B475" s="24"/>
      <c r="C475" s="25"/>
      <c r="D475" s="26"/>
      <c r="E475" s="26"/>
      <c r="F475" s="26"/>
      <c r="G475" s="37"/>
      <c r="H475" s="37"/>
      <c r="I475" s="37"/>
      <c r="J475" s="37"/>
      <c r="K475" s="37"/>
      <c r="L475" s="23"/>
      <c r="M475" s="23"/>
    </row>
    <row r="476" ht="15.75" customHeight="1">
      <c r="A476" s="23"/>
      <c r="B476" s="24"/>
      <c r="C476" s="25"/>
      <c r="D476" s="26"/>
      <c r="E476" s="26"/>
      <c r="F476" s="26"/>
      <c r="G476" s="37"/>
      <c r="H476" s="37"/>
      <c r="I476" s="37"/>
      <c r="J476" s="37"/>
      <c r="K476" s="37"/>
      <c r="L476" s="23"/>
      <c r="M476" s="23"/>
    </row>
    <row r="477" ht="15.75" customHeight="1">
      <c r="A477" s="23"/>
      <c r="B477" s="24"/>
      <c r="C477" s="25"/>
      <c r="D477" s="26"/>
      <c r="E477" s="26"/>
      <c r="F477" s="26"/>
      <c r="G477" s="37"/>
      <c r="H477" s="37"/>
      <c r="I477" s="37"/>
      <c r="J477" s="37"/>
      <c r="K477" s="37"/>
      <c r="L477" s="23"/>
      <c r="M477" s="23"/>
    </row>
    <row r="478" ht="15.75" customHeight="1">
      <c r="A478" s="23"/>
      <c r="B478" s="24"/>
      <c r="C478" s="25"/>
      <c r="D478" s="26"/>
      <c r="E478" s="26"/>
      <c r="F478" s="26"/>
      <c r="G478" s="37"/>
      <c r="H478" s="37"/>
      <c r="I478" s="37"/>
      <c r="J478" s="37"/>
      <c r="K478" s="37"/>
      <c r="L478" s="23"/>
      <c r="M478" s="23"/>
    </row>
    <row r="479" ht="15.75" customHeight="1">
      <c r="A479" s="23"/>
      <c r="B479" s="24"/>
      <c r="C479" s="25"/>
      <c r="D479" s="26"/>
      <c r="E479" s="26"/>
      <c r="F479" s="26"/>
      <c r="G479" s="37"/>
      <c r="H479" s="37"/>
      <c r="I479" s="37"/>
      <c r="J479" s="37"/>
      <c r="K479" s="37"/>
      <c r="L479" s="23"/>
      <c r="M479" s="23"/>
    </row>
    <row r="480" ht="15.75" customHeight="1">
      <c r="A480" s="23"/>
      <c r="B480" s="24"/>
      <c r="C480" s="25"/>
      <c r="D480" s="26"/>
      <c r="E480" s="26"/>
      <c r="F480" s="26"/>
      <c r="G480" s="37"/>
      <c r="H480" s="37"/>
      <c r="I480" s="37"/>
      <c r="J480" s="37"/>
      <c r="K480" s="37"/>
      <c r="L480" s="23"/>
      <c r="M480" s="23"/>
    </row>
    <row r="481" ht="15.75" customHeight="1">
      <c r="A481" s="23"/>
      <c r="B481" s="24"/>
      <c r="C481" s="25"/>
      <c r="D481" s="26"/>
      <c r="E481" s="26"/>
      <c r="F481" s="26"/>
      <c r="G481" s="37"/>
      <c r="H481" s="37"/>
      <c r="I481" s="37"/>
      <c r="J481" s="37"/>
      <c r="K481" s="37"/>
      <c r="L481" s="23"/>
      <c r="M481" s="23"/>
    </row>
    <row r="482" ht="15.75" customHeight="1">
      <c r="A482" s="23"/>
      <c r="B482" s="24"/>
      <c r="C482" s="25"/>
      <c r="D482" s="26"/>
      <c r="E482" s="26"/>
      <c r="F482" s="26"/>
      <c r="G482" s="37"/>
      <c r="H482" s="37"/>
      <c r="I482" s="37"/>
      <c r="J482" s="37"/>
      <c r="K482" s="37"/>
      <c r="L482" s="23"/>
      <c r="M482" s="23"/>
    </row>
    <row r="483" ht="15.75" customHeight="1">
      <c r="A483" s="23"/>
      <c r="B483" s="24"/>
      <c r="C483" s="25"/>
      <c r="D483" s="26"/>
      <c r="E483" s="26"/>
      <c r="F483" s="26"/>
      <c r="G483" s="37"/>
      <c r="H483" s="37"/>
      <c r="I483" s="37"/>
      <c r="J483" s="37"/>
      <c r="K483" s="37"/>
      <c r="L483" s="23"/>
      <c r="M483" s="23"/>
    </row>
    <row r="484" ht="15.75" customHeight="1">
      <c r="A484" s="23"/>
      <c r="B484" s="24"/>
      <c r="C484" s="25"/>
      <c r="D484" s="26"/>
      <c r="E484" s="26"/>
      <c r="F484" s="26"/>
      <c r="G484" s="37"/>
      <c r="H484" s="37"/>
      <c r="I484" s="37"/>
      <c r="J484" s="37"/>
      <c r="K484" s="37"/>
      <c r="L484" s="23"/>
      <c r="M484" s="23"/>
    </row>
    <row r="485" ht="15.75" customHeight="1">
      <c r="A485" s="23"/>
      <c r="B485" s="24"/>
      <c r="C485" s="25"/>
      <c r="D485" s="26"/>
      <c r="E485" s="26"/>
      <c r="F485" s="26"/>
      <c r="G485" s="37"/>
      <c r="H485" s="37"/>
      <c r="I485" s="37"/>
      <c r="J485" s="37"/>
      <c r="K485" s="37"/>
      <c r="L485" s="23"/>
      <c r="M485" s="23"/>
    </row>
    <row r="486" ht="15.75" customHeight="1">
      <c r="A486" s="23"/>
      <c r="B486" s="24"/>
      <c r="C486" s="25"/>
      <c r="D486" s="26"/>
      <c r="E486" s="26"/>
      <c r="F486" s="26"/>
      <c r="G486" s="37"/>
      <c r="H486" s="37"/>
      <c r="I486" s="37"/>
      <c r="J486" s="37"/>
      <c r="K486" s="37"/>
      <c r="L486" s="23"/>
      <c r="M486" s="23"/>
    </row>
    <row r="487" ht="15.75" customHeight="1">
      <c r="A487" s="23"/>
      <c r="B487" s="24"/>
      <c r="C487" s="25"/>
      <c r="D487" s="26"/>
      <c r="E487" s="26"/>
      <c r="F487" s="26"/>
      <c r="G487" s="37"/>
      <c r="H487" s="37"/>
      <c r="I487" s="37"/>
      <c r="J487" s="37"/>
      <c r="K487" s="37"/>
      <c r="L487" s="23"/>
      <c r="M487" s="23"/>
    </row>
    <row r="488" ht="15.75" customHeight="1">
      <c r="A488" s="23"/>
      <c r="B488" s="24"/>
      <c r="C488" s="25"/>
      <c r="D488" s="26"/>
      <c r="E488" s="26"/>
      <c r="F488" s="26"/>
      <c r="G488" s="37"/>
      <c r="H488" s="37"/>
      <c r="I488" s="37"/>
      <c r="J488" s="37"/>
      <c r="K488" s="37"/>
      <c r="L488" s="23"/>
      <c r="M488" s="23"/>
    </row>
    <row r="489" ht="15.75" customHeight="1">
      <c r="A489" s="23"/>
      <c r="B489" s="24"/>
      <c r="C489" s="25"/>
      <c r="D489" s="26"/>
      <c r="E489" s="26"/>
      <c r="F489" s="26"/>
      <c r="G489" s="37"/>
      <c r="H489" s="37"/>
      <c r="I489" s="37"/>
      <c r="J489" s="37"/>
      <c r="K489" s="37"/>
      <c r="L489" s="23"/>
      <c r="M489" s="23"/>
    </row>
    <row r="490" ht="15.75" customHeight="1">
      <c r="A490" s="23"/>
      <c r="B490" s="24"/>
      <c r="C490" s="25"/>
      <c r="D490" s="26"/>
      <c r="E490" s="26"/>
      <c r="F490" s="26"/>
      <c r="G490" s="37"/>
      <c r="H490" s="37"/>
      <c r="I490" s="37"/>
      <c r="J490" s="37"/>
      <c r="K490" s="37"/>
      <c r="L490" s="23"/>
      <c r="M490" s="23"/>
    </row>
    <row r="491" ht="15.75" customHeight="1">
      <c r="A491" s="23"/>
      <c r="B491" s="24"/>
      <c r="C491" s="25"/>
      <c r="D491" s="26"/>
      <c r="E491" s="26"/>
      <c r="F491" s="26"/>
      <c r="G491" s="37"/>
      <c r="H491" s="37"/>
      <c r="I491" s="37"/>
      <c r="J491" s="37"/>
      <c r="K491" s="37"/>
      <c r="L491" s="23"/>
      <c r="M491" s="23"/>
    </row>
    <row r="492" ht="15.75" customHeight="1">
      <c r="A492" s="23"/>
      <c r="B492" s="24"/>
      <c r="C492" s="25"/>
      <c r="D492" s="26"/>
      <c r="E492" s="26"/>
      <c r="F492" s="26"/>
      <c r="G492" s="37"/>
      <c r="H492" s="37"/>
      <c r="I492" s="37"/>
      <c r="J492" s="37"/>
      <c r="K492" s="37"/>
      <c r="L492" s="23"/>
      <c r="M492" s="23"/>
    </row>
    <row r="493" ht="15.75" customHeight="1">
      <c r="A493" s="23"/>
      <c r="B493" s="24"/>
      <c r="C493" s="25"/>
      <c r="D493" s="26"/>
      <c r="E493" s="26"/>
      <c r="F493" s="26"/>
      <c r="G493" s="37"/>
      <c r="H493" s="37"/>
      <c r="I493" s="37"/>
      <c r="J493" s="37"/>
      <c r="K493" s="37"/>
      <c r="L493" s="23"/>
      <c r="M493" s="23"/>
    </row>
    <row r="494" ht="15.75" customHeight="1">
      <c r="A494" s="23"/>
      <c r="B494" s="24"/>
      <c r="C494" s="25"/>
      <c r="D494" s="26"/>
      <c r="E494" s="26"/>
      <c r="F494" s="26"/>
      <c r="G494" s="37"/>
      <c r="H494" s="37"/>
      <c r="I494" s="37"/>
      <c r="J494" s="37"/>
      <c r="K494" s="37"/>
      <c r="L494" s="23"/>
      <c r="M494" s="23"/>
    </row>
    <row r="495" ht="15.75" customHeight="1">
      <c r="A495" s="23"/>
      <c r="B495" s="24"/>
      <c r="C495" s="25"/>
      <c r="D495" s="26"/>
      <c r="E495" s="26"/>
      <c r="F495" s="26"/>
      <c r="G495" s="37"/>
      <c r="H495" s="37"/>
      <c r="I495" s="37"/>
      <c r="J495" s="37"/>
      <c r="K495" s="37"/>
      <c r="L495" s="23"/>
      <c r="M495" s="23"/>
    </row>
    <row r="496" ht="15.75" customHeight="1">
      <c r="A496" s="23"/>
      <c r="B496" s="24"/>
      <c r="C496" s="25"/>
      <c r="D496" s="26"/>
      <c r="E496" s="26"/>
      <c r="F496" s="26"/>
      <c r="G496" s="37"/>
      <c r="H496" s="37"/>
      <c r="I496" s="37"/>
      <c r="J496" s="37"/>
      <c r="K496" s="37"/>
      <c r="L496" s="23"/>
      <c r="M496" s="23"/>
    </row>
    <row r="497" ht="15.75" customHeight="1">
      <c r="A497" s="23"/>
      <c r="B497" s="24"/>
      <c r="C497" s="25"/>
      <c r="D497" s="26"/>
      <c r="E497" s="26"/>
      <c r="F497" s="26"/>
      <c r="G497" s="37"/>
      <c r="H497" s="37"/>
      <c r="I497" s="37"/>
      <c r="J497" s="37"/>
      <c r="K497" s="37"/>
      <c r="L497" s="23"/>
      <c r="M497" s="23"/>
    </row>
    <row r="498" ht="15.75" customHeight="1">
      <c r="A498" s="23"/>
      <c r="B498" s="24"/>
      <c r="C498" s="25"/>
      <c r="D498" s="26"/>
      <c r="E498" s="26"/>
      <c r="F498" s="26"/>
      <c r="G498" s="37"/>
      <c r="H498" s="37"/>
      <c r="I498" s="37"/>
      <c r="J498" s="37"/>
      <c r="K498" s="37"/>
      <c r="L498" s="23"/>
      <c r="M498" s="23"/>
    </row>
    <row r="499" ht="15.75" customHeight="1">
      <c r="A499" s="23"/>
      <c r="B499" s="24"/>
      <c r="C499" s="25"/>
      <c r="D499" s="26"/>
      <c r="E499" s="26"/>
      <c r="F499" s="26"/>
      <c r="G499" s="37"/>
      <c r="H499" s="37"/>
      <c r="I499" s="37"/>
      <c r="J499" s="37"/>
      <c r="K499" s="37"/>
      <c r="L499" s="23"/>
      <c r="M499" s="23"/>
    </row>
    <row r="500" ht="15.75" customHeight="1">
      <c r="A500" s="23"/>
      <c r="B500" s="24"/>
      <c r="C500" s="25"/>
      <c r="D500" s="26"/>
      <c r="E500" s="26"/>
      <c r="F500" s="26"/>
      <c r="G500" s="37"/>
      <c r="H500" s="37"/>
      <c r="I500" s="37"/>
      <c r="J500" s="37"/>
      <c r="K500" s="37"/>
      <c r="L500" s="23"/>
      <c r="M500" s="23"/>
    </row>
    <row r="501" ht="15.75" customHeight="1">
      <c r="A501" s="23"/>
      <c r="B501" s="24"/>
      <c r="C501" s="25"/>
      <c r="D501" s="26"/>
      <c r="E501" s="26"/>
      <c r="F501" s="26"/>
      <c r="G501" s="37"/>
      <c r="H501" s="37"/>
      <c r="I501" s="37"/>
      <c r="J501" s="37"/>
      <c r="K501" s="37"/>
      <c r="L501" s="23"/>
      <c r="M501" s="23"/>
    </row>
    <row r="502" ht="15.75" customHeight="1">
      <c r="A502" s="23"/>
      <c r="B502" s="24"/>
      <c r="C502" s="25"/>
      <c r="D502" s="26"/>
      <c r="E502" s="26"/>
      <c r="F502" s="26"/>
      <c r="G502" s="37"/>
      <c r="H502" s="37"/>
      <c r="I502" s="37"/>
      <c r="J502" s="37"/>
      <c r="K502" s="37"/>
      <c r="L502" s="23"/>
      <c r="M502" s="23"/>
    </row>
    <row r="503" ht="15.75" customHeight="1">
      <c r="A503" s="23"/>
      <c r="B503" s="24"/>
      <c r="C503" s="25"/>
      <c r="D503" s="26"/>
      <c r="E503" s="26"/>
      <c r="F503" s="26"/>
      <c r="G503" s="37"/>
      <c r="H503" s="37"/>
      <c r="I503" s="37"/>
      <c r="J503" s="37"/>
      <c r="K503" s="37"/>
      <c r="L503" s="23"/>
      <c r="M503" s="23"/>
    </row>
    <row r="504" ht="15.75" customHeight="1">
      <c r="A504" s="23"/>
      <c r="B504" s="24"/>
      <c r="C504" s="25"/>
      <c r="D504" s="26"/>
      <c r="E504" s="26"/>
      <c r="F504" s="26"/>
      <c r="G504" s="37"/>
      <c r="H504" s="37"/>
      <c r="I504" s="37"/>
      <c r="J504" s="37"/>
      <c r="K504" s="37"/>
      <c r="L504" s="23"/>
      <c r="M504" s="23"/>
    </row>
    <row r="505" ht="15.75" customHeight="1">
      <c r="A505" s="23"/>
      <c r="B505" s="24"/>
      <c r="C505" s="25"/>
      <c r="D505" s="26"/>
      <c r="E505" s="26"/>
      <c r="F505" s="26"/>
      <c r="G505" s="37"/>
      <c r="H505" s="37"/>
      <c r="I505" s="37"/>
      <c r="J505" s="37"/>
      <c r="K505" s="37"/>
      <c r="L505" s="23"/>
      <c r="M505" s="23"/>
    </row>
    <row r="506" ht="15.75" customHeight="1">
      <c r="A506" s="23"/>
      <c r="B506" s="24"/>
      <c r="C506" s="25"/>
      <c r="D506" s="26"/>
      <c r="E506" s="26"/>
      <c r="F506" s="26"/>
      <c r="G506" s="37"/>
      <c r="H506" s="37"/>
      <c r="I506" s="37"/>
      <c r="J506" s="37"/>
      <c r="K506" s="37"/>
      <c r="L506" s="23"/>
      <c r="M506" s="23"/>
    </row>
    <row r="507" ht="15.75" customHeight="1">
      <c r="A507" s="23"/>
      <c r="B507" s="24"/>
      <c r="C507" s="25"/>
      <c r="D507" s="26"/>
      <c r="E507" s="26"/>
      <c r="F507" s="26"/>
      <c r="G507" s="37"/>
      <c r="H507" s="37"/>
      <c r="I507" s="37"/>
      <c r="J507" s="37"/>
      <c r="K507" s="37"/>
      <c r="L507" s="23"/>
      <c r="M507" s="23"/>
    </row>
    <row r="508" ht="15.75" customHeight="1">
      <c r="A508" s="23"/>
      <c r="B508" s="24"/>
      <c r="C508" s="25"/>
      <c r="D508" s="26"/>
      <c r="E508" s="26"/>
      <c r="F508" s="26"/>
      <c r="G508" s="37"/>
      <c r="H508" s="37"/>
      <c r="I508" s="37"/>
      <c r="J508" s="37"/>
      <c r="K508" s="37"/>
      <c r="L508" s="23"/>
      <c r="M508" s="23"/>
    </row>
    <row r="509" ht="15.75" customHeight="1">
      <c r="A509" s="23"/>
      <c r="B509" s="24"/>
      <c r="C509" s="25"/>
      <c r="D509" s="26"/>
      <c r="E509" s="26"/>
      <c r="F509" s="26"/>
      <c r="G509" s="37"/>
      <c r="H509" s="37"/>
      <c r="I509" s="37"/>
      <c r="J509" s="37"/>
      <c r="K509" s="37"/>
      <c r="L509" s="23"/>
      <c r="M509" s="23"/>
    </row>
    <row r="510" ht="15.75" customHeight="1">
      <c r="A510" s="23"/>
      <c r="B510" s="24"/>
      <c r="C510" s="25"/>
      <c r="D510" s="26"/>
      <c r="E510" s="26"/>
      <c r="F510" s="26"/>
      <c r="G510" s="37"/>
      <c r="H510" s="37"/>
      <c r="I510" s="37"/>
      <c r="J510" s="37"/>
      <c r="K510" s="37"/>
      <c r="L510" s="23"/>
      <c r="M510" s="23"/>
    </row>
    <row r="511" ht="15.75" customHeight="1">
      <c r="A511" s="23"/>
      <c r="B511" s="24"/>
      <c r="C511" s="25"/>
      <c r="D511" s="26"/>
      <c r="E511" s="26"/>
      <c r="F511" s="26"/>
      <c r="G511" s="37"/>
      <c r="H511" s="37"/>
      <c r="I511" s="37"/>
      <c r="J511" s="37"/>
      <c r="K511" s="37"/>
      <c r="L511" s="23"/>
      <c r="M511" s="23"/>
    </row>
    <row r="512" ht="15.75" customHeight="1">
      <c r="A512" s="23"/>
      <c r="B512" s="24"/>
      <c r="C512" s="25"/>
      <c r="D512" s="26"/>
      <c r="E512" s="26"/>
      <c r="F512" s="26"/>
      <c r="G512" s="37"/>
      <c r="H512" s="37"/>
      <c r="I512" s="37"/>
      <c r="J512" s="37"/>
      <c r="K512" s="37"/>
      <c r="L512" s="23"/>
      <c r="M512" s="23"/>
    </row>
    <row r="513" ht="15.75" customHeight="1">
      <c r="A513" s="23"/>
      <c r="B513" s="24"/>
      <c r="C513" s="25"/>
      <c r="D513" s="26"/>
      <c r="E513" s="26"/>
      <c r="F513" s="26"/>
      <c r="G513" s="37"/>
      <c r="H513" s="37"/>
      <c r="I513" s="37"/>
      <c r="J513" s="37"/>
      <c r="K513" s="37"/>
      <c r="L513" s="23"/>
      <c r="M513" s="23"/>
    </row>
    <row r="514" ht="15.75" customHeight="1">
      <c r="A514" s="23"/>
      <c r="B514" s="24"/>
      <c r="C514" s="25"/>
      <c r="D514" s="26"/>
      <c r="E514" s="26"/>
      <c r="F514" s="26"/>
      <c r="G514" s="37"/>
      <c r="H514" s="37"/>
      <c r="I514" s="37"/>
      <c r="J514" s="37"/>
      <c r="K514" s="37"/>
      <c r="L514" s="23"/>
      <c r="M514" s="23"/>
    </row>
    <row r="515" ht="15.75" customHeight="1">
      <c r="A515" s="23"/>
      <c r="B515" s="24"/>
      <c r="C515" s="25"/>
      <c r="D515" s="26"/>
      <c r="E515" s="26"/>
      <c r="F515" s="26"/>
      <c r="G515" s="37"/>
      <c r="H515" s="37"/>
      <c r="I515" s="37"/>
      <c r="J515" s="37"/>
      <c r="K515" s="37"/>
      <c r="L515" s="23"/>
      <c r="M515" s="23"/>
    </row>
    <row r="516" ht="15.75" customHeight="1">
      <c r="A516" s="23"/>
      <c r="B516" s="24"/>
      <c r="C516" s="25"/>
      <c r="D516" s="26"/>
      <c r="E516" s="26"/>
      <c r="F516" s="26"/>
      <c r="G516" s="37"/>
      <c r="H516" s="37"/>
      <c r="I516" s="37"/>
      <c r="J516" s="37"/>
      <c r="K516" s="37"/>
      <c r="L516" s="23"/>
      <c r="M516" s="23"/>
    </row>
    <row r="517" ht="15.75" customHeight="1">
      <c r="A517" s="23"/>
      <c r="B517" s="24"/>
      <c r="C517" s="25"/>
      <c r="D517" s="26"/>
      <c r="E517" s="26"/>
      <c r="F517" s="26"/>
      <c r="G517" s="37"/>
      <c r="H517" s="37"/>
      <c r="I517" s="37"/>
      <c r="J517" s="37"/>
      <c r="K517" s="37"/>
      <c r="L517" s="23"/>
      <c r="M517" s="23"/>
    </row>
    <row r="518" ht="15.75" customHeight="1">
      <c r="A518" s="23"/>
      <c r="B518" s="24"/>
      <c r="C518" s="25"/>
      <c r="D518" s="26"/>
      <c r="E518" s="26"/>
      <c r="F518" s="26"/>
      <c r="G518" s="37"/>
      <c r="H518" s="37"/>
      <c r="I518" s="37"/>
      <c r="J518" s="37"/>
      <c r="K518" s="37"/>
      <c r="L518" s="23"/>
      <c r="M518" s="23"/>
    </row>
    <row r="519" ht="15.75" customHeight="1">
      <c r="A519" s="23"/>
      <c r="B519" s="24"/>
      <c r="C519" s="25"/>
      <c r="D519" s="26"/>
      <c r="E519" s="26"/>
      <c r="F519" s="26"/>
      <c r="G519" s="37"/>
      <c r="H519" s="37"/>
      <c r="I519" s="37"/>
      <c r="J519" s="37"/>
      <c r="K519" s="37"/>
      <c r="L519" s="23"/>
      <c r="M519" s="23"/>
    </row>
    <row r="520" ht="15.75" customHeight="1">
      <c r="A520" s="23"/>
      <c r="B520" s="24"/>
      <c r="C520" s="25"/>
      <c r="D520" s="26"/>
      <c r="E520" s="26"/>
      <c r="F520" s="26"/>
      <c r="G520" s="37"/>
      <c r="H520" s="37"/>
      <c r="I520" s="37"/>
      <c r="J520" s="37"/>
      <c r="K520" s="37"/>
      <c r="L520" s="23"/>
      <c r="M520" s="23"/>
    </row>
    <row r="521" ht="15.75" customHeight="1">
      <c r="A521" s="23"/>
      <c r="B521" s="24"/>
      <c r="C521" s="25"/>
      <c r="D521" s="26"/>
      <c r="E521" s="26"/>
      <c r="F521" s="26"/>
      <c r="G521" s="37"/>
      <c r="H521" s="37"/>
      <c r="I521" s="37"/>
      <c r="J521" s="37"/>
      <c r="K521" s="37"/>
      <c r="L521" s="23"/>
      <c r="M521" s="23"/>
    </row>
    <row r="522" ht="15.75" customHeight="1">
      <c r="A522" s="23"/>
      <c r="B522" s="24"/>
      <c r="C522" s="25"/>
      <c r="D522" s="26"/>
      <c r="E522" s="26"/>
      <c r="F522" s="26"/>
      <c r="G522" s="37"/>
      <c r="H522" s="37"/>
      <c r="I522" s="37"/>
      <c r="J522" s="37"/>
      <c r="K522" s="37"/>
      <c r="L522" s="23"/>
      <c r="M522" s="23"/>
    </row>
    <row r="523" ht="15.75" customHeight="1">
      <c r="A523" s="23"/>
      <c r="B523" s="24"/>
      <c r="C523" s="25"/>
      <c r="D523" s="26"/>
      <c r="E523" s="26"/>
      <c r="F523" s="26"/>
      <c r="G523" s="37"/>
      <c r="H523" s="37"/>
      <c r="I523" s="37"/>
      <c r="J523" s="37"/>
      <c r="K523" s="37"/>
      <c r="L523" s="23"/>
      <c r="M523" s="23"/>
    </row>
    <row r="524" ht="15.75" customHeight="1">
      <c r="A524" s="23"/>
      <c r="B524" s="24"/>
      <c r="C524" s="25"/>
      <c r="D524" s="26"/>
      <c r="E524" s="26"/>
      <c r="F524" s="26"/>
      <c r="G524" s="37"/>
      <c r="H524" s="37"/>
      <c r="I524" s="37"/>
      <c r="J524" s="37"/>
      <c r="K524" s="37"/>
      <c r="L524" s="23"/>
      <c r="M524" s="23"/>
    </row>
    <row r="525" ht="15.75" customHeight="1">
      <c r="A525" s="23"/>
      <c r="B525" s="24"/>
      <c r="C525" s="25"/>
      <c r="D525" s="26"/>
      <c r="E525" s="26"/>
      <c r="F525" s="26"/>
      <c r="G525" s="37"/>
      <c r="H525" s="37"/>
      <c r="I525" s="37"/>
      <c r="J525" s="37"/>
      <c r="K525" s="37"/>
      <c r="L525" s="23"/>
      <c r="M525" s="23"/>
    </row>
    <row r="526" ht="15.75" customHeight="1">
      <c r="A526" s="23"/>
      <c r="B526" s="24"/>
      <c r="C526" s="25"/>
      <c r="D526" s="26"/>
      <c r="E526" s="26"/>
      <c r="F526" s="26"/>
      <c r="G526" s="37"/>
      <c r="H526" s="37"/>
      <c r="I526" s="37"/>
      <c r="J526" s="37"/>
      <c r="K526" s="37"/>
      <c r="L526" s="23"/>
      <c r="M526" s="23"/>
    </row>
    <row r="527" ht="15.75" customHeight="1">
      <c r="A527" s="23"/>
      <c r="B527" s="24"/>
      <c r="C527" s="25"/>
      <c r="D527" s="26"/>
      <c r="E527" s="26"/>
      <c r="F527" s="26"/>
      <c r="G527" s="37"/>
      <c r="H527" s="37"/>
      <c r="I527" s="37"/>
      <c r="J527" s="37"/>
      <c r="K527" s="37"/>
      <c r="L527" s="23"/>
      <c r="M527" s="23"/>
    </row>
    <row r="528" ht="15.75" customHeight="1">
      <c r="A528" s="23"/>
      <c r="B528" s="24"/>
      <c r="C528" s="25"/>
      <c r="D528" s="26"/>
      <c r="E528" s="26"/>
      <c r="F528" s="26"/>
      <c r="G528" s="37"/>
      <c r="H528" s="37"/>
      <c r="I528" s="37"/>
      <c r="J528" s="37"/>
      <c r="K528" s="37"/>
      <c r="L528" s="23"/>
      <c r="M528" s="23"/>
    </row>
    <row r="529" ht="15.75" customHeight="1">
      <c r="A529" s="23"/>
      <c r="B529" s="24"/>
      <c r="C529" s="25"/>
      <c r="D529" s="26"/>
      <c r="E529" s="26"/>
      <c r="F529" s="26"/>
      <c r="G529" s="37"/>
      <c r="H529" s="37"/>
      <c r="I529" s="37"/>
      <c r="J529" s="37"/>
      <c r="K529" s="37"/>
      <c r="L529" s="23"/>
      <c r="M529" s="23"/>
    </row>
    <row r="530" ht="15.75" customHeight="1">
      <c r="A530" s="23"/>
      <c r="B530" s="24"/>
      <c r="C530" s="25"/>
      <c r="D530" s="26"/>
      <c r="E530" s="26"/>
      <c r="F530" s="26"/>
      <c r="G530" s="37"/>
      <c r="H530" s="37"/>
      <c r="I530" s="37"/>
      <c r="J530" s="37"/>
      <c r="K530" s="37"/>
      <c r="L530" s="23"/>
      <c r="M530" s="23"/>
    </row>
    <row r="531" ht="15.75" customHeight="1">
      <c r="A531" s="23"/>
      <c r="B531" s="24"/>
      <c r="C531" s="25"/>
      <c r="D531" s="26"/>
      <c r="E531" s="26"/>
      <c r="F531" s="26"/>
      <c r="G531" s="37"/>
      <c r="H531" s="37"/>
      <c r="I531" s="37"/>
      <c r="J531" s="37"/>
      <c r="K531" s="37"/>
      <c r="L531" s="23"/>
      <c r="M531" s="23"/>
    </row>
    <row r="532" ht="15.75" customHeight="1">
      <c r="A532" s="23"/>
      <c r="B532" s="24"/>
      <c r="C532" s="25"/>
      <c r="D532" s="26"/>
      <c r="E532" s="26"/>
      <c r="F532" s="26"/>
      <c r="G532" s="37"/>
      <c r="H532" s="37"/>
      <c r="I532" s="37"/>
      <c r="J532" s="37"/>
      <c r="K532" s="37"/>
      <c r="L532" s="23"/>
      <c r="M532" s="23"/>
    </row>
    <row r="533" ht="15.75" customHeight="1">
      <c r="A533" s="23"/>
      <c r="B533" s="24"/>
      <c r="C533" s="25"/>
      <c r="D533" s="26"/>
      <c r="E533" s="26"/>
      <c r="F533" s="26"/>
      <c r="G533" s="37"/>
      <c r="H533" s="37"/>
      <c r="I533" s="37"/>
      <c r="J533" s="37"/>
      <c r="K533" s="37"/>
      <c r="L533" s="23"/>
      <c r="M533" s="23"/>
    </row>
    <row r="534" ht="15.75" customHeight="1">
      <c r="A534" s="23"/>
      <c r="B534" s="24"/>
      <c r="C534" s="25"/>
      <c r="D534" s="26"/>
      <c r="E534" s="26"/>
      <c r="F534" s="26"/>
      <c r="G534" s="37"/>
      <c r="H534" s="37"/>
      <c r="I534" s="37"/>
      <c r="J534" s="37"/>
      <c r="K534" s="37"/>
      <c r="L534" s="23"/>
      <c r="M534" s="23"/>
    </row>
    <row r="535" ht="15.75" customHeight="1">
      <c r="A535" s="23"/>
      <c r="B535" s="24"/>
      <c r="C535" s="25"/>
      <c r="D535" s="26"/>
      <c r="E535" s="26"/>
      <c r="F535" s="26"/>
      <c r="G535" s="37"/>
      <c r="H535" s="37"/>
      <c r="I535" s="37"/>
      <c r="J535" s="37"/>
      <c r="K535" s="37"/>
      <c r="L535" s="23"/>
      <c r="M535" s="23"/>
    </row>
    <row r="536" ht="15.75" customHeight="1">
      <c r="A536" s="23"/>
      <c r="B536" s="24"/>
      <c r="C536" s="25"/>
      <c r="D536" s="26"/>
      <c r="E536" s="26"/>
      <c r="F536" s="26"/>
      <c r="G536" s="37"/>
      <c r="H536" s="37"/>
      <c r="I536" s="37"/>
      <c r="J536" s="37"/>
      <c r="K536" s="37"/>
      <c r="L536" s="23"/>
      <c r="M536" s="23"/>
    </row>
    <row r="537" ht="15.75" customHeight="1">
      <c r="A537" s="23"/>
      <c r="B537" s="24"/>
      <c r="C537" s="25"/>
      <c r="D537" s="26"/>
      <c r="E537" s="26"/>
      <c r="F537" s="26"/>
      <c r="G537" s="37"/>
      <c r="H537" s="37"/>
      <c r="I537" s="37"/>
      <c r="J537" s="37"/>
      <c r="K537" s="37"/>
      <c r="L537" s="23"/>
      <c r="M537" s="23"/>
    </row>
    <row r="538" ht="15.75" customHeight="1">
      <c r="A538" s="23"/>
      <c r="B538" s="24"/>
      <c r="C538" s="25"/>
      <c r="D538" s="26"/>
      <c r="E538" s="26"/>
      <c r="F538" s="26"/>
      <c r="G538" s="37"/>
      <c r="H538" s="37"/>
      <c r="I538" s="37"/>
      <c r="J538" s="37"/>
      <c r="K538" s="37"/>
      <c r="L538" s="23"/>
      <c r="M538" s="23"/>
    </row>
    <row r="539" ht="15.75" customHeight="1">
      <c r="A539" s="23"/>
      <c r="B539" s="24"/>
      <c r="C539" s="25"/>
      <c r="D539" s="26"/>
      <c r="E539" s="26"/>
      <c r="F539" s="26"/>
      <c r="G539" s="37"/>
      <c r="H539" s="37"/>
      <c r="I539" s="37"/>
      <c r="J539" s="37"/>
      <c r="K539" s="37"/>
      <c r="L539" s="23"/>
      <c r="M539" s="23"/>
    </row>
    <row r="540" ht="15.75" customHeight="1">
      <c r="A540" s="23"/>
      <c r="B540" s="24"/>
      <c r="C540" s="25"/>
      <c r="D540" s="26"/>
      <c r="E540" s="26"/>
      <c r="F540" s="26"/>
      <c r="G540" s="37"/>
      <c r="H540" s="37"/>
      <c r="I540" s="37"/>
      <c r="J540" s="37"/>
      <c r="K540" s="37"/>
      <c r="L540" s="23"/>
      <c r="M540" s="23"/>
    </row>
    <row r="541" ht="15.75" customHeight="1">
      <c r="A541" s="23"/>
      <c r="B541" s="24"/>
      <c r="C541" s="25"/>
      <c r="D541" s="26"/>
      <c r="E541" s="26"/>
      <c r="F541" s="26"/>
      <c r="G541" s="37"/>
      <c r="H541" s="37"/>
      <c r="I541" s="37"/>
      <c r="J541" s="37"/>
      <c r="K541" s="37"/>
      <c r="L541" s="23"/>
      <c r="M541" s="23"/>
    </row>
    <row r="542" ht="15.75" customHeight="1">
      <c r="A542" s="23"/>
      <c r="B542" s="24"/>
      <c r="C542" s="25"/>
      <c r="D542" s="26"/>
      <c r="E542" s="26"/>
      <c r="F542" s="26"/>
      <c r="G542" s="37"/>
      <c r="H542" s="37"/>
      <c r="I542" s="37"/>
      <c r="J542" s="37"/>
      <c r="K542" s="37"/>
      <c r="L542" s="23"/>
      <c r="M542" s="23"/>
    </row>
    <row r="543" ht="15.75" customHeight="1">
      <c r="A543" s="23"/>
      <c r="B543" s="24"/>
      <c r="C543" s="25"/>
      <c r="D543" s="26"/>
      <c r="E543" s="26"/>
      <c r="F543" s="26"/>
      <c r="G543" s="37"/>
      <c r="H543" s="37"/>
      <c r="I543" s="37"/>
      <c r="J543" s="37"/>
      <c r="K543" s="37"/>
      <c r="L543" s="23"/>
      <c r="M543" s="23"/>
    </row>
    <row r="544" ht="15.75" customHeight="1">
      <c r="A544" s="23"/>
      <c r="B544" s="24"/>
      <c r="C544" s="25"/>
      <c r="D544" s="26"/>
      <c r="E544" s="26"/>
      <c r="F544" s="26"/>
      <c r="G544" s="37"/>
      <c r="H544" s="37"/>
      <c r="I544" s="37"/>
      <c r="J544" s="37"/>
      <c r="K544" s="37"/>
      <c r="L544" s="23"/>
      <c r="M544" s="23"/>
    </row>
    <row r="545" ht="15.75" customHeight="1">
      <c r="A545" s="23"/>
      <c r="B545" s="24"/>
      <c r="C545" s="25"/>
      <c r="D545" s="26"/>
      <c r="E545" s="26"/>
      <c r="F545" s="26"/>
      <c r="G545" s="37"/>
      <c r="H545" s="37"/>
      <c r="I545" s="37"/>
      <c r="J545" s="37"/>
      <c r="K545" s="37"/>
      <c r="L545" s="23"/>
      <c r="M545" s="23"/>
    </row>
    <row r="546" ht="15.75" customHeight="1">
      <c r="A546" s="23"/>
      <c r="B546" s="24"/>
      <c r="C546" s="25"/>
      <c r="D546" s="26"/>
      <c r="E546" s="26"/>
      <c r="F546" s="26"/>
      <c r="G546" s="37"/>
      <c r="H546" s="37"/>
      <c r="I546" s="37"/>
      <c r="J546" s="37"/>
      <c r="K546" s="37"/>
      <c r="L546" s="23"/>
      <c r="M546" s="23"/>
    </row>
    <row r="547" ht="15.75" customHeight="1">
      <c r="A547" s="23"/>
      <c r="B547" s="24"/>
      <c r="C547" s="25"/>
      <c r="D547" s="26"/>
      <c r="E547" s="26"/>
      <c r="F547" s="26"/>
      <c r="G547" s="37"/>
      <c r="H547" s="37"/>
      <c r="I547" s="37"/>
      <c r="J547" s="37"/>
      <c r="K547" s="37"/>
      <c r="L547" s="23"/>
      <c r="M547" s="23"/>
    </row>
    <row r="548" ht="15.75" customHeight="1">
      <c r="A548" s="23"/>
      <c r="B548" s="24"/>
      <c r="C548" s="25"/>
      <c r="D548" s="26"/>
      <c r="E548" s="26"/>
      <c r="F548" s="26"/>
      <c r="G548" s="37"/>
      <c r="H548" s="37"/>
      <c r="I548" s="37"/>
      <c r="J548" s="37"/>
      <c r="K548" s="37"/>
      <c r="L548" s="23"/>
      <c r="M548" s="23"/>
    </row>
    <row r="549" ht="15.75" customHeight="1">
      <c r="A549" s="23"/>
      <c r="B549" s="24"/>
      <c r="C549" s="25"/>
      <c r="D549" s="26"/>
      <c r="E549" s="26"/>
      <c r="F549" s="26"/>
      <c r="G549" s="37"/>
      <c r="H549" s="37"/>
      <c r="I549" s="37"/>
      <c r="J549" s="37"/>
      <c r="K549" s="37"/>
      <c r="L549" s="23"/>
      <c r="M549" s="23"/>
    </row>
    <row r="550" ht="15.75" customHeight="1">
      <c r="A550" s="23"/>
      <c r="B550" s="24"/>
      <c r="C550" s="25"/>
      <c r="D550" s="26"/>
      <c r="E550" s="26"/>
      <c r="F550" s="26"/>
      <c r="G550" s="37"/>
      <c r="H550" s="37"/>
      <c r="I550" s="37"/>
      <c r="J550" s="37"/>
      <c r="K550" s="37"/>
      <c r="L550" s="23"/>
      <c r="M550" s="23"/>
    </row>
    <row r="551" ht="15.75" customHeight="1">
      <c r="A551" s="23"/>
      <c r="B551" s="24"/>
      <c r="C551" s="25"/>
      <c r="D551" s="26"/>
      <c r="E551" s="26"/>
      <c r="F551" s="26"/>
      <c r="G551" s="37"/>
      <c r="H551" s="37"/>
      <c r="I551" s="37"/>
      <c r="J551" s="37"/>
      <c r="K551" s="37"/>
      <c r="L551" s="23"/>
      <c r="M551" s="23"/>
    </row>
    <row r="552" ht="15.75" customHeight="1">
      <c r="A552" s="23"/>
      <c r="B552" s="24"/>
      <c r="C552" s="25"/>
      <c r="D552" s="26"/>
      <c r="E552" s="26"/>
      <c r="F552" s="26"/>
      <c r="G552" s="37"/>
      <c r="H552" s="37"/>
      <c r="I552" s="37"/>
      <c r="J552" s="37"/>
      <c r="K552" s="37"/>
      <c r="L552" s="23"/>
      <c r="M552" s="23"/>
    </row>
    <row r="553" ht="15.75" customHeight="1">
      <c r="A553" s="23"/>
      <c r="B553" s="24"/>
      <c r="C553" s="25"/>
      <c r="D553" s="26"/>
      <c r="E553" s="26"/>
      <c r="F553" s="26"/>
      <c r="G553" s="37"/>
      <c r="H553" s="37"/>
      <c r="I553" s="37"/>
      <c r="J553" s="37"/>
      <c r="K553" s="37"/>
      <c r="L553" s="23"/>
      <c r="M553" s="23"/>
    </row>
    <row r="554" ht="15.75" customHeight="1">
      <c r="A554" s="23"/>
      <c r="B554" s="24"/>
      <c r="C554" s="25"/>
      <c r="D554" s="26"/>
      <c r="E554" s="26"/>
      <c r="F554" s="26"/>
      <c r="G554" s="37"/>
      <c r="H554" s="37"/>
      <c r="I554" s="37"/>
      <c r="J554" s="37"/>
      <c r="K554" s="37"/>
      <c r="L554" s="23"/>
      <c r="M554" s="23"/>
    </row>
    <row r="555" ht="15.75" customHeight="1">
      <c r="A555" s="23"/>
      <c r="B555" s="24"/>
      <c r="C555" s="25"/>
      <c r="D555" s="26"/>
      <c r="E555" s="26"/>
      <c r="F555" s="26"/>
      <c r="G555" s="37"/>
      <c r="H555" s="37"/>
      <c r="I555" s="37"/>
      <c r="J555" s="37"/>
      <c r="K555" s="37"/>
      <c r="L555" s="23"/>
      <c r="M555" s="23"/>
    </row>
    <row r="556" ht="15.75" customHeight="1">
      <c r="A556" s="23"/>
      <c r="B556" s="24"/>
      <c r="C556" s="25"/>
      <c r="D556" s="26"/>
      <c r="E556" s="26"/>
      <c r="F556" s="26"/>
      <c r="G556" s="37"/>
      <c r="H556" s="37"/>
      <c r="I556" s="37"/>
      <c r="J556" s="37"/>
      <c r="K556" s="37"/>
      <c r="L556" s="23"/>
      <c r="M556" s="23"/>
    </row>
    <row r="557" ht="15.75" customHeight="1">
      <c r="A557" s="23"/>
      <c r="B557" s="24"/>
      <c r="C557" s="25"/>
      <c r="D557" s="26"/>
      <c r="E557" s="26"/>
      <c r="F557" s="26"/>
      <c r="G557" s="37"/>
      <c r="H557" s="37"/>
      <c r="I557" s="37"/>
      <c r="J557" s="37"/>
      <c r="K557" s="37"/>
      <c r="L557" s="23"/>
      <c r="M557" s="23"/>
    </row>
    <row r="558" ht="15.75" customHeight="1">
      <c r="A558" s="23"/>
      <c r="B558" s="24"/>
      <c r="C558" s="25"/>
      <c r="D558" s="26"/>
      <c r="E558" s="26"/>
      <c r="F558" s="26"/>
      <c r="G558" s="37"/>
      <c r="H558" s="37"/>
      <c r="I558" s="37"/>
      <c r="J558" s="37"/>
      <c r="K558" s="37"/>
      <c r="L558" s="23"/>
      <c r="M558" s="23"/>
    </row>
    <row r="559" ht="15.75" customHeight="1">
      <c r="A559" s="23"/>
      <c r="B559" s="24"/>
      <c r="C559" s="25"/>
      <c r="D559" s="26"/>
      <c r="E559" s="26"/>
      <c r="F559" s="26"/>
      <c r="G559" s="37"/>
      <c r="H559" s="37"/>
      <c r="I559" s="37"/>
      <c r="J559" s="37"/>
      <c r="K559" s="37"/>
      <c r="L559" s="23"/>
      <c r="M559" s="23"/>
    </row>
    <row r="560" ht="15.75" customHeight="1">
      <c r="A560" s="23"/>
      <c r="B560" s="24"/>
      <c r="C560" s="25"/>
      <c r="D560" s="26"/>
      <c r="E560" s="26"/>
      <c r="F560" s="26"/>
      <c r="G560" s="37"/>
      <c r="H560" s="37"/>
      <c r="I560" s="37"/>
      <c r="J560" s="37"/>
      <c r="K560" s="37"/>
      <c r="L560" s="23"/>
      <c r="M560" s="23"/>
    </row>
    <row r="561" ht="15.75" customHeight="1">
      <c r="A561" s="23"/>
      <c r="B561" s="24"/>
      <c r="C561" s="25"/>
      <c r="D561" s="26"/>
      <c r="E561" s="26"/>
      <c r="F561" s="26"/>
      <c r="G561" s="37"/>
      <c r="H561" s="37"/>
      <c r="I561" s="37"/>
      <c r="J561" s="37"/>
      <c r="K561" s="37"/>
      <c r="L561" s="23"/>
      <c r="M561" s="23"/>
    </row>
    <row r="562" ht="15.75" customHeight="1">
      <c r="A562" s="23"/>
      <c r="B562" s="24"/>
      <c r="C562" s="25"/>
      <c r="D562" s="26"/>
      <c r="E562" s="26"/>
      <c r="F562" s="26"/>
      <c r="G562" s="37"/>
      <c r="H562" s="37"/>
      <c r="I562" s="37"/>
      <c r="J562" s="37"/>
      <c r="K562" s="37"/>
      <c r="L562" s="23"/>
      <c r="M562" s="23"/>
    </row>
    <row r="563" ht="15.75" customHeight="1">
      <c r="A563" s="23"/>
      <c r="B563" s="24"/>
      <c r="C563" s="25"/>
      <c r="D563" s="26"/>
      <c r="E563" s="26"/>
      <c r="F563" s="26"/>
      <c r="G563" s="37"/>
      <c r="H563" s="37"/>
      <c r="I563" s="37"/>
      <c r="J563" s="37"/>
      <c r="K563" s="37"/>
      <c r="L563" s="23"/>
      <c r="M563" s="23"/>
    </row>
    <row r="564" ht="15.75" customHeight="1">
      <c r="A564" s="23"/>
      <c r="B564" s="24"/>
      <c r="C564" s="25"/>
      <c r="D564" s="26"/>
      <c r="E564" s="26"/>
      <c r="F564" s="26"/>
      <c r="G564" s="37"/>
      <c r="H564" s="37"/>
      <c r="I564" s="37"/>
      <c r="J564" s="37"/>
      <c r="K564" s="37"/>
      <c r="L564" s="23"/>
      <c r="M564" s="23"/>
    </row>
    <row r="565" ht="15.75" customHeight="1">
      <c r="A565" s="23"/>
      <c r="B565" s="24"/>
      <c r="C565" s="25"/>
      <c r="D565" s="26"/>
      <c r="E565" s="26"/>
      <c r="F565" s="26"/>
      <c r="G565" s="37"/>
      <c r="H565" s="37"/>
      <c r="I565" s="37"/>
      <c r="J565" s="37"/>
      <c r="K565" s="37"/>
      <c r="L565" s="23"/>
      <c r="M565" s="23"/>
    </row>
    <row r="566" ht="15.75" customHeight="1">
      <c r="A566" s="23"/>
      <c r="B566" s="24"/>
      <c r="C566" s="25"/>
      <c r="D566" s="26"/>
      <c r="E566" s="26"/>
      <c r="F566" s="26"/>
      <c r="G566" s="37"/>
      <c r="H566" s="37"/>
      <c r="I566" s="37"/>
      <c r="J566" s="37"/>
      <c r="K566" s="37"/>
      <c r="L566" s="23"/>
      <c r="M566" s="23"/>
    </row>
    <row r="567" ht="15.75" customHeight="1">
      <c r="A567" s="23"/>
      <c r="B567" s="24"/>
      <c r="C567" s="25"/>
      <c r="D567" s="26"/>
      <c r="E567" s="26"/>
      <c r="F567" s="26"/>
      <c r="G567" s="37"/>
      <c r="H567" s="37"/>
      <c r="I567" s="37"/>
      <c r="J567" s="37"/>
      <c r="K567" s="37"/>
      <c r="L567" s="23"/>
      <c r="M567" s="23"/>
    </row>
    <row r="568" ht="15.75" customHeight="1">
      <c r="A568" s="23"/>
      <c r="B568" s="24"/>
      <c r="C568" s="25"/>
      <c r="D568" s="26"/>
      <c r="E568" s="26"/>
      <c r="F568" s="26"/>
      <c r="G568" s="37"/>
      <c r="H568" s="37"/>
      <c r="I568" s="37"/>
      <c r="J568" s="37"/>
      <c r="K568" s="37"/>
      <c r="L568" s="23"/>
      <c r="M568" s="23"/>
    </row>
    <row r="569" ht="15.75" customHeight="1">
      <c r="A569" s="23"/>
      <c r="B569" s="24"/>
      <c r="C569" s="25"/>
      <c r="D569" s="26"/>
      <c r="E569" s="26"/>
      <c r="F569" s="26"/>
      <c r="G569" s="37"/>
      <c r="H569" s="37"/>
      <c r="I569" s="37"/>
      <c r="J569" s="37"/>
      <c r="K569" s="37"/>
      <c r="L569" s="23"/>
      <c r="M569" s="23"/>
    </row>
    <row r="570" ht="15.75" customHeight="1">
      <c r="A570" s="23"/>
      <c r="B570" s="24"/>
      <c r="C570" s="25"/>
      <c r="D570" s="26"/>
      <c r="E570" s="26"/>
      <c r="F570" s="26"/>
      <c r="G570" s="37"/>
      <c r="H570" s="37"/>
      <c r="I570" s="37"/>
      <c r="J570" s="37"/>
      <c r="K570" s="37"/>
      <c r="L570" s="23"/>
      <c r="M570" s="23"/>
    </row>
    <row r="571" ht="15.75" customHeight="1">
      <c r="A571" s="23"/>
      <c r="B571" s="24"/>
      <c r="C571" s="25"/>
      <c r="D571" s="26"/>
      <c r="E571" s="26"/>
      <c r="F571" s="26"/>
      <c r="G571" s="37"/>
      <c r="H571" s="37"/>
      <c r="I571" s="37"/>
      <c r="J571" s="37"/>
      <c r="K571" s="37"/>
      <c r="L571" s="23"/>
      <c r="M571" s="23"/>
    </row>
    <row r="572" ht="15.75" customHeight="1">
      <c r="A572" s="23"/>
      <c r="B572" s="24"/>
      <c r="C572" s="25"/>
      <c r="D572" s="26"/>
      <c r="E572" s="26"/>
      <c r="F572" s="26"/>
      <c r="G572" s="37"/>
      <c r="H572" s="37"/>
      <c r="I572" s="37"/>
      <c r="J572" s="37"/>
      <c r="K572" s="37"/>
      <c r="L572" s="23"/>
      <c r="M572" s="23"/>
    </row>
    <row r="573" ht="15.75" customHeight="1">
      <c r="A573" s="23"/>
      <c r="B573" s="24"/>
      <c r="C573" s="25"/>
      <c r="D573" s="26"/>
      <c r="E573" s="26"/>
      <c r="F573" s="26"/>
      <c r="G573" s="37"/>
      <c r="H573" s="37"/>
      <c r="I573" s="37"/>
      <c r="J573" s="37"/>
      <c r="K573" s="37"/>
      <c r="L573" s="23"/>
      <c r="M573" s="23"/>
    </row>
    <row r="574" ht="15.75" customHeight="1">
      <c r="A574" s="23"/>
      <c r="B574" s="24"/>
      <c r="C574" s="25"/>
      <c r="D574" s="26"/>
      <c r="E574" s="26"/>
      <c r="F574" s="26"/>
      <c r="G574" s="37"/>
      <c r="H574" s="37"/>
      <c r="I574" s="37"/>
      <c r="J574" s="37"/>
      <c r="K574" s="37"/>
      <c r="L574" s="23"/>
      <c r="M574" s="23"/>
    </row>
    <row r="575" ht="15.75" customHeight="1">
      <c r="A575" s="23"/>
      <c r="B575" s="24"/>
      <c r="C575" s="25"/>
      <c r="D575" s="26"/>
      <c r="E575" s="26"/>
      <c r="F575" s="26"/>
      <c r="G575" s="37"/>
      <c r="H575" s="37"/>
      <c r="I575" s="37"/>
      <c r="J575" s="37"/>
      <c r="K575" s="37"/>
      <c r="L575" s="23"/>
      <c r="M575" s="23"/>
    </row>
    <row r="576" ht="15.75" customHeight="1">
      <c r="A576" s="23"/>
      <c r="B576" s="24"/>
      <c r="C576" s="25"/>
      <c r="D576" s="26"/>
      <c r="E576" s="26"/>
      <c r="F576" s="26"/>
      <c r="G576" s="37"/>
      <c r="H576" s="37"/>
      <c r="I576" s="37"/>
      <c r="J576" s="37"/>
      <c r="K576" s="37"/>
      <c r="L576" s="23"/>
      <c r="M576" s="23"/>
    </row>
    <row r="577" ht="15.75" customHeight="1">
      <c r="A577" s="23"/>
      <c r="B577" s="24"/>
      <c r="C577" s="25"/>
      <c r="D577" s="26"/>
      <c r="E577" s="26"/>
      <c r="F577" s="26"/>
      <c r="G577" s="37"/>
      <c r="H577" s="37"/>
      <c r="I577" s="37"/>
      <c r="J577" s="37"/>
      <c r="K577" s="37"/>
      <c r="L577" s="23"/>
      <c r="M577" s="23"/>
    </row>
    <row r="578" ht="15.75" customHeight="1">
      <c r="A578" s="23"/>
      <c r="B578" s="24"/>
      <c r="C578" s="25"/>
      <c r="D578" s="26"/>
      <c r="E578" s="26"/>
      <c r="F578" s="26"/>
      <c r="G578" s="37"/>
      <c r="H578" s="37"/>
      <c r="I578" s="37"/>
      <c r="J578" s="37"/>
      <c r="K578" s="37"/>
      <c r="L578" s="23"/>
      <c r="M578" s="23"/>
    </row>
    <row r="579" ht="15.75" customHeight="1">
      <c r="A579" s="23"/>
      <c r="B579" s="24"/>
      <c r="C579" s="25"/>
      <c r="D579" s="26"/>
      <c r="E579" s="26"/>
      <c r="F579" s="26"/>
      <c r="G579" s="37"/>
      <c r="H579" s="37"/>
      <c r="I579" s="37"/>
      <c r="J579" s="37"/>
      <c r="K579" s="37"/>
      <c r="L579" s="23"/>
      <c r="M579" s="23"/>
    </row>
    <row r="580" ht="15.75" customHeight="1">
      <c r="A580" s="23"/>
      <c r="B580" s="24"/>
      <c r="C580" s="25"/>
      <c r="D580" s="26"/>
      <c r="E580" s="26"/>
      <c r="F580" s="26"/>
      <c r="G580" s="37"/>
      <c r="H580" s="37"/>
      <c r="I580" s="37"/>
      <c r="J580" s="37"/>
      <c r="K580" s="37"/>
      <c r="L580" s="23"/>
      <c r="M580" s="23"/>
    </row>
    <row r="581" ht="15.75" customHeight="1">
      <c r="A581" s="23"/>
      <c r="B581" s="24"/>
      <c r="C581" s="25"/>
      <c r="D581" s="26"/>
      <c r="E581" s="26"/>
      <c r="F581" s="26"/>
      <c r="G581" s="37"/>
      <c r="H581" s="37"/>
      <c r="I581" s="37"/>
      <c r="J581" s="37"/>
      <c r="K581" s="37"/>
      <c r="L581" s="23"/>
      <c r="M581" s="23"/>
    </row>
    <row r="582" ht="15.75" customHeight="1">
      <c r="A582" s="23"/>
      <c r="B582" s="24"/>
      <c r="C582" s="25"/>
      <c r="D582" s="26"/>
      <c r="E582" s="26"/>
      <c r="F582" s="26"/>
      <c r="G582" s="37"/>
      <c r="H582" s="37"/>
      <c r="I582" s="37"/>
      <c r="J582" s="37"/>
      <c r="K582" s="37"/>
      <c r="L582" s="23"/>
      <c r="M582" s="23"/>
    </row>
    <row r="583" ht="15.75" customHeight="1">
      <c r="A583" s="23"/>
      <c r="B583" s="24"/>
      <c r="C583" s="25"/>
      <c r="D583" s="26"/>
      <c r="E583" s="26"/>
      <c r="F583" s="26"/>
      <c r="G583" s="37"/>
      <c r="H583" s="37"/>
      <c r="I583" s="37"/>
      <c r="J583" s="37"/>
      <c r="K583" s="37"/>
      <c r="L583" s="23"/>
      <c r="M583" s="23"/>
    </row>
    <row r="584" ht="15.75" customHeight="1">
      <c r="A584" s="23"/>
      <c r="B584" s="24"/>
      <c r="C584" s="25"/>
      <c r="D584" s="26"/>
      <c r="E584" s="26"/>
      <c r="F584" s="26"/>
      <c r="G584" s="37"/>
      <c r="H584" s="37"/>
      <c r="I584" s="37"/>
      <c r="J584" s="37"/>
      <c r="K584" s="37"/>
      <c r="L584" s="23"/>
      <c r="M584" s="23"/>
    </row>
    <row r="585" ht="15.75" customHeight="1">
      <c r="A585" s="23"/>
      <c r="B585" s="24"/>
      <c r="C585" s="25"/>
      <c r="D585" s="26"/>
      <c r="E585" s="26"/>
      <c r="F585" s="26"/>
      <c r="G585" s="37"/>
      <c r="H585" s="37"/>
      <c r="I585" s="37"/>
      <c r="J585" s="37"/>
      <c r="K585" s="37"/>
      <c r="L585" s="23"/>
      <c r="M585" s="23"/>
    </row>
    <row r="586" ht="15.75" customHeight="1">
      <c r="A586" s="23"/>
      <c r="B586" s="24"/>
      <c r="C586" s="25"/>
      <c r="D586" s="26"/>
      <c r="E586" s="26"/>
      <c r="F586" s="26"/>
      <c r="G586" s="37"/>
      <c r="H586" s="37"/>
      <c r="I586" s="37"/>
      <c r="J586" s="37"/>
      <c r="K586" s="37"/>
      <c r="L586" s="23"/>
      <c r="M586" s="23"/>
    </row>
    <row r="587" ht="15.75" customHeight="1">
      <c r="A587" s="23"/>
      <c r="B587" s="24"/>
      <c r="C587" s="25"/>
      <c r="D587" s="26"/>
      <c r="E587" s="26"/>
      <c r="F587" s="26"/>
      <c r="G587" s="37"/>
      <c r="H587" s="37"/>
      <c r="I587" s="37"/>
      <c r="J587" s="37"/>
      <c r="K587" s="37"/>
      <c r="L587" s="23"/>
      <c r="M587" s="23"/>
    </row>
    <row r="588" ht="15.75" customHeight="1">
      <c r="A588" s="23"/>
      <c r="B588" s="24"/>
      <c r="C588" s="25"/>
      <c r="D588" s="26"/>
      <c r="E588" s="26"/>
      <c r="F588" s="26"/>
      <c r="G588" s="37"/>
      <c r="H588" s="37"/>
      <c r="I588" s="37"/>
      <c r="J588" s="37"/>
      <c r="K588" s="37"/>
      <c r="L588" s="23"/>
      <c r="M588" s="23"/>
    </row>
    <row r="589" ht="15.75" customHeight="1">
      <c r="A589" s="23"/>
      <c r="B589" s="24"/>
      <c r="C589" s="25"/>
      <c r="D589" s="26"/>
      <c r="E589" s="26"/>
      <c r="F589" s="26"/>
      <c r="G589" s="37"/>
      <c r="H589" s="37"/>
      <c r="I589" s="37"/>
      <c r="J589" s="37"/>
      <c r="K589" s="37"/>
      <c r="L589" s="23"/>
      <c r="M589" s="23"/>
    </row>
    <row r="590" ht="15.75" customHeight="1">
      <c r="A590" s="23"/>
      <c r="B590" s="24"/>
      <c r="C590" s="25"/>
      <c r="D590" s="26"/>
      <c r="E590" s="26"/>
      <c r="F590" s="26"/>
      <c r="G590" s="37"/>
      <c r="H590" s="37"/>
      <c r="I590" s="37"/>
      <c r="J590" s="37"/>
      <c r="K590" s="37"/>
      <c r="L590" s="23"/>
      <c r="M590" s="23"/>
    </row>
    <row r="591" ht="15.75" customHeight="1">
      <c r="A591" s="23"/>
      <c r="B591" s="24"/>
      <c r="C591" s="25"/>
      <c r="D591" s="26"/>
      <c r="E591" s="26"/>
      <c r="F591" s="26"/>
      <c r="G591" s="37"/>
      <c r="H591" s="37"/>
      <c r="I591" s="37"/>
      <c r="J591" s="37"/>
      <c r="K591" s="37"/>
      <c r="L591" s="23"/>
      <c r="M591" s="23"/>
    </row>
    <row r="592" ht="15.75" customHeight="1">
      <c r="A592" s="23"/>
      <c r="B592" s="24"/>
      <c r="C592" s="25"/>
      <c r="D592" s="26"/>
      <c r="E592" s="26"/>
      <c r="F592" s="26"/>
      <c r="G592" s="37"/>
      <c r="H592" s="37"/>
      <c r="I592" s="37"/>
      <c r="J592" s="37"/>
      <c r="K592" s="37"/>
      <c r="L592" s="23"/>
      <c r="M592" s="23"/>
    </row>
    <row r="593" ht="15.75" customHeight="1">
      <c r="A593" s="23"/>
      <c r="B593" s="24"/>
      <c r="C593" s="25"/>
      <c r="D593" s="26"/>
      <c r="E593" s="26"/>
      <c r="F593" s="26"/>
      <c r="G593" s="37"/>
      <c r="H593" s="37"/>
      <c r="I593" s="37"/>
      <c r="J593" s="37"/>
      <c r="K593" s="37"/>
      <c r="L593" s="23"/>
      <c r="M593" s="23"/>
    </row>
    <row r="594" ht="15.75" customHeight="1">
      <c r="A594" s="23"/>
      <c r="B594" s="24"/>
      <c r="C594" s="25"/>
      <c r="D594" s="26"/>
      <c r="E594" s="26"/>
      <c r="F594" s="26"/>
      <c r="G594" s="37"/>
      <c r="H594" s="37"/>
      <c r="I594" s="37"/>
      <c r="J594" s="37"/>
      <c r="K594" s="37"/>
      <c r="L594" s="23"/>
      <c r="M594" s="23"/>
    </row>
    <row r="595" ht="15.75" customHeight="1">
      <c r="A595" s="23"/>
      <c r="B595" s="24"/>
      <c r="C595" s="25"/>
      <c r="D595" s="26"/>
      <c r="E595" s="26"/>
      <c r="F595" s="26"/>
      <c r="G595" s="37"/>
      <c r="H595" s="37"/>
      <c r="I595" s="37"/>
      <c r="J595" s="37"/>
      <c r="K595" s="37"/>
      <c r="L595" s="23"/>
      <c r="M595" s="23"/>
    </row>
    <row r="596" ht="15.75" customHeight="1">
      <c r="A596" s="23"/>
      <c r="B596" s="24"/>
      <c r="C596" s="25"/>
      <c r="D596" s="26"/>
      <c r="E596" s="26"/>
      <c r="F596" s="26"/>
      <c r="G596" s="37"/>
      <c r="H596" s="37"/>
      <c r="I596" s="37"/>
      <c r="J596" s="37"/>
      <c r="K596" s="37"/>
      <c r="L596" s="23"/>
      <c r="M596" s="23"/>
    </row>
    <row r="597" ht="15.75" customHeight="1">
      <c r="A597" s="23"/>
      <c r="B597" s="24"/>
      <c r="C597" s="25"/>
      <c r="D597" s="26"/>
      <c r="E597" s="26"/>
      <c r="F597" s="26"/>
      <c r="G597" s="37"/>
      <c r="H597" s="37"/>
      <c r="I597" s="37"/>
      <c r="J597" s="37"/>
      <c r="K597" s="37"/>
      <c r="L597" s="23"/>
      <c r="M597" s="23"/>
    </row>
    <row r="598" ht="15.75" customHeight="1">
      <c r="A598" s="23"/>
      <c r="B598" s="24"/>
      <c r="C598" s="25"/>
      <c r="D598" s="26"/>
      <c r="E598" s="26"/>
      <c r="F598" s="26"/>
      <c r="G598" s="37"/>
      <c r="H598" s="37"/>
      <c r="I598" s="37"/>
      <c r="J598" s="37"/>
      <c r="K598" s="37"/>
      <c r="L598" s="23"/>
      <c r="M598" s="23"/>
    </row>
    <row r="599" ht="15.75" customHeight="1">
      <c r="A599" s="23"/>
      <c r="B599" s="24"/>
      <c r="C599" s="25"/>
      <c r="D599" s="26"/>
      <c r="E599" s="26"/>
      <c r="F599" s="26"/>
      <c r="G599" s="37"/>
      <c r="H599" s="37"/>
      <c r="I599" s="37"/>
      <c r="J599" s="37"/>
      <c r="K599" s="37"/>
      <c r="L599" s="23"/>
      <c r="M599" s="23"/>
    </row>
    <row r="600" ht="15.75" customHeight="1">
      <c r="A600" s="23"/>
      <c r="B600" s="24"/>
      <c r="C600" s="25"/>
      <c r="D600" s="26"/>
      <c r="E600" s="26"/>
      <c r="F600" s="26"/>
      <c r="G600" s="37"/>
      <c r="H600" s="37"/>
      <c r="I600" s="37"/>
      <c r="J600" s="37"/>
      <c r="K600" s="37"/>
      <c r="L600" s="23"/>
      <c r="M600" s="23"/>
    </row>
    <row r="601" ht="15.75" customHeight="1">
      <c r="A601" s="23"/>
      <c r="B601" s="24"/>
      <c r="C601" s="25"/>
      <c r="D601" s="26"/>
      <c r="E601" s="26"/>
      <c r="F601" s="26"/>
      <c r="G601" s="37"/>
      <c r="H601" s="37"/>
      <c r="I601" s="37"/>
      <c r="J601" s="37"/>
      <c r="K601" s="37"/>
      <c r="L601" s="23"/>
      <c r="M601" s="23"/>
    </row>
    <row r="602" ht="15.75" customHeight="1">
      <c r="A602" s="23"/>
      <c r="B602" s="24"/>
      <c r="C602" s="25"/>
      <c r="D602" s="26"/>
      <c r="E602" s="26"/>
      <c r="F602" s="26"/>
      <c r="G602" s="37"/>
      <c r="H602" s="37"/>
      <c r="I602" s="37"/>
      <c r="J602" s="37"/>
      <c r="K602" s="37"/>
      <c r="L602" s="23"/>
      <c r="M602" s="23"/>
    </row>
    <row r="603" ht="15.75" customHeight="1">
      <c r="A603" s="23"/>
      <c r="B603" s="24"/>
      <c r="C603" s="25"/>
      <c r="D603" s="26"/>
      <c r="E603" s="26"/>
      <c r="F603" s="26"/>
      <c r="G603" s="37"/>
      <c r="H603" s="37"/>
      <c r="I603" s="37"/>
      <c r="J603" s="37"/>
      <c r="K603" s="37"/>
      <c r="L603" s="23"/>
      <c r="M603" s="23"/>
    </row>
    <row r="604" ht="15.75" customHeight="1">
      <c r="A604" s="23"/>
      <c r="B604" s="24"/>
      <c r="C604" s="25"/>
      <c r="D604" s="26"/>
      <c r="E604" s="26"/>
      <c r="F604" s="26"/>
      <c r="G604" s="37"/>
      <c r="H604" s="37"/>
      <c r="I604" s="37"/>
      <c r="J604" s="37"/>
      <c r="K604" s="37"/>
      <c r="L604" s="23"/>
      <c r="M604" s="23"/>
    </row>
    <row r="605" ht="15.75" customHeight="1">
      <c r="A605" s="23"/>
      <c r="B605" s="24"/>
      <c r="C605" s="25"/>
      <c r="D605" s="26"/>
      <c r="E605" s="26"/>
      <c r="F605" s="26"/>
      <c r="G605" s="37"/>
      <c r="H605" s="37"/>
      <c r="I605" s="37"/>
      <c r="J605" s="37"/>
      <c r="K605" s="37"/>
      <c r="L605" s="23"/>
      <c r="M605" s="23"/>
    </row>
    <row r="606" ht="15.75" customHeight="1">
      <c r="A606" s="23"/>
      <c r="B606" s="24"/>
      <c r="C606" s="25"/>
      <c r="D606" s="26"/>
      <c r="E606" s="26"/>
      <c r="F606" s="26"/>
      <c r="G606" s="37"/>
      <c r="H606" s="37"/>
      <c r="I606" s="37"/>
      <c r="J606" s="37"/>
      <c r="K606" s="37"/>
      <c r="L606" s="23"/>
      <c r="M606" s="23"/>
    </row>
    <row r="607" ht="15.75" customHeight="1">
      <c r="A607" s="23"/>
      <c r="B607" s="24"/>
      <c r="C607" s="25"/>
      <c r="D607" s="26"/>
      <c r="E607" s="26"/>
      <c r="F607" s="26"/>
      <c r="G607" s="37"/>
      <c r="H607" s="37"/>
      <c r="I607" s="37"/>
      <c r="J607" s="37"/>
      <c r="K607" s="37"/>
      <c r="L607" s="23"/>
      <c r="M607" s="23"/>
    </row>
    <row r="608" ht="15.75" customHeight="1">
      <c r="A608" s="23"/>
      <c r="B608" s="24"/>
      <c r="C608" s="25"/>
      <c r="D608" s="26"/>
      <c r="E608" s="26"/>
      <c r="F608" s="26"/>
      <c r="G608" s="37"/>
      <c r="H608" s="37"/>
      <c r="I608" s="37"/>
      <c r="J608" s="37"/>
      <c r="K608" s="37"/>
      <c r="L608" s="23"/>
      <c r="M608" s="23"/>
    </row>
    <row r="609" ht="15.75" customHeight="1">
      <c r="A609" s="23"/>
      <c r="B609" s="24"/>
      <c r="C609" s="25"/>
      <c r="D609" s="26"/>
      <c r="E609" s="26"/>
      <c r="F609" s="26"/>
      <c r="G609" s="37"/>
      <c r="H609" s="37"/>
      <c r="I609" s="37"/>
      <c r="J609" s="37"/>
      <c r="K609" s="37"/>
      <c r="L609" s="23"/>
      <c r="M609" s="23"/>
    </row>
    <row r="610" ht="15.75" customHeight="1">
      <c r="A610" s="23"/>
      <c r="B610" s="24"/>
      <c r="C610" s="25"/>
      <c r="D610" s="26"/>
      <c r="E610" s="26"/>
      <c r="F610" s="26"/>
      <c r="G610" s="37"/>
      <c r="H610" s="37"/>
      <c r="I610" s="37"/>
      <c r="J610" s="37"/>
      <c r="K610" s="37"/>
      <c r="L610" s="23"/>
      <c r="M610" s="23"/>
    </row>
    <row r="611" ht="15.75" customHeight="1">
      <c r="A611" s="23"/>
      <c r="B611" s="24"/>
      <c r="C611" s="25"/>
      <c r="D611" s="26"/>
      <c r="E611" s="26"/>
      <c r="F611" s="26"/>
      <c r="G611" s="37"/>
      <c r="H611" s="37"/>
      <c r="I611" s="37"/>
      <c r="J611" s="37"/>
      <c r="K611" s="37"/>
      <c r="L611" s="23"/>
      <c r="M611" s="23"/>
    </row>
    <row r="612" ht="15.75" customHeight="1">
      <c r="A612" s="23"/>
      <c r="B612" s="24"/>
      <c r="C612" s="25"/>
      <c r="D612" s="26"/>
      <c r="E612" s="26"/>
      <c r="F612" s="26"/>
      <c r="G612" s="37"/>
      <c r="H612" s="37"/>
      <c r="I612" s="37"/>
      <c r="J612" s="37"/>
      <c r="K612" s="37"/>
      <c r="L612" s="23"/>
      <c r="M612" s="23"/>
    </row>
    <row r="613" ht="15.75" customHeight="1">
      <c r="A613" s="23"/>
      <c r="B613" s="24"/>
      <c r="C613" s="25"/>
      <c r="D613" s="26"/>
      <c r="E613" s="26"/>
      <c r="F613" s="26"/>
      <c r="G613" s="37"/>
      <c r="H613" s="37"/>
      <c r="I613" s="37"/>
      <c r="J613" s="37"/>
      <c r="K613" s="37"/>
      <c r="L613" s="23"/>
      <c r="M613" s="23"/>
    </row>
    <row r="614" ht="15.75" customHeight="1">
      <c r="A614" s="23"/>
      <c r="B614" s="24"/>
      <c r="C614" s="25"/>
      <c r="D614" s="26"/>
      <c r="E614" s="26"/>
      <c r="F614" s="26"/>
      <c r="G614" s="37"/>
      <c r="H614" s="37"/>
      <c r="I614" s="37"/>
      <c r="J614" s="37"/>
      <c r="K614" s="37"/>
      <c r="L614" s="23"/>
      <c r="M614" s="23"/>
    </row>
    <row r="615" ht="15.75" customHeight="1">
      <c r="A615" s="23"/>
      <c r="B615" s="24"/>
      <c r="C615" s="25"/>
      <c r="D615" s="26"/>
      <c r="E615" s="26"/>
      <c r="F615" s="26"/>
      <c r="G615" s="37"/>
      <c r="H615" s="37"/>
      <c r="I615" s="37"/>
      <c r="J615" s="37"/>
      <c r="K615" s="37"/>
      <c r="L615" s="23"/>
      <c r="M615" s="23"/>
    </row>
    <row r="616" ht="15.75" customHeight="1">
      <c r="A616" s="23"/>
      <c r="B616" s="24"/>
      <c r="C616" s="25"/>
      <c r="D616" s="26"/>
      <c r="E616" s="26"/>
      <c r="F616" s="26"/>
      <c r="G616" s="37"/>
      <c r="H616" s="37"/>
      <c r="I616" s="37"/>
      <c r="J616" s="37"/>
      <c r="K616" s="37"/>
      <c r="L616" s="23"/>
      <c r="M616" s="23"/>
    </row>
    <row r="617" ht="15.75" customHeight="1">
      <c r="A617" s="23"/>
      <c r="B617" s="24"/>
      <c r="C617" s="25"/>
      <c r="D617" s="26"/>
      <c r="E617" s="26"/>
      <c r="F617" s="26"/>
      <c r="G617" s="37"/>
      <c r="H617" s="37"/>
      <c r="I617" s="37"/>
      <c r="J617" s="37"/>
      <c r="K617" s="37"/>
      <c r="L617" s="23"/>
      <c r="M617" s="23"/>
    </row>
    <row r="618" ht="15.75" customHeight="1">
      <c r="A618" s="23"/>
      <c r="B618" s="24"/>
      <c r="C618" s="25"/>
      <c r="D618" s="26"/>
      <c r="E618" s="26"/>
      <c r="F618" s="26"/>
      <c r="G618" s="37"/>
      <c r="H618" s="37"/>
      <c r="I618" s="37"/>
      <c r="J618" s="37"/>
      <c r="K618" s="37"/>
      <c r="L618" s="23"/>
      <c r="M618" s="23"/>
    </row>
    <row r="619" ht="15.75" customHeight="1">
      <c r="A619" s="23"/>
      <c r="B619" s="24"/>
      <c r="C619" s="25"/>
      <c r="D619" s="26"/>
      <c r="E619" s="26"/>
      <c r="F619" s="26"/>
      <c r="G619" s="37"/>
      <c r="H619" s="37"/>
      <c r="I619" s="37"/>
      <c r="J619" s="37"/>
      <c r="K619" s="37"/>
      <c r="L619" s="23"/>
      <c r="M619" s="23"/>
    </row>
    <row r="620" ht="15.75" customHeight="1">
      <c r="A620" s="23"/>
      <c r="B620" s="24"/>
      <c r="C620" s="25"/>
      <c r="D620" s="26"/>
      <c r="E620" s="26"/>
      <c r="F620" s="26"/>
      <c r="G620" s="37"/>
      <c r="H620" s="37"/>
      <c r="I620" s="37"/>
      <c r="J620" s="37"/>
      <c r="K620" s="37"/>
      <c r="L620" s="23"/>
      <c r="M620" s="23"/>
    </row>
    <row r="621" ht="15.75" customHeight="1">
      <c r="A621" s="23"/>
      <c r="B621" s="24"/>
      <c r="C621" s="25"/>
      <c r="D621" s="26"/>
      <c r="E621" s="26"/>
      <c r="F621" s="26"/>
      <c r="G621" s="37"/>
      <c r="H621" s="37"/>
      <c r="I621" s="37"/>
      <c r="J621" s="37"/>
      <c r="K621" s="37"/>
      <c r="L621" s="23"/>
      <c r="M621" s="23"/>
    </row>
    <row r="622" ht="15.75" customHeight="1">
      <c r="A622" s="23"/>
      <c r="B622" s="24"/>
      <c r="C622" s="25"/>
      <c r="D622" s="26"/>
      <c r="E622" s="26"/>
      <c r="F622" s="26"/>
      <c r="G622" s="37"/>
      <c r="H622" s="37"/>
      <c r="I622" s="37"/>
      <c r="J622" s="37"/>
      <c r="K622" s="37"/>
      <c r="L622" s="23"/>
      <c r="M622" s="23"/>
    </row>
    <row r="623" ht="15.75" customHeight="1">
      <c r="A623" s="23"/>
      <c r="B623" s="24"/>
      <c r="C623" s="25"/>
      <c r="D623" s="26"/>
      <c r="E623" s="26"/>
      <c r="F623" s="26"/>
      <c r="G623" s="37"/>
      <c r="H623" s="37"/>
      <c r="I623" s="37"/>
      <c r="J623" s="37"/>
      <c r="K623" s="37"/>
      <c r="L623" s="23"/>
      <c r="M623" s="23"/>
    </row>
    <row r="624" ht="15.75" customHeight="1">
      <c r="A624" s="23"/>
      <c r="B624" s="24"/>
      <c r="C624" s="25"/>
      <c r="D624" s="26"/>
      <c r="E624" s="26"/>
      <c r="F624" s="26"/>
      <c r="G624" s="37"/>
      <c r="H624" s="37"/>
      <c r="I624" s="37"/>
      <c r="J624" s="37"/>
      <c r="K624" s="37"/>
      <c r="L624" s="23"/>
      <c r="M624" s="23"/>
    </row>
    <row r="625" ht="15.75" customHeight="1">
      <c r="A625" s="23"/>
      <c r="B625" s="24"/>
      <c r="C625" s="25"/>
      <c r="D625" s="26"/>
      <c r="E625" s="26"/>
      <c r="F625" s="26"/>
      <c r="G625" s="37"/>
      <c r="H625" s="37"/>
      <c r="I625" s="37"/>
      <c r="J625" s="37"/>
      <c r="K625" s="37"/>
      <c r="L625" s="23"/>
      <c r="M625" s="23"/>
    </row>
    <row r="626" ht="15.75" customHeight="1">
      <c r="A626" s="23"/>
      <c r="B626" s="24"/>
      <c r="C626" s="25"/>
      <c r="D626" s="26"/>
      <c r="E626" s="26"/>
      <c r="F626" s="26"/>
      <c r="G626" s="37"/>
      <c r="H626" s="37"/>
      <c r="I626" s="37"/>
      <c r="J626" s="37"/>
      <c r="K626" s="37"/>
      <c r="L626" s="23"/>
      <c r="M626" s="23"/>
    </row>
    <row r="627" ht="15.75" customHeight="1">
      <c r="A627" s="23"/>
      <c r="B627" s="24"/>
      <c r="C627" s="25"/>
      <c r="D627" s="26"/>
      <c r="E627" s="26"/>
      <c r="F627" s="26"/>
      <c r="G627" s="37"/>
      <c r="H627" s="37"/>
      <c r="I627" s="37"/>
      <c r="J627" s="37"/>
      <c r="K627" s="37"/>
      <c r="L627" s="23"/>
      <c r="M627" s="23"/>
    </row>
    <row r="628" ht="15.75" customHeight="1">
      <c r="A628" s="23"/>
      <c r="B628" s="24"/>
      <c r="C628" s="25"/>
      <c r="D628" s="26"/>
      <c r="E628" s="26"/>
      <c r="F628" s="26"/>
      <c r="G628" s="37"/>
      <c r="H628" s="37"/>
      <c r="I628" s="37"/>
      <c r="J628" s="37"/>
      <c r="K628" s="37"/>
      <c r="L628" s="23"/>
      <c r="M628" s="23"/>
    </row>
    <row r="629" ht="15.75" customHeight="1">
      <c r="A629" s="23"/>
      <c r="B629" s="24"/>
      <c r="C629" s="25"/>
      <c r="D629" s="26"/>
      <c r="E629" s="26"/>
      <c r="F629" s="26"/>
      <c r="G629" s="37"/>
      <c r="H629" s="37"/>
      <c r="I629" s="37"/>
      <c r="J629" s="37"/>
      <c r="K629" s="37"/>
      <c r="L629" s="23"/>
      <c r="M629" s="23"/>
    </row>
    <row r="630" ht="15.75" customHeight="1">
      <c r="A630" s="23"/>
      <c r="B630" s="24"/>
      <c r="C630" s="25"/>
      <c r="D630" s="26"/>
      <c r="E630" s="26"/>
      <c r="F630" s="26"/>
      <c r="G630" s="37"/>
      <c r="H630" s="37"/>
      <c r="I630" s="37"/>
      <c r="J630" s="37"/>
      <c r="K630" s="37"/>
      <c r="L630" s="23"/>
      <c r="M630" s="23"/>
    </row>
    <row r="631" ht="15.75" customHeight="1">
      <c r="A631" s="23"/>
      <c r="B631" s="24"/>
      <c r="C631" s="25"/>
      <c r="D631" s="26"/>
      <c r="E631" s="26"/>
      <c r="F631" s="26"/>
      <c r="G631" s="37"/>
      <c r="H631" s="37"/>
      <c r="I631" s="37"/>
      <c r="J631" s="37"/>
      <c r="K631" s="37"/>
      <c r="L631" s="23"/>
      <c r="M631" s="23"/>
    </row>
    <row r="632" ht="15.75" customHeight="1">
      <c r="A632" s="23"/>
      <c r="B632" s="24"/>
      <c r="C632" s="25"/>
      <c r="D632" s="26"/>
      <c r="E632" s="26"/>
      <c r="F632" s="26"/>
      <c r="G632" s="37"/>
      <c r="H632" s="37"/>
      <c r="I632" s="37"/>
      <c r="J632" s="37"/>
      <c r="K632" s="37"/>
      <c r="L632" s="23"/>
      <c r="M632" s="23"/>
    </row>
    <row r="633" ht="15.75" customHeight="1">
      <c r="A633" s="23"/>
      <c r="B633" s="24"/>
      <c r="C633" s="25"/>
      <c r="D633" s="26"/>
      <c r="E633" s="26"/>
      <c r="F633" s="26"/>
      <c r="G633" s="37"/>
      <c r="H633" s="37"/>
      <c r="I633" s="37"/>
      <c r="J633" s="37"/>
      <c r="K633" s="37"/>
      <c r="L633" s="23"/>
      <c r="M633" s="23"/>
    </row>
    <row r="634" ht="15.75" customHeight="1">
      <c r="A634" s="23"/>
      <c r="B634" s="24"/>
      <c r="C634" s="25"/>
      <c r="D634" s="26"/>
      <c r="E634" s="26"/>
      <c r="F634" s="26"/>
      <c r="G634" s="37"/>
      <c r="H634" s="37"/>
      <c r="I634" s="37"/>
      <c r="J634" s="37"/>
      <c r="K634" s="37"/>
      <c r="L634" s="23"/>
      <c r="M634" s="23"/>
    </row>
    <row r="635" ht="15.75" customHeight="1">
      <c r="A635" s="23"/>
      <c r="B635" s="24"/>
      <c r="C635" s="25"/>
      <c r="D635" s="26"/>
      <c r="E635" s="26"/>
      <c r="F635" s="26"/>
      <c r="G635" s="37"/>
      <c r="H635" s="37"/>
      <c r="I635" s="37"/>
      <c r="J635" s="37"/>
      <c r="K635" s="37"/>
      <c r="L635" s="23"/>
      <c r="M635" s="23"/>
    </row>
    <row r="636" ht="15.75" customHeight="1">
      <c r="A636" s="23"/>
      <c r="B636" s="24"/>
      <c r="C636" s="25"/>
      <c r="D636" s="26"/>
      <c r="E636" s="26"/>
      <c r="F636" s="26"/>
      <c r="G636" s="37"/>
      <c r="H636" s="37"/>
      <c r="I636" s="37"/>
      <c r="J636" s="37"/>
      <c r="K636" s="37"/>
      <c r="L636" s="23"/>
      <c r="M636" s="23"/>
    </row>
    <row r="637" ht="15.75" customHeight="1">
      <c r="A637" s="23"/>
      <c r="B637" s="24"/>
      <c r="C637" s="25"/>
      <c r="D637" s="26"/>
      <c r="E637" s="26"/>
      <c r="F637" s="26"/>
      <c r="G637" s="37"/>
      <c r="H637" s="37"/>
      <c r="I637" s="37"/>
      <c r="J637" s="37"/>
      <c r="K637" s="37"/>
      <c r="L637" s="23"/>
      <c r="M637" s="23"/>
    </row>
    <row r="638" ht="15.75" customHeight="1">
      <c r="A638" s="23"/>
      <c r="B638" s="24"/>
      <c r="C638" s="25"/>
      <c r="D638" s="26"/>
      <c r="E638" s="26"/>
      <c r="F638" s="26"/>
      <c r="G638" s="37"/>
      <c r="H638" s="37"/>
      <c r="I638" s="37"/>
      <c r="J638" s="37"/>
      <c r="K638" s="37"/>
      <c r="L638" s="23"/>
      <c r="M638" s="23"/>
    </row>
    <row r="639" ht="15.75" customHeight="1">
      <c r="A639" s="23"/>
      <c r="B639" s="24"/>
      <c r="C639" s="25"/>
      <c r="D639" s="26"/>
      <c r="E639" s="26"/>
      <c r="F639" s="26"/>
      <c r="G639" s="37"/>
      <c r="H639" s="37"/>
      <c r="I639" s="37"/>
      <c r="J639" s="37"/>
      <c r="K639" s="37"/>
      <c r="L639" s="23"/>
      <c r="M639" s="23"/>
    </row>
    <row r="640" ht="15.75" customHeight="1">
      <c r="A640" s="23"/>
      <c r="B640" s="24"/>
      <c r="C640" s="25"/>
      <c r="D640" s="26"/>
      <c r="E640" s="26"/>
      <c r="F640" s="26"/>
      <c r="G640" s="37"/>
      <c r="H640" s="37"/>
      <c r="I640" s="37"/>
      <c r="J640" s="37"/>
      <c r="K640" s="37"/>
      <c r="L640" s="23"/>
      <c r="M640" s="23"/>
    </row>
    <row r="641" ht="15.75" customHeight="1">
      <c r="A641" s="23"/>
      <c r="B641" s="24"/>
      <c r="C641" s="25"/>
      <c r="D641" s="26"/>
      <c r="E641" s="26"/>
      <c r="F641" s="26"/>
      <c r="G641" s="37"/>
      <c r="H641" s="37"/>
      <c r="I641" s="37"/>
      <c r="J641" s="37"/>
      <c r="K641" s="37"/>
      <c r="L641" s="23"/>
      <c r="M641" s="23"/>
    </row>
    <row r="642" ht="15.75" customHeight="1">
      <c r="A642" s="23"/>
      <c r="B642" s="24"/>
      <c r="C642" s="25"/>
      <c r="D642" s="26"/>
      <c r="E642" s="26"/>
      <c r="F642" s="26"/>
      <c r="G642" s="37"/>
      <c r="H642" s="37"/>
      <c r="I642" s="37"/>
      <c r="J642" s="37"/>
      <c r="K642" s="37"/>
      <c r="L642" s="23"/>
      <c r="M642" s="23"/>
    </row>
    <row r="643" ht="15.75" customHeight="1">
      <c r="A643" s="23"/>
      <c r="B643" s="24"/>
      <c r="C643" s="25"/>
      <c r="D643" s="26"/>
      <c r="E643" s="26"/>
      <c r="F643" s="26"/>
      <c r="G643" s="37"/>
      <c r="H643" s="37"/>
      <c r="I643" s="37"/>
      <c r="J643" s="37"/>
      <c r="K643" s="37"/>
      <c r="L643" s="23"/>
      <c r="M643" s="23"/>
    </row>
    <row r="644" ht="15.75" customHeight="1">
      <c r="A644" s="23"/>
      <c r="B644" s="24"/>
      <c r="C644" s="25"/>
      <c r="D644" s="26"/>
      <c r="E644" s="26"/>
      <c r="F644" s="26"/>
      <c r="G644" s="37"/>
      <c r="H644" s="37"/>
      <c r="I644" s="37"/>
      <c r="J644" s="37"/>
      <c r="K644" s="37"/>
      <c r="L644" s="23"/>
      <c r="M644" s="23"/>
    </row>
    <row r="645" ht="15.75" customHeight="1">
      <c r="A645" s="23"/>
      <c r="B645" s="24"/>
      <c r="C645" s="25"/>
      <c r="D645" s="26"/>
      <c r="E645" s="26"/>
      <c r="F645" s="26"/>
      <c r="G645" s="37"/>
      <c r="H645" s="37"/>
      <c r="I645" s="37"/>
      <c r="J645" s="37"/>
      <c r="K645" s="37"/>
      <c r="L645" s="23"/>
      <c r="M645" s="23"/>
    </row>
    <row r="646" ht="15.75" customHeight="1">
      <c r="A646" s="23"/>
      <c r="B646" s="24"/>
      <c r="C646" s="25"/>
      <c r="D646" s="26"/>
      <c r="E646" s="26"/>
      <c r="F646" s="26"/>
      <c r="G646" s="37"/>
      <c r="H646" s="37"/>
      <c r="I646" s="37"/>
      <c r="J646" s="37"/>
      <c r="K646" s="37"/>
      <c r="L646" s="23"/>
      <c r="M646" s="23"/>
    </row>
    <row r="647" ht="15.75" customHeight="1">
      <c r="A647" s="23"/>
      <c r="B647" s="24"/>
      <c r="C647" s="25"/>
      <c r="D647" s="26"/>
      <c r="E647" s="26"/>
      <c r="F647" s="26"/>
      <c r="G647" s="37"/>
      <c r="H647" s="37"/>
      <c r="I647" s="37"/>
      <c r="J647" s="37"/>
      <c r="K647" s="37"/>
      <c r="L647" s="23"/>
      <c r="M647" s="23"/>
    </row>
    <row r="648" ht="15.75" customHeight="1">
      <c r="A648" s="23"/>
      <c r="B648" s="24"/>
      <c r="C648" s="25"/>
      <c r="D648" s="26"/>
      <c r="E648" s="26"/>
      <c r="F648" s="26"/>
      <c r="G648" s="37"/>
      <c r="H648" s="37"/>
      <c r="I648" s="37"/>
      <c r="J648" s="37"/>
      <c r="K648" s="37"/>
      <c r="L648" s="23"/>
      <c r="M648" s="23"/>
    </row>
    <row r="649" ht="15.75" customHeight="1">
      <c r="A649" s="23"/>
      <c r="B649" s="24"/>
      <c r="C649" s="25"/>
      <c r="D649" s="26"/>
      <c r="E649" s="26"/>
      <c r="F649" s="26"/>
      <c r="G649" s="37"/>
      <c r="H649" s="37"/>
      <c r="I649" s="37"/>
      <c r="J649" s="37"/>
      <c r="K649" s="37"/>
      <c r="L649" s="23"/>
      <c r="M649" s="23"/>
    </row>
    <row r="650" ht="15.75" customHeight="1">
      <c r="A650" s="23"/>
      <c r="B650" s="24"/>
      <c r="C650" s="25"/>
      <c r="D650" s="26"/>
      <c r="E650" s="26"/>
      <c r="F650" s="26"/>
      <c r="G650" s="37"/>
      <c r="H650" s="37"/>
      <c r="I650" s="37"/>
      <c r="J650" s="37"/>
      <c r="K650" s="37"/>
      <c r="L650" s="23"/>
      <c r="M650" s="23"/>
    </row>
    <row r="651" ht="15.75" customHeight="1">
      <c r="A651" s="23"/>
      <c r="B651" s="24"/>
      <c r="C651" s="25"/>
      <c r="D651" s="26"/>
      <c r="E651" s="26"/>
      <c r="F651" s="26"/>
      <c r="G651" s="37"/>
      <c r="H651" s="37"/>
      <c r="I651" s="37"/>
      <c r="J651" s="37"/>
      <c r="K651" s="37"/>
      <c r="L651" s="23"/>
      <c r="M651" s="23"/>
    </row>
    <row r="652" ht="15.75" customHeight="1">
      <c r="A652" s="23"/>
      <c r="B652" s="24"/>
      <c r="C652" s="25"/>
      <c r="D652" s="26"/>
      <c r="E652" s="26"/>
      <c r="F652" s="26"/>
      <c r="G652" s="37"/>
      <c r="H652" s="37"/>
      <c r="I652" s="37"/>
      <c r="J652" s="37"/>
      <c r="K652" s="37"/>
      <c r="L652" s="23"/>
      <c r="M652" s="23"/>
    </row>
    <row r="653" ht="15.75" customHeight="1">
      <c r="A653" s="23"/>
      <c r="B653" s="24"/>
      <c r="C653" s="25"/>
      <c r="D653" s="26"/>
      <c r="E653" s="26"/>
      <c r="F653" s="26"/>
      <c r="G653" s="37"/>
      <c r="H653" s="37"/>
      <c r="I653" s="37"/>
      <c r="J653" s="37"/>
      <c r="K653" s="37"/>
      <c r="L653" s="23"/>
      <c r="M653" s="23"/>
    </row>
    <row r="654" ht="15.75" customHeight="1">
      <c r="A654" s="23"/>
      <c r="B654" s="24"/>
      <c r="C654" s="25"/>
      <c r="D654" s="26"/>
      <c r="E654" s="26"/>
      <c r="F654" s="26"/>
      <c r="G654" s="37"/>
      <c r="H654" s="37"/>
      <c r="I654" s="37"/>
      <c r="J654" s="37"/>
      <c r="K654" s="37"/>
      <c r="L654" s="23"/>
      <c r="M654" s="23"/>
    </row>
    <row r="655" ht="15.75" customHeight="1">
      <c r="A655" s="23"/>
      <c r="B655" s="24"/>
      <c r="C655" s="25"/>
      <c r="D655" s="26"/>
      <c r="E655" s="26"/>
      <c r="F655" s="26"/>
      <c r="G655" s="37"/>
      <c r="H655" s="37"/>
      <c r="I655" s="37"/>
      <c r="J655" s="37"/>
      <c r="K655" s="37"/>
      <c r="L655" s="23"/>
      <c r="M655" s="23"/>
    </row>
    <row r="656" ht="15.75" customHeight="1">
      <c r="A656" s="23"/>
      <c r="B656" s="24"/>
      <c r="C656" s="25"/>
      <c r="D656" s="26"/>
      <c r="E656" s="26"/>
      <c r="F656" s="26"/>
      <c r="G656" s="37"/>
      <c r="H656" s="37"/>
      <c r="I656" s="37"/>
      <c r="J656" s="37"/>
      <c r="K656" s="37"/>
      <c r="L656" s="23"/>
      <c r="M656" s="23"/>
    </row>
    <row r="657" ht="15.75" customHeight="1">
      <c r="A657" s="23"/>
      <c r="B657" s="24"/>
      <c r="C657" s="25"/>
      <c r="D657" s="26"/>
      <c r="E657" s="26"/>
      <c r="F657" s="26"/>
      <c r="G657" s="37"/>
      <c r="H657" s="37"/>
      <c r="I657" s="37"/>
      <c r="J657" s="37"/>
      <c r="K657" s="37"/>
      <c r="L657" s="23"/>
      <c r="M657" s="23"/>
    </row>
    <row r="658" ht="15.75" customHeight="1">
      <c r="A658" s="23"/>
      <c r="B658" s="24"/>
      <c r="C658" s="25"/>
      <c r="D658" s="26"/>
      <c r="E658" s="26"/>
      <c r="F658" s="26"/>
      <c r="G658" s="37"/>
      <c r="H658" s="37"/>
      <c r="I658" s="37"/>
      <c r="J658" s="37"/>
      <c r="K658" s="37"/>
      <c r="L658" s="23"/>
      <c r="M658" s="23"/>
    </row>
    <row r="659" ht="15.75" customHeight="1">
      <c r="A659" s="23"/>
      <c r="B659" s="24"/>
      <c r="C659" s="25"/>
      <c r="D659" s="26"/>
      <c r="E659" s="26"/>
      <c r="F659" s="26"/>
      <c r="G659" s="37"/>
      <c r="H659" s="37"/>
      <c r="I659" s="37"/>
      <c r="J659" s="37"/>
      <c r="K659" s="37"/>
      <c r="L659" s="23"/>
      <c r="M659" s="23"/>
    </row>
    <row r="660" ht="15.75" customHeight="1">
      <c r="A660" s="23"/>
      <c r="B660" s="24"/>
      <c r="C660" s="25"/>
      <c r="D660" s="26"/>
      <c r="E660" s="26"/>
      <c r="F660" s="26"/>
      <c r="G660" s="37"/>
      <c r="H660" s="37"/>
      <c r="I660" s="37"/>
      <c r="J660" s="37"/>
      <c r="K660" s="37"/>
      <c r="L660" s="23"/>
      <c r="M660" s="23"/>
    </row>
    <row r="661" ht="15.75" customHeight="1">
      <c r="A661" s="23"/>
      <c r="B661" s="24"/>
      <c r="C661" s="25"/>
      <c r="D661" s="26"/>
      <c r="E661" s="26"/>
      <c r="F661" s="26"/>
      <c r="G661" s="37"/>
      <c r="H661" s="37"/>
      <c r="I661" s="37"/>
      <c r="J661" s="37"/>
      <c r="K661" s="37"/>
      <c r="L661" s="23"/>
      <c r="M661" s="23"/>
    </row>
    <row r="662" ht="15.75" customHeight="1">
      <c r="A662" s="23"/>
      <c r="B662" s="24"/>
      <c r="C662" s="25"/>
      <c r="D662" s="26"/>
      <c r="E662" s="26"/>
      <c r="F662" s="26"/>
      <c r="G662" s="37"/>
      <c r="H662" s="37"/>
      <c r="I662" s="37"/>
      <c r="J662" s="37"/>
      <c r="K662" s="37"/>
      <c r="L662" s="23"/>
      <c r="M662" s="23"/>
    </row>
    <row r="663" ht="15.75" customHeight="1">
      <c r="A663" s="23"/>
      <c r="B663" s="24"/>
      <c r="C663" s="25"/>
      <c r="D663" s="26"/>
      <c r="E663" s="26"/>
      <c r="F663" s="26"/>
      <c r="G663" s="37"/>
      <c r="H663" s="37"/>
      <c r="I663" s="37"/>
      <c r="J663" s="37"/>
      <c r="K663" s="37"/>
      <c r="L663" s="23"/>
      <c r="M663" s="23"/>
    </row>
    <row r="664" ht="15.75" customHeight="1">
      <c r="A664" s="23"/>
      <c r="B664" s="24"/>
      <c r="C664" s="25"/>
      <c r="D664" s="26"/>
      <c r="E664" s="26"/>
      <c r="F664" s="26"/>
      <c r="G664" s="37"/>
      <c r="H664" s="37"/>
      <c r="I664" s="37"/>
      <c r="J664" s="37"/>
      <c r="K664" s="37"/>
      <c r="L664" s="23"/>
      <c r="M664" s="23"/>
    </row>
    <row r="665" ht="15.75" customHeight="1">
      <c r="A665" s="23"/>
      <c r="B665" s="24"/>
      <c r="C665" s="25"/>
      <c r="D665" s="26"/>
      <c r="E665" s="26"/>
      <c r="F665" s="26"/>
      <c r="G665" s="37"/>
      <c r="H665" s="37"/>
      <c r="I665" s="37"/>
      <c r="J665" s="37"/>
      <c r="K665" s="37"/>
      <c r="L665" s="23"/>
      <c r="M665" s="23"/>
    </row>
    <row r="666" ht="15.75" customHeight="1">
      <c r="A666" s="23"/>
      <c r="B666" s="24"/>
      <c r="C666" s="25"/>
      <c r="D666" s="26"/>
      <c r="E666" s="26"/>
      <c r="F666" s="26"/>
      <c r="G666" s="37"/>
      <c r="H666" s="37"/>
      <c r="I666" s="37"/>
      <c r="J666" s="37"/>
      <c r="K666" s="37"/>
      <c r="L666" s="23"/>
      <c r="M666" s="23"/>
    </row>
    <row r="667" ht="15.75" customHeight="1">
      <c r="A667" s="23"/>
      <c r="B667" s="24"/>
      <c r="C667" s="25"/>
      <c r="D667" s="26"/>
      <c r="E667" s="26"/>
      <c r="F667" s="26"/>
      <c r="G667" s="37"/>
      <c r="H667" s="37"/>
      <c r="I667" s="37"/>
      <c r="J667" s="37"/>
      <c r="K667" s="37"/>
      <c r="L667" s="23"/>
      <c r="M667" s="23"/>
    </row>
    <row r="668" ht="15.75" customHeight="1">
      <c r="A668" s="23"/>
      <c r="B668" s="24"/>
      <c r="C668" s="25"/>
      <c r="D668" s="26"/>
      <c r="E668" s="26"/>
      <c r="F668" s="26"/>
      <c r="G668" s="37"/>
      <c r="H668" s="37"/>
      <c r="I668" s="37"/>
      <c r="J668" s="37"/>
      <c r="K668" s="37"/>
      <c r="L668" s="23"/>
      <c r="M668" s="23"/>
    </row>
    <row r="669" ht="15.75" customHeight="1">
      <c r="A669" s="23"/>
      <c r="B669" s="24"/>
      <c r="C669" s="25"/>
      <c r="D669" s="26"/>
      <c r="E669" s="26"/>
      <c r="F669" s="26"/>
      <c r="G669" s="37"/>
      <c r="H669" s="37"/>
      <c r="I669" s="37"/>
      <c r="J669" s="37"/>
      <c r="K669" s="37"/>
      <c r="L669" s="23"/>
      <c r="M669" s="23"/>
    </row>
    <row r="670" ht="15.75" customHeight="1">
      <c r="A670" s="23"/>
      <c r="B670" s="24"/>
      <c r="C670" s="25"/>
      <c r="D670" s="26"/>
      <c r="E670" s="26"/>
      <c r="F670" s="26"/>
      <c r="G670" s="37"/>
      <c r="H670" s="37"/>
      <c r="I670" s="37"/>
      <c r="J670" s="37"/>
      <c r="K670" s="37"/>
      <c r="L670" s="23"/>
      <c r="M670" s="23"/>
    </row>
    <row r="671" ht="15.75" customHeight="1">
      <c r="A671" s="23"/>
      <c r="B671" s="24"/>
      <c r="C671" s="25"/>
      <c r="D671" s="26"/>
      <c r="E671" s="26"/>
      <c r="F671" s="26"/>
      <c r="G671" s="37"/>
      <c r="H671" s="37"/>
      <c r="I671" s="37"/>
      <c r="J671" s="37"/>
      <c r="K671" s="37"/>
      <c r="L671" s="23"/>
      <c r="M671" s="23"/>
    </row>
    <row r="672" ht="15.75" customHeight="1">
      <c r="A672" s="23"/>
      <c r="B672" s="24"/>
      <c r="C672" s="25"/>
      <c r="D672" s="26"/>
      <c r="E672" s="26"/>
      <c r="F672" s="26"/>
      <c r="G672" s="37"/>
      <c r="H672" s="37"/>
      <c r="I672" s="37"/>
      <c r="J672" s="37"/>
      <c r="K672" s="37"/>
      <c r="L672" s="23"/>
      <c r="M672" s="23"/>
    </row>
    <row r="673" ht="15.75" customHeight="1">
      <c r="A673" s="23"/>
      <c r="B673" s="24"/>
      <c r="C673" s="25"/>
      <c r="D673" s="26"/>
      <c r="E673" s="26"/>
      <c r="F673" s="26"/>
      <c r="G673" s="37"/>
      <c r="H673" s="37"/>
      <c r="I673" s="37"/>
      <c r="J673" s="37"/>
      <c r="K673" s="37"/>
      <c r="L673" s="23"/>
      <c r="M673" s="23"/>
    </row>
    <row r="674" ht="15.75" customHeight="1">
      <c r="A674" s="23"/>
      <c r="B674" s="24"/>
      <c r="C674" s="25"/>
      <c r="D674" s="26"/>
      <c r="E674" s="26"/>
      <c r="F674" s="26"/>
      <c r="G674" s="37"/>
      <c r="H674" s="37"/>
      <c r="I674" s="37"/>
      <c r="J674" s="37"/>
      <c r="K674" s="37"/>
      <c r="L674" s="23"/>
      <c r="M674" s="23"/>
    </row>
    <row r="675" ht="15.75" customHeight="1">
      <c r="A675" s="23"/>
      <c r="B675" s="24"/>
      <c r="C675" s="25"/>
      <c r="D675" s="26"/>
      <c r="E675" s="26"/>
      <c r="F675" s="26"/>
      <c r="G675" s="37"/>
      <c r="H675" s="37"/>
      <c r="I675" s="37"/>
      <c r="J675" s="37"/>
      <c r="K675" s="37"/>
      <c r="L675" s="23"/>
      <c r="M675" s="23"/>
    </row>
    <row r="676" ht="15.75" customHeight="1">
      <c r="A676" s="23"/>
      <c r="B676" s="24"/>
      <c r="C676" s="25"/>
      <c r="D676" s="26"/>
      <c r="E676" s="26"/>
      <c r="F676" s="26"/>
      <c r="G676" s="37"/>
      <c r="H676" s="37"/>
      <c r="I676" s="37"/>
      <c r="J676" s="37"/>
      <c r="K676" s="37"/>
      <c r="L676" s="23"/>
      <c r="M676" s="23"/>
    </row>
    <row r="677" ht="15.75" customHeight="1">
      <c r="A677" s="23"/>
      <c r="B677" s="24"/>
      <c r="C677" s="25"/>
      <c r="D677" s="26"/>
      <c r="E677" s="26"/>
      <c r="F677" s="26"/>
      <c r="G677" s="37"/>
      <c r="H677" s="37"/>
      <c r="I677" s="37"/>
      <c r="J677" s="37"/>
      <c r="K677" s="37"/>
      <c r="L677" s="23"/>
      <c r="M677" s="23"/>
    </row>
    <row r="678" ht="15.75" customHeight="1">
      <c r="A678" s="23"/>
      <c r="B678" s="24"/>
      <c r="C678" s="25"/>
      <c r="D678" s="26"/>
      <c r="E678" s="26"/>
      <c r="F678" s="26"/>
      <c r="G678" s="37"/>
      <c r="H678" s="37"/>
      <c r="I678" s="37"/>
      <c r="J678" s="37"/>
      <c r="K678" s="37"/>
      <c r="L678" s="23"/>
      <c r="M678" s="23"/>
    </row>
    <row r="679" ht="15.75" customHeight="1">
      <c r="A679" s="23"/>
      <c r="B679" s="24"/>
      <c r="C679" s="25"/>
      <c r="D679" s="26"/>
      <c r="E679" s="26"/>
      <c r="F679" s="26"/>
      <c r="G679" s="37"/>
      <c r="H679" s="37"/>
      <c r="I679" s="37"/>
      <c r="J679" s="37"/>
      <c r="K679" s="37"/>
      <c r="L679" s="23"/>
      <c r="M679" s="23"/>
    </row>
    <row r="680" ht="15.75" customHeight="1">
      <c r="A680" s="23"/>
      <c r="B680" s="24"/>
      <c r="C680" s="25"/>
      <c r="D680" s="26"/>
      <c r="E680" s="26"/>
      <c r="F680" s="26"/>
      <c r="G680" s="37"/>
      <c r="H680" s="37"/>
      <c r="I680" s="37"/>
      <c r="J680" s="37"/>
      <c r="K680" s="37"/>
      <c r="L680" s="23"/>
      <c r="M680" s="23"/>
    </row>
    <row r="681" ht="15.75" customHeight="1">
      <c r="A681" s="23"/>
      <c r="B681" s="24"/>
      <c r="C681" s="25"/>
      <c r="D681" s="26"/>
      <c r="E681" s="26"/>
      <c r="F681" s="26"/>
      <c r="G681" s="37"/>
      <c r="H681" s="37"/>
      <c r="I681" s="37"/>
      <c r="J681" s="37"/>
      <c r="K681" s="37"/>
      <c r="L681" s="23"/>
      <c r="M681" s="23"/>
    </row>
    <row r="682" ht="15.75" customHeight="1">
      <c r="A682" s="23"/>
      <c r="B682" s="24"/>
      <c r="C682" s="25"/>
      <c r="D682" s="26"/>
      <c r="E682" s="26"/>
      <c r="F682" s="26"/>
      <c r="G682" s="37"/>
      <c r="H682" s="37"/>
      <c r="I682" s="37"/>
      <c r="J682" s="37"/>
      <c r="K682" s="37"/>
      <c r="L682" s="23"/>
      <c r="M682" s="23"/>
    </row>
    <row r="683" ht="15.75" customHeight="1">
      <c r="A683" s="23"/>
      <c r="B683" s="24"/>
      <c r="C683" s="25"/>
      <c r="D683" s="26"/>
      <c r="E683" s="26"/>
      <c r="F683" s="26"/>
      <c r="G683" s="37"/>
      <c r="H683" s="37"/>
      <c r="I683" s="37"/>
      <c r="J683" s="37"/>
      <c r="K683" s="37"/>
      <c r="L683" s="23"/>
      <c r="M683" s="23"/>
    </row>
    <row r="684" ht="15.75" customHeight="1">
      <c r="A684" s="23"/>
      <c r="B684" s="24"/>
      <c r="C684" s="25"/>
      <c r="D684" s="26"/>
      <c r="E684" s="26"/>
      <c r="F684" s="26"/>
      <c r="G684" s="37"/>
      <c r="H684" s="37"/>
      <c r="I684" s="37"/>
      <c r="J684" s="37"/>
      <c r="K684" s="37"/>
      <c r="L684" s="23"/>
      <c r="M684" s="23"/>
    </row>
    <row r="685" ht="15.75" customHeight="1">
      <c r="A685" s="23"/>
      <c r="B685" s="24"/>
      <c r="C685" s="25"/>
      <c r="D685" s="26"/>
      <c r="E685" s="26"/>
      <c r="F685" s="26"/>
      <c r="G685" s="37"/>
      <c r="H685" s="37"/>
      <c r="I685" s="37"/>
      <c r="J685" s="37"/>
      <c r="K685" s="37"/>
      <c r="L685" s="23"/>
      <c r="M685" s="23"/>
    </row>
    <row r="686" ht="15.75" customHeight="1">
      <c r="A686" s="23"/>
      <c r="B686" s="24"/>
      <c r="C686" s="25"/>
      <c r="D686" s="26"/>
      <c r="E686" s="26"/>
      <c r="F686" s="26"/>
      <c r="G686" s="37"/>
      <c r="H686" s="37"/>
      <c r="I686" s="37"/>
      <c r="J686" s="37"/>
      <c r="K686" s="37"/>
      <c r="L686" s="23"/>
      <c r="M686" s="23"/>
    </row>
    <row r="687" ht="15.75" customHeight="1">
      <c r="A687" s="23"/>
      <c r="B687" s="24"/>
      <c r="C687" s="25"/>
      <c r="D687" s="26"/>
      <c r="E687" s="26"/>
      <c r="F687" s="26"/>
      <c r="G687" s="37"/>
      <c r="H687" s="37"/>
      <c r="I687" s="37"/>
      <c r="J687" s="37"/>
      <c r="K687" s="37"/>
      <c r="L687" s="23"/>
      <c r="M687" s="23"/>
    </row>
    <row r="688" ht="15.75" customHeight="1">
      <c r="A688" s="23"/>
      <c r="B688" s="24"/>
      <c r="C688" s="25"/>
      <c r="D688" s="26"/>
      <c r="E688" s="26"/>
      <c r="F688" s="26"/>
      <c r="G688" s="37"/>
      <c r="H688" s="37"/>
      <c r="I688" s="37"/>
      <c r="J688" s="37"/>
      <c r="K688" s="37"/>
      <c r="L688" s="23"/>
      <c r="M688" s="23"/>
    </row>
    <row r="689" ht="15.75" customHeight="1">
      <c r="A689" s="23"/>
      <c r="B689" s="24"/>
      <c r="C689" s="25"/>
      <c r="D689" s="26"/>
      <c r="E689" s="26"/>
      <c r="F689" s="26"/>
      <c r="G689" s="37"/>
      <c r="H689" s="37"/>
      <c r="I689" s="37"/>
      <c r="J689" s="37"/>
      <c r="K689" s="37"/>
      <c r="L689" s="23"/>
      <c r="M689" s="23"/>
    </row>
    <row r="690" ht="15.75" customHeight="1">
      <c r="A690" s="23"/>
      <c r="B690" s="24"/>
      <c r="C690" s="25"/>
      <c r="D690" s="26"/>
      <c r="E690" s="26"/>
      <c r="F690" s="26"/>
      <c r="G690" s="37"/>
      <c r="H690" s="37"/>
      <c r="I690" s="37"/>
      <c r="J690" s="37"/>
      <c r="K690" s="37"/>
      <c r="L690" s="23"/>
      <c r="M690" s="23"/>
    </row>
    <row r="691" ht="15.75" customHeight="1">
      <c r="A691" s="23"/>
      <c r="B691" s="24"/>
      <c r="C691" s="25"/>
      <c r="D691" s="26"/>
      <c r="E691" s="26"/>
      <c r="F691" s="26"/>
      <c r="G691" s="37"/>
      <c r="H691" s="37"/>
      <c r="I691" s="37"/>
      <c r="J691" s="37"/>
      <c r="K691" s="37"/>
      <c r="L691" s="23"/>
      <c r="M691" s="23"/>
    </row>
    <row r="692" ht="15.75" customHeight="1">
      <c r="A692" s="23"/>
      <c r="B692" s="24"/>
      <c r="C692" s="25"/>
      <c r="D692" s="26"/>
      <c r="E692" s="26"/>
      <c r="F692" s="26"/>
      <c r="G692" s="37"/>
      <c r="H692" s="37"/>
      <c r="I692" s="37"/>
      <c r="J692" s="37"/>
      <c r="K692" s="37"/>
      <c r="L692" s="23"/>
      <c r="M692" s="23"/>
    </row>
    <row r="693" ht="15.75" customHeight="1">
      <c r="A693" s="23"/>
      <c r="B693" s="24"/>
      <c r="C693" s="25"/>
      <c r="D693" s="26"/>
      <c r="E693" s="26"/>
      <c r="F693" s="26"/>
      <c r="G693" s="37"/>
      <c r="H693" s="37"/>
      <c r="I693" s="37"/>
      <c r="J693" s="37"/>
      <c r="K693" s="37"/>
      <c r="L693" s="23"/>
      <c r="M693" s="23"/>
    </row>
    <row r="694" ht="15.75" customHeight="1">
      <c r="A694" s="23"/>
      <c r="B694" s="24"/>
      <c r="C694" s="25"/>
      <c r="D694" s="26"/>
      <c r="E694" s="26"/>
      <c r="F694" s="26"/>
      <c r="G694" s="37"/>
      <c r="H694" s="37"/>
      <c r="I694" s="37"/>
      <c r="J694" s="37"/>
      <c r="K694" s="37"/>
      <c r="L694" s="23"/>
      <c r="M694" s="23"/>
    </row>
    <row r="695" ht="15.75" customHeight="1">
      <c r="A695" s="23"/>
      <c r="B695" s="24"/>
      <c r="C695" s="25"/>
      <c r="D695" s="26"/>
      <c r="E695" s="26"/>
      <c r="F695" s="26"/>
      <c r="G695" s="37"/>
      <c r="H695" s="37"/>
      <c r="I695" s="37"/>
      <c r="J695" s="37"/>
      <c r="K695" s="37"/>
      <c r="L695" s="23"/>
      <c r="M695" s="23"/>
    </row>
    <row r="696" ht="15.75" customHeight="1">
      <c r="A696" s="23"/>
      <c r="B696" s="24"/>
      <c r="C696" s="25"/>
      <c r="D696" s="26"/>
      <c r="E696" s="26"/>
      <c r="F696" s="26"/>
      <c r="G696" s="37"/>
      <c r="H696" s="37"/>
      <c r="I696" s="37"/>
      <c r="J696" s="37"/>
      <c r="K696" s="37"/>
      <c r="L696" s="23"/>
      <c r="M696" s="23"/>
    </row>
    <row r="697" ht="15.75" customHeight="1">
      <c r="A697" s="23"/>
      <c r="B697" s="24"/>
      <c r="C697" s="25"/>
      <c r="D697" s="26"/>
      <c r="E697" s="26"/>
      <c r="F697" s="26"/>
      <c r="G697" s="37"/>
      <c r="H697" s="37"/>
      <c r="I697" s="37"/>
      <c r="J697" s="37"/>
      <c r="K697" s="37"/>
      <c r="L697" s="23"/>
      <c r="M697" s="23"/>
    </row>
    <row r="698" ht="15.75" customHeight="1">
      <c r="A698" s="23"/>
      <c r="B698" s="24"/>
      <c r="C698" s="25"/>
      <c r="D698" s="26"/>
      <c r="E698" s="26"/>
      <c r="F698" s="26"/>
      <c r="G698" s="37"/>
      <c r="H698" s="37"/>
      <c r="I698" s="37"/>
      <c r="J698" s="37"/>
      <c r="K698" s="37"/>
      <c r="L698" s="23"/>
      <c r="M698" s="23"/>
    </row>
    <row r="699" ht="15.75" customHeight="1">
      <c r="A699" s="23"/>
      <c r="B699" s="24"/>
      <c r="C699" s="25"/>
      <c r="D699" s="26"/>
      <c r="E699" s="26"/>
      <c r="F699" s="26"/>
      <c r="G699" s="37"/>
      <c r="H699" s="37"/>
      <c r="I699" s="37"/>
      <c r="J699" s="37"/>
      <c r="K699" s="37"/>
      <c r="L699" s="23"/>
      <c r="M699" s="23"/>
    </row>
    <row r="700" ht="15.75" customHeight="1">
      <c r="A700" s="23"/>
      <c r="B700" s="24"/>
      <c r="C700" s="25"/>
      <c r="D700" s="26"/>
      <c r="E700" s="26"/>
      <c r="F700" s="26"/>
      <c r="G700" s="37"/>
      <c r="H700" s="37"/>
      <c r="I700" s="37"/>
      <c r="J700" s="37"/>
      <c r="K700" s="37"/>
      <c r="L700" s="23"/>
      <c r="M700" s="23"/>
    </row>
    <row r="701" ht="15.75" customHeight="1">
      <c r="A701" s="23"/>
      <c r="B701" s="24"/>
      <c r="C701" s="25"/>
      <c r="D701" s="26"/>
      <c r="E701" s="26"/>
      <c r="F701" s="26"/>
      <c r="G701" s="37"/>
      <c r="H701" s="37"/>
      <c r="I701" s="37"/>
      <c r="J701" s="37"/>
      <c r="K701" s="37"/>
      <c r="L701" s="23"/>
      <c r="M701" s="23"/>
    </row>
    <row r="702" ht="15.75" customHeight="1">
      <c r="A702" s="23"/>
      <c r="B702" s="24"/>
      <c r="C702" s="25"/>
      <c r="D702" s="26"/>
      <c r="E702" s="26"/>
      <c r="F702" s="26"/>
      <c r="G702" s="37"/>
      <c r="H702" s="37"/>
      <c r="I702" s="37"/>
      <c r="J702" s="37"/>
      <c r="K702" s="37"/>
      <c r="L702" s="23"/>
      <c r="M702" s="23"/>
    </row>
    <row r="703" ht="15.75" customHeight="1">
      <c r="A703" s="23"/>
      <c r="B703" s="24"/>
      <c r="C703" s="25"/>
      <c r="D703" s="26"/>
      <c r="E703" s="26"/>
      <c r="F703" s="26"/>
      <c r="G703" s="37"/>
      <c r="H703" s="37"/>
      <c r="I703" s="37"/>
      <c r="J703" s="37"/>
      <c r="K703" s="37"/>
      <c r="L703" s="23"/>
      <c r="M703" s="23"/>
    </row>
    <row r="704" ht="15.75" customHeight="1">
      <c r="A704" s="23"/>
      <c r="B704" s="24"/>
      <c r="C704" s="25"/>
      <c r="D704" s="26"/>
      <c r="E704" s="26"/>
      <c r="F704" s="26"/>
      <c r="G704" s="37"/>
      <c r="H704" s="37"/>
      <c r="I704" s="37"/>
      <c r="J704" s="37"/>
      <c r="K704" s="37"/>
      <c r="L704" s="23"/>
      <c r="M704" s="23"/>
    </row>
    <row r="705" ht="15.75" customHeight="1">
      <c r="A705" s="23"/>
      <c r="B705" s="24"/>
      <c r="C705" s="25"/>
      <c r="D705" s="26"/>
      <c r="E705" s="26"/>
      <c r="F705" s="26"/>
      <c r="G705" s="37"/>
      <c r="H705" s="37"/>
      <c r="I705" s="37"/>
      <c r="J705" s="37"/>
      <c r="K705" s="37"/>
      <c r="L705" s="23"/>
      <c r="M705" s="23"/>
    </row>
    <row r="706" ht="15.75" customHeight="1">
      <c r="A706" s="23"/>
      <c r="B706" s="24"/>
      <c r="C706" s="25"/>
      <c r="D706" s="26"/>
      <c r="E706" s="26"/>
      <c r="F706" s="26"/>
      <c r="G706" s="37"/>
      <c r="H706" s="37"/>
      <c r="I706" s="37"/>
      <c r="J706" s="37"/>
      <c r="K706" s="37"/>
      <c r="L706" s="23"/>
      <c r="M706" s="23"/>
    </row>
    <row r="707" ht="15.75" customHeight="1">
      <c r="A707" s="23"/>
      <c r="B707" s="24"/>
      <c r="C707" s="25"/>
      <c r="D707" s="26"/>
      <c r="E707" s="26"/>
      <c r="F707" s="26"/>
      <c r="G707" s="37"/>
      <c r="H707" s="37"/>
      <c r="I707" s="37"/>
      <c r="J707" s="37"/>
      <c r="K707" s="37"/>
      <c r="L707" s="23"/>
      <c r="M707" s="23"/>
    </row>
    <row r="708" ht="15.75" customHeight="1">
      <c r="A708" s="23"/>
      <c r="B708" s="24"/>
      <c r="C708" s="25"/>
      <c r="D708" s="26"/>
      <c r="E708" s="26"/>
      <c r="F708" s="26"/>
      <c r="G708" s="37"/>
      <c r="H708" s="37"/>
      <c r="I708" s="37"/>
      <c r="J708" s="37"/>
      <c r="K708" s="37"/>
      <c r="L708" s="23"/>
      <c r="M708" s="23"/>
    </row>
    <row r="709" ht="15.75" customHeight="1">
      <c r="A709" s="23"/>
      <c r="B709" s="24"/>
      <c r="C709" s="25"/>
      <c r="D709" s="26"/>
      <c r="E709" s="26"/>
      <c r="F709" s="26"/>
      <c r="G709" s="37"/>
      <c r="H709" s="37"/>
      <c r="I709" s="37"/>
      <c r="J709" s="37"/>
      <c r="K709" s="37"/>
      <c r="L709" s="23"/>
      <c r="M709" s="23"/>
    </row>
    <row r="710" ht="15.75" customHeight="1">
      <c r="A710" s="23"/>
      <c r="B710" s="24"/>
      <c r="C710" s="25"/>
      <c r="D710" s="26"/>
      <c r="E710" s="26"/>
      <c r="F710" s="26"/>
      <c r="G710" s="37"/>
      <c r="H710" s="37"/>
      <c r="I710" s="37"/>
      <c r="J710" s="37"/>
      <c r="K710" s="37"/>
      <c r="L710" s="23"/>
      <c r="M710" s="23"/>
    </row>
    <row r="711" ht="15.75" customHeight="1">
      <c r="A711" s="23"/>
      <c r="B711" s="24"/>
      <c r="C711" s="25"/>
      <c r="D711" s="26"/>
      <c r="E711" s="26"/>
      <c r="F711" s="26"/>
      <c r="G711" s="37"/>
      <c r="H711" s="37"/>
      <c r="I711" s="37"/>
      <c r="J711" s="37"/>
      <c r="K711" s="37"/>
      <c r="L711" s="23"/>
      <c r="M711" s="23"/>
    </row>
    <row r="712" ht="15.75" customHeight="1">
      <c r="A712" s="23"/>
      <c r="B712" s="24"/>
      <c r="C712" s="25"/>
      <c r="D712" s="26"/>
      <c r="E712" s="26"/>
      <c r="F712" s="26"/>
      <c r="G712" s="37"/>
      <c r="H712" s="37"/>
      <c r="I712" s="37"/>
      <c r="J712" s="37"/>
      <c r="K712" s="37"/>
      <c r="L712" s="23"/>
      <c r="M712" s="23"/>
    </row>
    <row r="713" ht="15.75" customHeight="1">
      <c r="A713" s="23"/>
      <c r="B713" s="24"/>
      <c r="C713" s="25"/>
      <c r="D713" s="26"/>
      <c r="E713" s="26"/>
      <c r="F713" s="26"/>
      <c r="G713" s="37"/>
      <c r="H713" s="37"/>
      <c r="I713" s="37"/>
      <c r="J713" s="37"/>
      <c r="K713" s="37"/>
      <c r="L713" s="23"/>
      <c r="M713" s="23"/>
    </row>
    <row r="714" ht="15.75" customHeight="1">
      <c r="A714" s="23"/>
      <c r="B714" s="24"/>
      <c r="C714" s="25"/>
      <c r="D714" s="26"/>
      <c r="E714" s="26"/>
      <c r="F714" s="26"/>
      <c r="G714" s="37"/>
      <c r="H714" s="37"/>
      <c r="I714" s="37"/>
      <c r="J714" s="37"/>
      <c r="K714" s="37"/>
      <c r="L714" s="23"/>
      <c r="M714" s="23"/>
    </row>
    <row r="715" ht="15.75" customHeight="1">
      <c r="A715" s="23"/>
      <c r="B715" s="24"/>
      <c r="C715" s="25"/>
      <c r="D715" s="26"/>
      <c r="E715" s="26"/>
      <c r="F715" s="26"/>
      <c r="G715" s="37"/>
      <c r="H715" s="37"/>
      <c r="I715" s="37"/>
      <c r="J715" s="37"/>
      <c r="K715" s="37"/>
      <c r="L715" s="23"/>
      <c r="M715" s="23"/>
    </row>
    <row r="716" ht="15.75" customHeight="1">
      <c r="A716" s="23"/>
      <c r="B716" s="24"/>
      <c r="C716" s="25"/>
      <c r="D716" s="26"/>
      <c r="E716" s="26"/>
      <c r="F716" s="26"/>
      <c r="G716" s="37"/>
      <c r="H716" s="37"/>
      <c r="I716" s="37"/>
      <c r="J716" s="37"/>
      <c r="K716" s="37"/>
      <c r="L716" s="23"/>
      <c r="M716" s="23"/>
    </row>
    <row r="717" ht="15.75" customHeight="1">
      <c r="A717" s="23"/>
      <c r="B717" s="24"/>
      <c r="C717" s="25"/>
      <c r="D717" s="26"/>
      <c r="E717" s="26"/>
      <c r="F717" s="26"/>
      <c r="G717" s="37"/>
      <c r="H717" s="37"/>
      <c r="I717" s="37"/>
      <c r="J717" s="37"/>
      <c r="K717" s="37"/>
      <c r="L717" s="23"/>
      <c r="M717" s="23"/>
    </row>
    <row r="718" ht="15.75" customHeight="1">
      <c r="A718" s="23"/>
      <c r="B718" s="24"/>
      <c r="C718" s="25"/>
      <c r="D718" s="26"/>
      <c r="E718" s="26"/>
      <c r="F718" s="26"/>
      <c r="G718" s="37"/>
      <c r="H718" s="37"/>
      <c r="I718" s="37"/>
      <c r="J718" s="37"/>
      <c r="K718" s="37"/>
      <c r="L718" s="23"/>
      <c r="M718" s="23"/>
    </row>
    <row r="719" ht="15.75" customHeight="1">
      <c r="A719" s="23"/>
      <c r="B719" s="24"/>
      <c r="C719" s="25"/>
      <c r="D719" s="26"/>
      <c r="E719" s="26"/>
      <c r="F719" s="26"/>
      <c r="G719" s="37"/>
      <c r="H719" s="37"/>
      <c r="I719" s="37"/>
      <c r="J719" s="37"/>
      <c r="K719" s="37"/>
      <c r="L719" s="23"/>
      <c r="M719" s="23"/>
    </row>
    <row r="720" ht="15.75" customHeight="1">
      <c r="A720" s="23"/>
      <c r="B720" s="24"/>
      <c r="C720" s="25"/>
      <c r="D720" s="26"/>
      <c r="E720" s="26"/>
      <c r="F720" s="26"/>
      <c r="G720" s="37"/>
      <c r="H720" s="37"/>
      <c r="I720" s="37"/>
      <c r="J720" s="37"/>
      <c r="K720" s="37"/>
      <c r="L720" s="23"/>
      <c r="M720" s="23"/>
    </row>
    <row r="721" ht="15.75" customHeight="1">
      <c r="A721" s="23"/>
      <c r="B721" s="24"/>
      <c r="C721" s="25"/>
      <c r="D721" s="26"/>
      <c r="E721" s="26"/>
      <c r="F721" s="26"/>
      <c r="G721" s="37"/>
      <c r="H721" s="37"/>
      <c r="I721" s="37"/>
      <c r="J721" s="37"/>
      <c r="K721" s="37"/>
      <c r="L721" s="23"/>
      <c r="M721" s="23"/>
    </row>
    <row r="722" ht="15.75" customHeight="1">
      <c r="A722" s="23"/>
      <c r="B722" s="24"/>
      <c r="C722" s="25"/>
      <c r="D722" s="26"/>
      <c r="E722" s="26"/>
      <c r="F722" s="26"/>
      <c r="G722" s="37"/>
      <c r="H722" s="37"/>
      <c r="I722" s="37"/>
      <c r="J722" s="37"/>
      <c r="K722" s="37"/>
      <c r="L722" s="23"/>
      <c r="M722" s="23"/>
    </row>
    <row r="723" ht="15.75" customHeight="1">
      <c r="A723" s="23"/>
      <c r="B723" s="24"/>
      <c r="C723" s="25"/>
      <c r="D723" s="26"/>
      <c r="E723" s="26"/>
      <c r="F723" s="26"/>
      <c r="G723" s="37"/>
      <c r="H723" s="37"/>
      <c r="I723" s="37"/>
      <c r="J723" s="37"/>
      <c r="K723" s="37"/>
      <c r="L723" s="23"/>
      <c r="M723" s="23"/>
    </row>
    <row r="724" ht="15.75" customHeight="1">
      <c r="A724" s="23"/>
      <c r="B724" s="24"/>
      <c r="C724" s="25"/>
      <c r="D724" s="26"/>
      <c r="E724" s="26"/>
      <c r="F724" s="26"/>
      <c r="G724" s="37"/>
      <c r="H724" s="37"/>
      <c r="I724" s="37"/>
      <c r="J724" s="37"/>
      <c r="K724" s="37"/>
      <c r="L724" s="23"/>
      <c r="M724" s="23"/>
    </row>
    <row r="725" ht="15.75" customHeight="1">
      <c r="A725" s="23"/>
      <c r="B725" s="24"/>
      <c r="C725" s="25"/>
      <c r="D725" s="26"/>
      <c r="E725" s="26"/>
      <c r="F725" s="26"/>
      <c r="G725" s="37"/>
      <c r="H725" s="37"/>
      <c r="I725" s="37"/>
      <c r="J725" s="37"/>
      <c r="K725" s="37"/>
      <c r="L725" s="23"/>
      <c r="M725" s="23"/>
    </row>
    <row r="726" ht="15.75" customHeight="1">
      <c r="A726" s="23"/>
      <c r="B726" s="24"/>
      <c r="C726" s="25"/>
      <c r="D726" s="26"/>
      <c r="E726" s="26"/>
      <c r="F726" s="26"/>
      <c r="G726" s="37"/>
      <c r="H726" s="37"/>
      <c r="I726" s="37"/>
      <c r="J726" s="37"/>
      <c r="K726" s="37"/>
      <c r="L726" s="23"/>
      <c r="M726" s="23"/>
    </row>
    <row r="727" ht="15.75" customHeight="1">
      <c r="A727" s="23"/>
      <c r="B727" s="24"/>
      <c r="C727" s="25"/>
      <c r="D727" s="26"/>
      <c r="E727" s="26"/>
      <c r="F727" s="26"/>
      <c r="G727" s="37"/>
      <c r="H727" s="37"/>
      <c r="I727" s="37"/>
      <c r="J727" s="37"/>
      <c r="K727" s="37"/>
      <c r="L727" s="23"/>
      <c r="M727" s="23"/>
    </row>
    <row r="728" ht="15.75" customHeight="1">
      <c r="A728" s="23"/>
      <c r="B728" s="24"/>
      <c r="C728" s="25"/>
      <c r="D728" s="26"/>
      <c r="E728" s="26"/>
      <c r="F728" s="26"/>
      <c r="G728" s="37"/>
      <c r="H728" s="37"/>
      <c r="I728" s="37"/>
      <c r="J728" s="37"/>
      <c r="K728" s="37"/>
      <c r="L728" s="23"/>
      <c r="M728" s="23"/>
    </row>
    <row r="729" ht="15.75" customHeight="1">
      <c r="A729" s="23"/>
      <c r="B729" s="24"/>
      <c r="C729" s="25"/>
      <c r="D729" s="26"/>
      <c r="E729" s="26"/>
      <c r="F729" s="26"/>
      <c r="G729" s="37"/>
      <c r="H729" s="37"/>
      <c r="I729" s="37"/>
      <c r="J729" s="37"/>
      <c r="K729" s="37"/>
      <c r="L729" s="23"/>
      <c r="M729" s="23"/>
    </row>
    <row r="730" ht="15.75" customHeight="1">
      <c r="A730" s="23"/>
      <c r="B730" s="24"/>
      <c r="C730" s="25"/>
      <c r="D730" s="26"/>
      <c r="E730" s="26"/>
      <c r="F730" s="26"/>
      <c r="G730" s="37"/>
      <c r="H730" s="37"/>
      <c r="I730" s="37"/>
      <c r="J730" s="37"/>
      <c r="K730" s="37"/>
      <c r="L730" s="23"/>
      <c r="M730" s="23"/>
    </row>
    <row r="731" ht="15.75" customHeight="1">
      <c r="A731" s="23"/>
      <c r="B731" s="24"/>
      <c r="C731" s="25"/>
      <c r="D731" s="26"/>
      <c r="E731" s="26"/>
      <c r="F731" s="26"/>
      <c r="G731" s="37"/>
      <c r="H731" s="37"/>
      <c r="I731" s="37"/>
      <c r="J731" s="37"/>
      <c r="K731" s="37"/>
      <c r="L731" s="23"/>
      <c r="M731" s="23"/>
    </row>
    <row r="732" ht="15.75" customHeight="1">
      <c r="A732" s="23"/>
      <c r="B732" s="24"/>
      <c r="C732" s="25"/>
      <c r="D732" s="26"/>
      <c r="E732" s="26"/>
      <c r="F732" s="26"/>
      <c r="G732" s="37"/>
      <c r="H732" s="37"/>
      <c r="I732" s="37"/>
      <c r="J732" s="37"/>
      <c r="K732" s="37"/>
      <c r="L732" s="23"/>
      <c r="M732" s="23"/>
    </row>
    <row r="733" ht="15.75" customHeight="1">
      <c r="A733" s="23"/>
      <c r="B733" s="24"/>
      <c r="C733" s="25"/>
      <c r="D733" s="26"/>
      <c r="E733" s="26"/>
      <c r="F733" s="26"/>
      <c r="G733" s="37"/>
      <c r="H733" s="37"/>
      <c r="I733" s="37"/>
      <c r="J733" s="37"/>
      <c r="K733" s="37"/>
      <c r="L733" s="23"/>
      <c r="M733" s="23"/>
    </row>
    <row r="734" ht="15.75" customHeight="1">
      <c r="A734" s="23"/>
      <c r="B734" s="24"/>
      <c r="C734" s="25"/>
      <c r="D734" s="26"/>
      <c r="E734" s="26"/>
      <c r="F734" s="26"/>
      <c r="G734" s="37"/>
      <c r="H734" s="37"/>
      <c r="I734" s="37"/>
      <c r="J734" s="37"/>
      <c r="K734" s="37"/>
      <c r="L734" s="23"/>
      <c r="M734" s="23"/>
    </row>
    <row r="735" ht="15.75" customHeight="1">
      <c r="A735" s="23"/>
      <c r="B735" s="24"/>
      <c r="C735" s="25"/>
      <c r="D735" s="26"/>
      <c r="E735" s="26"/>
      <c r="F735" s="26"/>
      <c r="G735" s="37"/>
      <c r="H735" s="37"/>
      <c r="I735" s="37"/>
      <c r="J735" s="37"/>
      <c r="K735" s="37"/>
      <c r="L735" s="23"/>
      <c r="M735" s="23"/>
    </row>
    <row r="736" ht="15.75" customHeight="1">
      <c r="A736" s="23"/>
      <c r="B736" s="24"/>
      <c r="C736" s="25"/>
      <c r="D736" s="26"/>
      <c r="E736" s="26"/>
      <c r="F736" s="26"/>
      <c r="G736" s="37"/>
      <c r="H736" s="37"/>
      <c r="I736" s="37"/>
      <c r="J736" s="37"/>
      <c r="K736" s="37"/>
      <c r="L736" s="23"/>
      <c r="M736" s="23"/>
    </row>
    <row r="737" ht="15.75" customHeight="1">
      <c r="A737" s="23"/>
      <c r="B737" s="24"/>
      <c r="C737" s="25"/>
      <c r="D737" s="26"/>
      <c r="E737" s="26"/>
      <c r="F737" s="26"/>
      <c r="G737" s="37"/>
      <c r="H737" s="37"/>
      <c r="I737" s="37"/>
      <c r="J737" s="37"/>
      <c r="K737" s="37"/>
      <c r="L737" s="23"/>
      <c r="M737" s="23"/>
    </row>
    <row r="738" ht="15.75" customHeight="1">
      <c r="A738" s="23"/>
      <c r="B738" s="24"/>
      <c r="C738" s="25"/>
      <c r="D738" s="26"/>
      <c r="E738" s="26"/>
      <c r="F738" s="26"/>
      <c r="G738" s="37"/>
      <c r="H738" s="37"/>
      <c r="I738" s="37"/>
      <c r="J738" s="37"/>
      <c r="K738" s="37"/>
      <c r="L738" s="23"/>
      <c r="M738" s="23"/>
    </row>
    <row r="739" ht="15.75" customHeight="1">
      <c r="A739" s="23"/>
      <c r="B739" s="24"/>
      <c r="C739" s="25"/>
      <c r="D739" s="26"/>
      <c r="E739" s="26"/>
      <c r="F739" s="26"/>
      <c r="G739" s="37"/>
      <c r="H739" s="37"/>
      <c r="I739" s="37"/>
      <c r="J739" s="37"/>
      <c r="K739" s="37"/>
      <c r="L739" s="23"/>
      <c r="M739" s="23"/>
    </row>
    <row r="740" ht="15.75" customHeight="1">
      <c r="A740" s="23"/>
      <c r="B740" s="24"/>
      <c r="C740" s="25"/>
      <c r="D740" s="26"/>
      <c r="E740" s="26"/>
      <c r="F740" s="26"/>
      <c r="G740" s="37"/>
      <c r="H740" s="37"/>
      <c r="I740" s="37"/>
      <c r="J740" s="37"/>
      <c r="K740" s="37"/>
      <c r="L740" s="23"/>
      <c r="M740" s="23"/>
    </row>
    <row r="741" ht="15.75" customHeight="1">
      <c r="A741" s="23"/>
      <c r="B741" s="24"/>
      <c r="C741" s="25"/>
      <c r="D741" s="26"/>
      <c r="E741" s="26"/>
      <c r="F741" s="26"/>
      <c r="G741" s="37"/>
      <c r="H741" s="37"/>
      <c r="I741" s="37"/>
      <c r="J741" s="37"/>
      <c r="K741" s="37"/>
      <c r="L741" s="23"/>
      <c r="M741" s="23"/>
    </row>
    <row r="742" ht="15.75" customHeight="1">
      <c r="A742" s="23"/>
      <c r="B742" s="24"/>
      <c r="C742" s="25"/>
      <c r="D742" s="26"/>
      <c r="E742" s="26"/>
      <c r="F742" s="26"/>
      <c r="G742" s="37"/>
      <c r="H742" s="37"/>
      <c r="I742" s="37"/>
      <c r="J742" s="37"/>
      <c r="K742" s="37"/>
      <c r="L742" s="23"/>
      <c r="M742" s="23"/>
    </row>
    <row r="743" ht="15.75" customHeight="1">
      <c r="A743" s="23"/>
      <c r="B743" s="24"/>
      <c r="C743" s="25"/>
      <c r="D743" s="26"/>
      <c r="E743" s="26"/>
      <c r="F743" s="26"/>
      <c r="G743" s="37"/>
      <c r="H743" s="37"/>
      <c r="I743" s="37"/>
      <c r="J743" s="37"/>
      <c r="K743" s="37"/>
      <c r="L743" s="23"/>
      <c r="M743" s="23"/>
    </row>
    <row r="744" ht="15.75" customHeight="1">
      <c r="A744" s="23"/>
      <c r="B744" s="24"/>
      <c r="C744" s="25"/>
      <c r="D744" s="26"/>
      <c r="E744" s="26"/>
      <c r="F744" s="26"/>
      <c r="G744" s="37"/>
      <c r="H744" s="37"/>
      <c r="I744" s="37"/>
      <c r="J744" s="37"/>
      <c r="K744" s="37"/>
      <c r="L744" s="23"/>
      <c r="M744" s="23"/>
    </row>
    <row r="745" ht="15.75" customHeight="1">
      <c r="A745" s="23"/>
      <c r="B745" s="24"/>
      <c r="C745" s="25"/>
      <c r="D745" s="26"/>
      <c r="E745" s="26"/>
      <c r="F745" s="26"/>
      <c r="G745" s="37"/>
      <c r="H745" s="37"/>
      <c r="I745" s="37"/>
      <c r="J745" s="37"/>
      <c r="K745" s="37"/>
      <c r="L745" s="23"/>
      <c r="M745" s="23"/>
    </row>
    <row r="746" ht="15.75" customHeight="1">
      <c r="A746" s="23"/>
      <c r="B746" s="24"/>
      <c r="C746" s="25"/>
      <c r="D746" s="26"/>
      <c r="E746" s="26"/>
      <c r="F746" s="26"/>
      <c r="G746" s="37"/>
      <c r="H746" s="37"/>
      <c r="I746" s="37"/>
      <c r="J746" s="37"/>
      <c r="K746" s="37"/>
      <c r="L746" s="23"/>
      <c r="M746" s="23"/>
    </row>
    <row r="747" ht="15.75" customHeight="1">
      <c r="A747" s="23"/>
      <c r="B747" s="24"/>
      <c r="C747" s="25"/>
      <c r="D747" s="26"/>
      <c r="E747" s="26"/>
      <c r="F747" s="26"/>
      <c r="G747" s="37"/>
      <c r="H747" s="37"/>
      <c r="I747" s="37"/>
      <c r="J747" s="37"/>
      <c r="K747" s="37"/>
      <c r="L747" s="23"/>
      <c r="M747" s="23"/>
    </row>
    <row r="748" ht="15.75" customHeight="1">
      <c r="A748" s="23"/>
      <c r="B748" s="24"/>
      <c r="C748" s="25"/>
      <c r="D748" s="26"/>
      <c r="E748" s="26"/>
      <c r="F748" s="26"/>
      <c r="G748" s="37"/>
      <c r="H748" s="37"/>
      <c r="I748" s="37"/>
      <c r="J748" s="37"/>
      <c r="K748" s="37"/>
      <c r="L748" s="23"/>
      <c r="M748" s="23"/>
    </row>
    <row r="749" ht="15.75" customHeight="1">
      <c r="A749" s="23"/>
      <c r="B749" s="24"/>
      <c r="C749" s="25"/>
      <c r="D749" s="26"/>
      <c r="E749" s="26"/>
      <c r="F749" s="26"/>
      <c r="G749" s="37"/>
      <c r="H749" s="37"/>
      <c r="I749" s="37"/>
      <c r="J749" s="37"/>
      <c r="K749" s="37"/>
      <c r="L749" s="23"/>
      <c r="M749" s="23"/>
    </row>
    <row r="750" ht="15.75" customHeight="1">
      <c r="A750" s="23"/>
      <c r="B750" s="24"/>
      <c r="C750" s="25"/>
      <c r="D750" s="26"/>
      <c r="E750" s="26"/>
      <c r="F750" s="26"/>
      <c r="G750" s="37"/>
      <c r="H750" s="37"/>
      <c r="I750" s="37"/>
      <c r="J750" s="37"/>
      <c r="K750" s="37"/>
      <c r="L750" s="23"/>
      <c r="M750" s="23"/>
    </row>
    <row r="751" ht="15.75" customHeight="1">
      <c r="A751" s="23"/>
      <c r="B751" s="24"/>
      <c r="C751" s="25"/>
      <c r="D751" s="26"/>
      <c r="E751" s="26"/>
      <c r="F751" s="26"/>
      <c r="G751" s="37"/>
      <c r="H751" s="37"/>
      <c r="I751" s="37"/>
      <c r="J751" s="37"/>
      <c r="K751" s="37"/>
      <c r="L751" s="23"/>
      <c r="M751" s="23"/>
    </row>
    <row r="752" ht="15.75" customHeight="1">
      <c r="A752" s="23"/>
      <c r="B752" s="24"/>
      <c r="C752" s="25"/>
      <c r="D752" s="26"/>
      <c r="E752" s="26"/>
      <c r="F752" s="26"/>
      <c r="G752" s="37"/>
      <c r="H752" s="37"/>
      <c r="I752" s="37"/>
      <c r="J752" s="37"/>
      <c r="K752" s="37"/>
      <c r="L752" s="23"/>
      <c r="M752" s="23"/>
    </row>
    <row r="753" ht="15.75" customHeight="1">
      <c r="A753" s="23"/>
      <c r="B753" s="24"/>
      <c r="C753" s="25"/>
      <c r="D753" s="26"/>
      <c r="E753" s="26"/>
      <c r="F753" s="26"/>
      <c r="G753" s="37"/>
      <c r="H753" s="37"/>
      <c r="I753" s="37"/>
      <c r="J753" s="37"/>
      <c r="K753" s="37"/>
      <c r="L753" s="23"/>
      <c r="M753" s="23"/>
    </row>
    <row r="754" ht="15.75" customHeight="1">
      <c r="A754" s="23"/>
      <c r="B754" s="24"/>
      <c r="C754" s="25"/>
      <c r="D754" s="26"/>
      <c r="E754" s="26"/>
      <c r="F754" s="26"/>
      <c r="G754" s="37"/>
      <c r="H754" s="37"/>
      <c r="I754" s="37"/>
      <c r="J754" s="37"/>
      <c r="K754" s="37"/>
      <c r="L754" s="23"/>
      <c r="M754" s="23"/>
    </row>
    <row r="755" ht="15.75" customHeight="1">
      <c r="A755" s="23"/>
      <c r="B755" s="24"/>
      <c r="C755" s="25"/>
      <c r="D755" s="26"/>
      <c r="E755" s="26"/>
      <c r="F755" s="26"/>
      <c r="G755" s="37"/>
      <c r="H755" s="37"/>
      <c r="I755" s="37"/>
      <c r="J755" s="37"/>
      <c r="K755" s="37"/>
      <c r="L755" s="23"/>
      <c r="M755" s="23"/>
    </row>
    <row r="756" ht="15.75" customHeight="1">
      <c r="A756" s="23"/>
      <c r="B756" s="24"/>
      <c r="C756" s="25"/>
      <c r="D756" s="26"/>
      <c r="E756" s="26"/>
      <c r="F756" s="26"/>
      <c r="G756" s="37"/>
      <c r="H756" s="37"/>
      <c r="I756" s="37"/>
      <c r="J756" s="37"/>
      <c r="K756" s="37"/>
      <c r="L756" s="23"/>
      <c r="M756" s="23"/>
    </row>
    <row r="757" ht="15.75" customHeight="1">
      <c r="A757" s="23"/>
      <c r="B757" s="24"/>
      <c r="C757" s="25"/>
      <c r="D757" s="26"/>
      <c r="E757" s="26"/>
      <c r="F757" s="26"/>
      <c r="G757" s="37"/>
      <c r="H757" s="37"/>
      <c r="I757" s="37"/>
      <c r="J757" s="37"/>
      <c r="K757" s="37"/>
      <c r="L757" s="23"/>
      <c r="M757" s="23"/>
    </row>
    <row r="758" ht="15.75" customHeight="1">
      <c r="A758" s="23"/>
      <c r="B758" s="24"/>
      <c r="C758" s="25"/>
      <c r="D758" s="26"/>
      <c r="E758" s="26"/>
      <c r="F758" s="26"/>
      <c r="G758" s="37"/>
      <c r="H758" s="37"/>
      <c r="I758" s="37"/>
      <c r="J758" s="37"/>
      <c r="K758" s="37"/>
      <c r="L758" s="23"/>
      <c r="M758" s="23"/>
    </row>
    <row r="759" ht="15.75" customHeight="1">
      <c r="A759" s="23"/>
      <c r="B759" s="24"/>
      <c r="C759" s="25"/>
      <c r="D759" s="26"/>
      <c r="E759" s="26"/>
      <c r="F759" s="26"/>
      <c r="G759" s="37"/>
      <c r="H759" s="37"/>
      <c r="I759" s="37"/>
      <c r="J759" s="37"/>
      <c r="K759" s="37"/>
      <c r="L759" s="23"/>
      <c r="M759" s="23"/>
    </row>
    <row r="760" ht="15.75" customHeight="1">
      <c r="A760" s="23"/>
      <c r="B760" s="24"/>
      <c r="C760" s="25"/>
      <c r="D760" s="26"/>
      <c r="E760" s="26"/>
      <c r="F760" s="26"/>
      <c r="G760" s="37"/>
      <c r="H760" s="37"/>
      <c r="I760" s="37"/>
      <c r="J760" s="37"/>
      <c r="K760" s="37"/>
      <c r="L760" s="23"/>
      <c r="M760" s="23"/>
    </row>
    <row r="761" ht="15.75" customHeight="1">
      <c r="A761" s="23"/>
      <c r="B761" s="24"/>
      <c r="C761" s="25"/>
      <c r="D761" s="26"/>
      <c r="E761" s="26"/>
      <c r="F761" s="26"/>
      <c r="G761" s="37"/>
      <c r="H761" s="37"/>
      <c r="I761" s="37"/>
      <c r="J761" s="37"/>
      <c r="K761" s="37"/>
      <c r="L761" s="23"/>
      <c r="M761" s="23"/>
    </row>
    <row r="762" ht="15.75" customHeight="1">
      <c r="A762" s="23"/>
      <c r="B762" s="24"/>
      <c r="C762" s="25"/>
      <c r="D762" s="26"/>
      <c r="E762" s="26"/>
      <c r="F762" s="26"/>
      <c r="G762" s="37"/>
      <c r="H762" s="37"/>
      <c r="I762" s="37"/>
      <c r="J762" s="37"/>
      <c r="K762" s="37"/>
      <c r="L762" s="23"/>
      <c r="M762" s="23"/>
    </row>
    <row r="763" ht="15.75" customHeight="1">
      <c r="A763" s="23"/>
      <c r="B763" s="24"/>
      <c r="C763" s="25"/>
      <c r="D763" s="26"/>
      <c r="E763" s="26"/>
      <c r="F763" s="26"/>
      <c r="G763" s="37"/>
      <c r="H763" s="37"/>
      <c r="I763" s="37"/>
      <c r="J763" s="37"/>
      <c r="K763" s="37"/>
      <c r="L763" s="23"/>
      <c r="M763" s="23"/>
    </row>
    <row r="764" ht="15.75" customHeight="1">
      <c r="A764" s="23"/>
      <c r="B764" s="24"/>
      <c r="C764" s="25"/>
      <c r="D764" s="26"/>
      <c r="E764" s="26"/>
      <c r="F764" s="26"/>
      <c r="G764" s="37"/>
      <c r="H764" s="37"/>
      <c r="I764" s="37"/>
      <c r="J764" s="37"/>
      <c r="K764" s="37"/>
      <c r="L764" s="23"/>
      <c r="M764" s="23"/>
    </row>
    <row r="765" ht="15.75" customHeight="1">
      <c r="A765" s="23"/>
      <c r="B765" s="24"/>
      <c r="C765" s="25"/>
      <c r="D765" s="26"/>
      <c r="E765" s="26"/>
      <c r="F765" s="26"/>
      <c r="G765" s="37"/>
      <c r="H765" s="37"/>
      <c r="I765" s="37"/>
      <c r="J765" s="37"/>
      <c r="K765" s="37"/>
      <c r="L765" s="23"/>
      <c r="M765" s="23"/>
    </row>
    <row r="766" ht="15.75" customHeight="1">
      <c r="A766" s="23"/>
      <c r="B766" s="24"/>
      <c r="C766" s="25"/>
      <c r="D766" s="26"/>
      <c r="E766" s="26"/>
      <c r="F766" s="26"/>
      <c r="G766" s="37"/>
      <c r="H766" s="37"/>
      <c r="I766" s="37"/>
      <c r="J766" s="37"/>
      <c r="K766" s="37"/>
      <c r="L766" s="23"/>
      <c r="M766" s="23"/>
    </row>
    <row r="767" ht="15.75" customHeight="1">
      <c r="A767" s="23"/>
      <c r="B767" s="24"/>
      <c r="C767" s="25"/>
      <c r="D767" s="26"/>
      <c r="E767" s="26"/>
      <c r="F767" s="26"/>
      <c r="G767" s="37"/>
      <c r="H767" s="37"/>
      <c r="I767" s="37"/>
      <c r="J767" s="37"/>
      <c r="K767" s="37"/>
      <c r="L767" s="23"/>
      <c r="M767" s="23"/>
    </row>
    <row r="768" ht="15.75" customHeight="1">
      <c r="A768" s="23"/>
      <c r="B768" s="24"/>
      <c r="C768" s="25"/>
      <c r="D768" s="26"/>
      <c r="E768" s="26"/>
      <c r="F768" s="26"/>
      <c r="G768" s="37"/>
      <c r="H768" s="37"/>
      <c r="I768" s="37"/>
      <c r="J768" s="37"/>
      <c r="K768" s="37"/>
      <c r="L768" s="23"/>
      <c r="M768" s="23"/>
    </row>
    <row r="769" ht="15.75" customHeight="1">
      <c r="A769" s="23"/>
      <c r="B769" s="24"/>
      <c r="C769" s="25"/>
      <c r="D769" s="26"/>
      <c r="E769" s="26"/>
      <c r="F769" s="26"/>
      <c r="G769" s="37"/>
      <c r="H769" s="37"/>
      <c r="I769" s="37"/>
      <c r="J769" s="37"/>
      <c r="K769" s="37"/>
      <c r="L769" s="23"/>
      <c r="M769" s="23"/>
    </row>
    <row r="770" ht="15.75" customHeight="1">
      <c r="A770" s="23"/>
      <c r="B770" s="24"/>
      <c r="C770" s="25"/>
      <c r="D770" s="26"/>
      <c r="E770" s="26"/>
      <c r="F770" s="26"/>
      <c r="G770" s="37"/>
      <c r="H770" s="37"/>
      <c r="I770" s="37"/>
      <c r="J770" s="37"/>
      <c r="K770" s="37"/>
      <c r="L770" s="23"/>
      <c r="M770" s="23"/>
    </row>
    <row r="771" ht="15.75" customHeight="1">
      <c r="A771" s="23"/>
      <c r="B771" s="24"/>
      <c r="C771" s="25"/>
      <c r="D771" s="26"/>
      <c r="E771" s="26"/>
      <c r="F771" s="26"/>
      <c r="G771" s="37"/>
      <c r="H771" s="37"/>
      <c r="I771" s="37"/>
      <c r="J771" s="37"/>
      <c r="K771" s="37"/>
      <c r="L771" s="23"/>
      <c r="M771" s="23"/>
    </row>
    <row r="772" ht="15.75" customHeight="1">
      <c r="A772" s="23"/>
      <c r="B772" s="24"/>
      <c r="C772" s="25"/>
      <c r="D772" s="26"/>
      <c r="E772" s="26"/>
      <c r="F772" s="26"/>
      <c r="G772" s="37"/>
      <c r="H772" s="37"/>
      <c r="I772" s="37"/>
      <c r="J772" s="37"/>
      <c r="K772" s="37"/>
      <c r="L772" s="23"/>
      <c r="M772" s="23"/>
    </row>
    <row r="773" ht="15.75" customHeight="1">
      <c r="A773" s="23"/>
      <c r="B773" s="24"/>
      <c r="C773" s="25"/>
      <c r="D773" s="26"/>
      <c r="E773" s="26"/>
      <c r="F773" s="26"/>
      <c r="G773" s="37"/>
      <c r="H773" s="37"/>
      <c r="I773" s="37"/>
      <c r="J773" s="37"/>
      <c r="K773" s="37"/>
      <c r="L773" s="23"/>
      <c r="M773" s="23"/>
    </row>
    <row r="774" ht="15.75" customHeight="1">
      <c r="A774" s="23"/>
      <c r="B774" s="24"/>
      <c r="C774" s="25"/>
      <c r="D774" s="26"/>
      <c r="E774" s="26"/>
      <c r="F774" s="26"/>
      <c r="G774" s="37"/>
      <c r="H774" s="37"/>
      <c r="I774" s="37"/>
      <c r="J774" s="37"/>
      <c r="K774" s="37"/>
      <c r="L774" s="23"/>
      <c r="M774" s="23"/>
    </row>
    <row r="775" ht="15.75" customHeight="1">
      <c r="A775" s="23"/>
      <c r="B775" s="24"/>
      <c r="C775" s="25"/>
      <c r="D775" s="26"/>
      <c r="E775" s="26"/>
      <c r="F775" s="26"/>
      <c r="G775" s="37"/>
      <c r="H775" s="37"/>
      <c r="I775" s="37"/>
      <c r="J775" s="37"/>
      <c r="K775" s="37"/>
      <c r="L775" s="23"/>
      <c r="M775" s="23"/>
    </row>
    <row r="776" ht="15.75" customHeight="1">
      <c r="A776" s="23"/>
      <c r="B776" s="24"/>
      <c r="C776" s="25"/>
      <c r="D776" s="26"/>
      <c r="E776" s="26"/>
      <c r="F776" s="26"/>
      <c r="G776" s="37"/>
      <c r="H776" s="37"/>
      <c r="I776" s="37"/>
      <c r="J776" s="37"/>
      <c r="K776" s="37"/>
      <c r="L776" s="23"/>
      <c r="M776" s="23"/>
    </row>
    <row r="777" ht="15.75" customHeight="1">
      <c r="A777" s="23"/>
      <c r="B777" s="24"/>
      <c r="C777" s="25"/>
      <c r="D777" s="26"/>
      <c r="E777" s="26"/>
      <c r="F777" s="26"/>
      <c r="G777" s="37"/>
      <c r="H777" s="37"/>
      <c r="I777" s="37"/>
      <c r="J777" s="37"/>
      <c r="K777" s="37"/>
      <c r="L777" s="23"/>
      <c r="M777" s="23"/>
    </row>
    <row r="778" ht="15.75" customHeight="1">
      <c r="A778" s="23"/>
      <c r="B778" s="24"/>
      <c r="C778" s="25"/>
      <c r="D778" s="26"/>
      <c r="E778" s="26"/>
      <c r="F778" s="26"/>
      <c r="G778" s="37"/>
      <c r="H778" s="37"/>
      <c r="I778" s="37"/>
      <c r="J778" s="37"/>
      <c r="K778" s="37"/>
      <c r="L778" s="23"/>
      <c r="M778" s="23"/>
    </row>
    <row r="779" ht="15.75" customHeight="1">
      <c r="A779" s="23"/>
      <c r="B779" s="24"/>
      <c r="C779" s="25"/>
      <c r="D779" s="26"/>
      <c r="E779" s="26"/>
      <c r="F779" s="26"/>
      <c r="G779" s="37"/>
      <c r="H779" s="37"/>
      <c r="I779" s="37"/>
      <c r="J779" s="37"/>
      <c r="K779" s="37"/>
      <c r="L779" s="23"/>
      <c r="M779" s="23"/>
    </row>
    <row r="780" ht="15.75" customHeight="1">
      <c r="A780" s="23"/>
      <c r="B780" s="24"/>
      <c r="C780" s="25"/>
      <c r="D780" s="26"/>
      <c r="E780" s="26"/>
      <c r="F780" s="26"/>
      <c r="G780" s="37"/>
      <c r="H780" s="37"/>
      <c r="I780" s="37"/>
      <c r="J780" s="37"/>
      <c r="K780" s="37"/>
      <c r="L780" s="23"/>
      <c r="M780" s="23"/>
    </row>
    <row r="781" ht="15.75" customHeight="1">
      <c r="A781" s="23"/>
      <c r="B781" s="24"/>
      <c r="C781" s="25"/>
      <c r="D781" s="26"/>
      <c r="E781" s="26"/>
      <c r="F781" s="26"/>
      <c r="G781" s="37"/>
      <c r="H781" s="37"/>
      <c r="I781" s="37"/>
      <c r="J781" s="37"/>
      <c r="K781" s="37"/>
      <c r="L781" s="23"/>
      <c r="M781" s="23"/>
    </row>
    <row r="782" ht="15.75" customHeight="1">
      <c r="A782" s="23"/>
      <c r="B782" s="24"/>
      <c r="C782" s="25"/>
      <c r="D782" s="26"/>
      <c r="E782" s="26"/>
      <c r="F782" s="26"/>
      <c r="G782" s="37"/>
      <c r="H782" s="37"/>
      <c r="I782" s="37"/>
      <c r="J782" s="37"/>
      <c r="K782" s="37"/>
      <c r="L782" s="23"/>
      <c r="M782" s="23"/>
    </row>
    <row r="783" ht="15.75" customHeight="1">
      <c r="A783" s="23"/>
      <c r="B783" s="24"/>
      <c r="C783" s="25"/>
      <c r="D783" s="26"/>
      <c r="E783" s="26"/>
      <c r="F783" s="26"/>
      <c r="G783" s="37"/>
      <c r="H783" s="37"/>
      <c r="I783" s="37"/>
      <c r="J783" s="37"/>
      <c r="K783" s="37"/>
      <c r="L783" s="23"/>
      <c r="M783" s="23"/>
    </row>
    <row r="784" ht="15.75" customHeight="1">
      <c r="A784" s="23"/>
      <c r="B784" s="24"/>
      <c r="C784" s="25"/>
      <c r="D784" s="26"/>
      <c r="E784" s="26"/>
      <c r="F784" s="26"/>
      <c r="G784" s="37"/>
      <c r="H784" s="37"/>
      <c r="I784" s="37"/>
      <c r="J784" s="37"/>
      <c r="K784" s="37"/>
      <c r="L784" s="23"/>
      <c r="M784" s="23"/>
    </row>
    <row r="785" ht="15.75" customHeight="1">
      <c r="A785" s="23"/>
      <c r="B785" s="24"/>
      <c r="C785" s="25"/>
      <c r="D785" s="26"/>
      <c r="E785" s="26"/>
      <c r="F785" s="26"/>
      <c r="G785" s="37"/>
      <c r="H785" s="37"/>
      <c r="I785" s="37"/>
      <c r="J785" s="37"/>
      <c r="K785" s="37"/>
      <c r="L785" s="23"/>
      <c r="M785" s="23"/>
    </row>
    <row r="786" ht="15.75" customHeight="1">
      <c r="A786" s="23"/>
      <c r="B786" s="24"/>
      <c r="C786" s="25"/>
      <c r="D786" s="26"/>
      <c r="E786" s="26"/>
      <c r="F786" s="26"/>
      <c r="G786" s="37"/>
      <c r="H786" s="37"/>
      <c r="I786" s="37"/>
      <c r="J786" s="37"/>
      <c r="K786" s="37"/>
      <c r="L786" s="23"/>
      <c r="M786" s="23"/>
    </row>
    <row r="787" ht="15.75" customHeight="1">
      <c r="A787" s="23"/>
      <c r="B787" s="24"/>
      <c r="C787" s="25"/>
      <c r="D787" s="26"/>
      <c r="E787" s="26"/>
      <c r="F787" s="26"/>
      <c r="G787" s="37"/>
      <c r="H787" s="37"/>
      <c r="I787" s="37"/>
      <c r="J787" s="37"/>
      <c r="K787" s="37"/>
      <c r="L787" s="23"/>
      <c r="M787" s="23"/>
    </row>
    <row r="788" ht="15.75" customHeight="1">
      <c r="A788" s="23"/>
      <c r="B788" s="24"/>
      <c r="C788" s="25"/>
      <c r="D788" s="26"/>
      <c r="E788" s="26"/>
      <c r="F788" s="26"/>
      <c r="G788" s="37"/>
      <c r="H788" s="37"/>
      <c r="I788" s="37"/>
      <c r="J788" s="37"/>
      <c r="K788" s="37"/>
      <c r="L788" s="23"/>
      <c r="M788" s="23"/>
    </row>
    <row r="789" ht="15.75" customHeight="1">
      <c r="A789" s="23"/>
      <c r="B789" s="24"/>
      <c r="C789" s="25"/>
      <c r="D789" s="26"/>
      <c r="E789" s="26"/>
      <c r="F789" s="26"/>
      <c r="G789" s="37"/>
      <c r="H789" s="37"/>
      <c r="I789" s="37"/>
      <c r="J789" s="37"/>
      <c r="K789" s="37"/>
      <c r="L789" s="23"/>
      <c r="M789" s="23"/>
    </row>
    <row r="790" ht="15.75" customHeight="1">
      <c r="A790" s="23"/>
      <c r="B790" s="24"/>
      <c r="C790" s="25"/>
      <c r="D790" s="26"/>
      <c r="E790" s="26"/>
      <c r="F790" s="26"/>
      <c r="G790" s="37"/>
      <c r="H790" s="37"/>
      <c r="I790" s="37"/>
      <c r="J790" s="37"/>
      <c r="K790" s="37"/>
      <c r="L790" s="23"/>
      <c r="M790" s="23"/>
    </row>
    <row r="791" ht="15.75" customHeight="1">
      <c r="A791" s="23"/>
      <c r="B791" s="24"/>
      <c r="C791" s="25"/>
      <c r="D791" s="26"/>
      <c r="E791" s="26"/>
      <c r="F791" s="26"/>
      <c r="G791" s="37"/>
      <c r="H791" s="37"/>
      <c r="I791" s="37"/>
      <c r="J791" s="37"/>
      <c r="K791" s="37"/>
      <c r="L791" s="23"/>
      <c r="M791" s="23"/>
    </row>
    <row r="792" ht="15.75" customHeight="1">
      <c r="A792" s="23"/>
      <c r="B792" s="24"/>
      <c r="C792" s="25"/>
      <c r="D792" s="26"/>
      <c r="E792" s="26"/>
      <c r="F792" s="26"/>
      <c r="G792" s="37"/>
      <c r="H792" s="37"/>
      <c r="I792" s="37"/>
      <c r="J792" s="37"/>
      <c r="K792" s="37"/>
      <c r="L792" s="23"/>
      <c r="M792" s="23"/>
    </row>
    <row r="793" ht="15.75" customHeight="1">
      <c r="A793" s="23"/>
      <c r="B793" s="24"/>
      <c r="C793" s="25"/>
      <c r="D793" s="26"/>
      <c r="E793" s="26"/>
      <c r="F793" s="26"/>
      <c r="G793" s="37"/>
      <c r="H793" s="37"/>
      <c r="I793" s="37"/>
      <c r="J793" s="37"/>
      <c r="K793" s="37"/>
      <c r="L793" s="23"/>
      <c r="M793" s="23"/>
    </row>
    <row r="794" ht="15.75" customHeight="1">
      <c r="A794" s="23"/>
      <c r="B794" s="24"/>
      <c r="C794" s="25"/>
      <c r="D794" s="26"/>
      <c r="E794" s="26"/>
      <c r="F794" s="26"/>
      <c r="G794" s="37"/>
      <c r="H794" s="37"/>
      <c r="I794" s="37"/>
      <c r="J794" s="37"/>
      <c r="K794" s="37"/>
      <c r="L794" s="23"/>
      <c r="M794" s="23"/>
    </row>
    <row r="795" ht="15.75" customHeight="1">
      <c r="A795" s="23"/>
      <c r="B795" s="24"/>
      <c r="C795" s="25"/>
      <c r="D795" s="26"/>
      <c r="E795" s="26"/>
      <c r="F795" s="26"/>
      <c r="G795" s="37"/>
      <c r="H795" s="37"/>
      <c r="I795" s="37"/>
      <c r="J795" s="37"/>
      <c r="K795" s="37"/>
      <c r="L795" s="23"/>
      <c r="M795" s="23"/>
    </row>
    <row r="796" ht="15.75" customHeight="1">
      <c r="A796" s="23"/>
      <c r="B796" s="24"/>
      <c r="C796" s="25"/>
      <c r="D796" s="26"/>
      <c r="E796" s="26"/>
      <c r="F796" s="26"/>
      <c r="G796" s="37"/>
      <c r="H796" s="37"/>
      <c r="I796" s="37"/>
      <c r="J796" s="37"/>
      <c r="K796" s="37"/>
      <c r="L796" s="23"/>
      <c r="M796" s="23"/>
    </row>
    <row r="797" ht="15.75" customHeight="1">
      <c r="A797" s="23"/>
      <c r="B797" s="24"/>
      <c r="C797" s="25"/>
      <c r="D797" s="26"/>
      <c r="E797" s="26"/>
      <c r="F797" s="26"/>
      <c r="G797" s="37"/>
      <c r="H797" s="37"/>
      <c r="I797" s="37"/>
      <c r="J797" s="37"/>
      <c r="K797" s="37"/>
      <c r="L797" s="23"/>
      <c r="M797" s="23"/>
    </row>
    <row r="798" ht="15.75" customHeight="1">
      <c r="A798" s="23"/>
      <c r="B798" s="24"/>
      <c r="C798" s="25"/>
      <c r="D798" s="26"/>
      <c r="E798" s="26"/>
      <c r="F798" s="26"/>
      <c r="G798" s="37"/>
      <c r="H798" s="37"/>
      <c r="I798" s="37"/>
      <c r="J798" s="37"/>
      <c r="K798" s="37"/>
      <c r="L798" s="23"/>
      <c r="M798" s="23"/>
    </row>
    <row r="799" ht="15.75" customHeight="1">
      <c r="A799" s="23"/>
      <c r="B799" s="24"/>
      <c r="C799" s="25"/>
      <c r="D799" s="26"/>
      <c r="E799" s="26"/>
      <c r="F799" s="26"/>
      <c r="G799" s="37"/>
      <c r="H799" s="37"/>
      <c r="I799" s="37"/>
      <c r="J799" s="37"/>
      <c r="K799" s="37"/>
      <c r="L799" s="23"/>
      <c r="M799" s="23"/>
    </row>
    <row r="800" ht="15.75" customHeight="1">
      <c r="A800" s="23"/>
      <c r="B800" s="24"/>
      <c r="C800" s="25"/>
      <c r="D800" s="26"/>
      <c r="E800" s="26"/>
      <c r="F800" s="26"/>
      <c r="G800" s="37"/>
      <c r="H800" s="37"/>
      <c r="I800" s="37"/>
      <c r="J800" s="37"/>
      <c r="K800" s="37"/>
      <c r="L800" s="23"/>
      <c r="M800" s="23"/>
    </row>
    <row r="801" ht="15.75" customHeight="1">
      <c r="A801" s="23"/>
      <c r="B801" s="24"/>
      <c r="C801" s="25"/>
      <c r="D801" s="26"/>
      <c r="E801" s="26"/>
      <c r="F801" s="26"/>
      <c r="G801" s="37"/>
      <c r="H801" s="37"/>
      <c r="I801" s="37"/>
      <c r="J801" s="37"/>
      <c r="K801" s="37"/>
      <c r="L801" s="23"/>
      <c r="M801" s="23"/>
    </row>
    <row r="802" ht="15.75" customHeight="1">
      <c r="A802" s="23"/>
      <c r="B802" s="24"/>
      <c r="C802" s="25"/>
      <c r="D802" s="26"/>
      <c r="E802" s="26"/>
      <c r="F802" s="26"/>
      <c r="G802" s="37"/>
      <c r="H802" s="37"/>
      <c r="I802" s="37"/>
      <c r="J802" s="37"/>
      <c r="K802" s="37"/>
      <c r="L802" s="23"/>
      <c r="M802" s="23"/>
    </row>
    <row r="803" ht="15.75" customHeight="1">
      <c r="A803" s="23"/>
      <c r="B803" s="24"/>
      <c r="C803" s="25"/>
      <c r="D803" s="26"/>
      <c r="E803" s="26"/>
      <c r="F803" s="26"/>
      <c r="G803" s="37"/>
      <c r="H803" s="37"/>
      <c r="I803" s="37"/>
      <c r="J803" s="37"/>
      <c r="K803" s="37"/>
      <c r="L803" s="23"/>
      <c r="M803" s="23"/>
    </row>
    <row r="804" ht="15.75" customHeight="1">
      <c r="A804" s="23"/>
      <c r="B804" s="24"/>
      <c r="C804" s="25"/>
      <c r="D804" s="26"/>
      <c r="E804" s="26"/>
      <c r="F804" s="26"/>
      <c r="G804" s="37"/>
      <c r="H804" s="37"/>
      <c r="I804" s="37"/>
      <c r="J804" s="37"/>
      <c r="K804" s="37"/>
      <c r="L804" s="23"/>
      <c r="M804" s="23"/>
    </row>
    <row r="805" ht="15.75" customHeight="1">
      <c r="A805" s="23"/>
      <c r="B805" s="24"/>
      <c r="C805" s="25"/>
      <c r="D805" s="26"/>
      <c r="E805" s="26"/>
      <c r="F805" s="26"/>
      <c r="G805" s="37"/>
      <c r="H805" s="37"/>
      <c r="I805" s="37"/>
      <c r="J805" s="37"/>
      <c r="K805" s="37"/>
      <c r="L805" s="23"/>
      <c r="M805" s="23"/>
    </row>
    <row r="806" ht="15.75" customHeight="1">
      <c r="A806" s="23"/>
      <c r="B806" s="24"/>
      <c r="C806" s="25"/>
      <c r="D806" s="26"/>
      <c r="E806" s="26"/>
      <c r="F806" s="26"/>
      <c r="G806" s="37"/>
      <c r="H806" s="37"/>
      <c r="I806" s="37"/>
      <c r="J806" s="37"/>
      <c r="K806" s="37"/>
      <c r="L806" s="23"/>
      <c r="M806" s="23"/>
    </row>
    <row r="807" ht="15.75" customHeight="1">
      <c r="A807" s="23"/>
      <c r="B807" s="24"/>
      <c r="C807" s="25"/>
      <c r="D807" s="26"/>
      <c r="E807" s="26"/>
      <c r="F807" s="26"/>
      <c r="G807" s="37"/>
      <c r="H807" s="37"/>
      <c r="I807" s="37"/>
      <c r="J807" s="37"/>
      <c r="K807" s="37"/>
      <c r="L807" s="23"/>
      <c r="M807" s="23"/>
    </row>
    <row r="808" ht="15.75" customHeight="1">
      <c r="A808" s="23"/>
      <c r="B808" s="24"/>
      <c r="C808" s="25"/>
      <c r="D808" s="26"/>
      <c r="E808" s="26"/>
      <c r="F808" s="26"/>
      <c r="G808" s="37"/>
      <c r="H808" s="37"/>
      <c r="I808" s="37"/>
      <c r="J808" s="37"/>
      <c r="K808" s="37"/>
      <c r="L808" s="23"/>
      <c r="M808" s="23"/>
    </row>
    <row r="809" ht="15.75" customHeight="1">
      <c r="A809" s="23"/>
      <c r="B809" s="24"/>
      <c r="C809" s="25"/>
      <c r="D809" s="26"/>
      <c r="E809" s="26"/>
      <c r="F809" s="26"/>
      <c r="G809" s="37"/>
      <c r="H809" s="37"/>
      <c r="I809" s="37"/>
      <c r="J809" s="37"/>
      <c r="K809" s="37"/>
      <c r="L809" s="23"/>
      <c r="M809" s="23"/>
    </row>
    <row r="810" ht="15.75" customHeight="1">
      <c r="A810" s="23"/>
      <c r="B810" s="24"/>
      <c r="C810" s="25"/>
      <c r="D810" s="26"/>
      <c r="E810" s="26"/>
      <c r="F810" s="26"/>
      <c r="G810" s="37"/>
      <c r="H810" s="37"/>
      <c r="I810" s="37"/>
      <c r="J810" s="37"/>
      <c r="K810" s="37"/>
      <c r="L810" s="23"/>
      <c r="M810" s="23"/>
    </row>
    <row r="811" ht="15.75" customHeight="1">
      <c r="A811" s="23"/>
      <c r="B811" s="24"/>
      <c r="C811" s="25"/>
      <c r="D811" s="26"/>
      <c r="E811" s="26"/>
      <c r="F811" s="26"/>
      <c r="G811" s="37"/>
      <c r="H811" s="37"/>
      <c r="I811" s="37"/>
      <c r="J811" s="37"/>
      <c r="K811" s="37"/>
      <c r="L811" s="23"/>
      <c r="M811" s="23"/>
    </row>
    <row r="812" ht="15.75" customHeight="1">
      <c r="A812" s="23"/>
      <c r="B812" s="24"/>
      <c r="C812" s="25"/>
      <c r="D812" s="26"/>
      <c r="E812" s="26"/>
      <c r="F812" s="26"/>
      <c r="G812" s="37"/>
      <c r="H812" s="37"/>
      <c r="I812" s="37"/>
      <c r="J812" s="37"/>
      <c r="K812" s="37"/>
      <c r="L812" s="23"/>
      <c r="M812" s="23"/>
    </row>
    <row r="813" ht="15.75" customHeight="1">
      <c r="A813" s="23"/>
      <c r="B813" s="24"/>
      <c r="C813" s="25"/>
      <c r="D813" s="26"/>
      <c r="E813" s="26"/>
      <c r="F813" s="26"/>
      <c r="G813" s="37"/>
      <c r="H813" s="37"/>
      <c r="I813" s="37"/>
      <c r="J813" s="37"/>
      <c r="K813" s="37"/>
      <c r="L813" s="23"/>
      <c r="M813" s="23"/>
    </row>
    <row r="814" ht="15.75" customHeight="1">
      <c r="A814" s="23"/>
      <c r="B814" s="24"/>
      <c r="C814" s="25"/>
      <c r="D814" s="26"/>
      <c r="E814" s="26"/>
      <c r="F814" s="26"/>
      <c r="G814" s="37"/>
      <c r="H814" s="37"/>
      <c r="I814" s="37"/>
      <c r="J814" s="37"/>
      <c r="K814" s="37"/>
      <c r="L814" s="23"/>
      <c r="M814" s="23"/>
    </row>
    <row r="815" ht="15.75" customHeight="1">
      <c r="A815" s="23"/>
      <c r="B815" s="24"/>
      <c r="C815" s="25"/>
      <c r="D815" s="26"/>
      <c r="E815" s="26"/>
      <c r="F815" s="26"/>
      <c r="G815" s="37"/>
      <c r="H815" s="37"/>
      <c r="I815" s="37"/>
      <c r="J815" s="37"/>
      <c r="K815" s="37"/>
      <c r="L815" s="23"/>
      <c r="M815" s="23"/>
    </row>
    <row r="816" ht="15.75" customHeight="1">
      <c r="A816" s="23"/>
      <c r="B816" s="24"/>
      <c r="C816" s="25"/>
      <c r="D816" s="26"/>
      <c r="E816" s="26"/>
      <c r="F816" s="26"/>
      <c r="G816" s="37"/>
      <c r="H816" s="37"/>
      <c r="I816" s="37"/>
      <c r="J816" s="37"/>
      <c r="K816" s="37"/>
      <c r="L816" s="23"/>
      <c r="M816" s="23"/>
    </row>
    <row r="817" ht="15.75" customHeight="1">
      <c r="A817" s="23"/>
      <c r="B817" s="24"/>
      <c r="C817" s="25"/>
      <c r="D817" s="26"/>
      <c r="E817" s="26"/>
      <c r="F817" s="26"/>
      <c r="G817" s="37"/>
      <c r="H817" s="37"/>
      <c r="I817" s="37"/>
      <c r="J817" s="37"/>
      <c r="K817" s="37"/>
      <c r="L817" s="23"/>
      <c r="M817" s="23"/>
    </row>
    <row r="818" ht="15.75" customHeight="1">
      <c r="A818" s="23"/>
      <c r="B818" s="24"/>
      <c r="C818" s="25"/>
      <c r="D818" s="26"/>
      <c r="E818" s="26"/>
      <c r="F818" s="26"/>
      <c r="G818" s="37"/>
      <c r="H818" s="37"/>
      <c r="I818" s="37"/>
      <c r="J818" s="37"/>
      <c r="K818" s="37"/>
      <c r="L818" s="23"/>
      <c r="M818" s="23"/>
    </row>
    <row r="819" ht="15.75" customHeight="1">
      <c r="A819" s="23"/>
      <c r="B819" s="24"/>
      <c r="C819" s="25"/>
      <c r="D819" s="26"/>
      <c r="E819" s="26"/>
      <c r="F819" s="26"/>
      <c r="G819" s="37"/>
      <c r="H819" s="37"/>
      <c r="I819" s="37"/>
      <c r="J819" s="37"/>
      <c r="K819" s="37"/>
      <c r="L819" s="23"/>
      <c r="M819" s="23"/>
    </row>
    <row r="820" ht="15.75" customHeight="1">
      <c r="A820" s="23"/>
      <c r="B820" s="24"/>
      <c r="C820" s="25"/>
      <c r="D820" s="26"/>
      <c r="E820" s="26"/>
      <c r="F820" s="26"/>
      <c r="G820" s="37"/>
      <c r="H820" s="37"/>
      <c r="I820" s="37"/>
      <c r="J820" s="37"/>
      <c r="K820" s="37"/>
      <c r="L820" s="23"/>
      <c r="M820" s="23"/>
    </row>
    <row r="821" ht="15.75" customHeight="1">
      <c r="A821" s="23"/>
      <c r="B821" s="24"/>
      <c r="C821" s="25"/>
      <c r="D821" s="26"/>
      <c r="E821" s="26"/>
      <c r="F821" s="26"/>
      <c r="G821" s="37"/>
      <c r="H821" s="37"/>
      <c r="I821" s="37"/>
      <c r="J821" s="37"/>
      <c r="K821" s="37"/>
      <c r="L821" s="23"/>
      <c r="M821" s="23"/>
    </row>
    <row r="822" ht="15.75" customHeight="1">
      <c r="A822" s="23"/>
      <c r="B822" s="24"/>
      <c r="C822" s="25"/>
      <c r="D822" s="26"/>
      <c r="E822" s="26"/>
      <c r="F822" s="26"/>
      <c r="G822" s="37"/>
      <c r="H822" s="37"/>
      <c r="I822" s="37"/>
      <c r="J822" s="37"/>
      <c r="K822" s="37"/>
      <c r="L822" s="23"/>
      <c r="M822" s="23"/>
    </row>
    <row r="823" ht="15.75" customHeight="1">
      <c r="A823" s="23"/>
      <c r="B823" s="24"/>
      <c r="C823" s="25"/>
      <c r="D823" s="26"/>
      <c r="E823" s="26"/>
      <c r="F823" s="26"/>
      <c r="G823" s="37"/>
      <c r="H823" s="37"/>
      <c r="I823" s="37"/>
      <c r="J823" s="37"/>
      <c r="K823" s="37"/>
      <c r="L823" s="23"/>
      <c r="M823" s="23"/>
    </row>
    <row r="824" ht="15.75" customHeight="1">
      <c r="A824" s="23"/>
      <c r="B824" s="24"/>
      <c r="C824" s="25"/>
      <c r="D824" s="26"/>
      <c r="E824" s="26"/>
      <c r="F824" s="26"/>
      <c r="G824" s="37"/>
      <c r="H824" s="37"/>
      <c r="I824" s="37"/>
      <c r="J824" s="37"/>
      <c r="K824" s="37"/>
      <c r="L824" s="23"/>
      <c r="M824" s="23"/>
    </row>
    <row r="825" ht="15.75" customHeight="1">
      <c r="A825" s="23"/>
      <c r="B825" s="24"/>
      <c r="C825" s="25"/>
      <c r="D825" s="26"/>
      <c r="E825" s="26"/>
      <c r="F825" s="26"/>
      <c r="G825" s="37"/>
      <c r="H825" s="37"/>
      <c r="I825" s="37"/>
      <c r="J825" s="37"/>
      <c r="K825" s="37"/>
      <c r="L825" s="23"/>
      <c r="M825" s="23"/>
    </row>
    <row r="826" ht="15.75" customHeight="1">
      <c r="A826" s="23"/>
      <c r="B826" s="24"/>
      <c r="C826" s="25"/>
      <c r="D826" s="26"/>
      <c r="E826" s="26"/>
      <c r="F826" s="26"/>
      <c r="G826" s="37"/>
      <c r="H826" s="37"/>
      <c r="I826" s="37"/>
      <c r="J826" s="37"/>
      <c r="K826" s="37"/>
      <c r="L826" s="23"/>
      <c r="M826" s="23"/>
    </row>
    <row r="827" ht="15.75" customHeight="1">
      <c r="A827" s="23"/>
      <c r="B827" s="24"/>
      <c r="C827" s="25"/>
      <c r="D827" s="26"/>
      <c r="E827" s="26"/>
      <c r="F827" s="26"/>
      <c r="G827" s="37"/>
      <c r="H827" s="37"/>
      <c r="I827" s="37"/>
      <c r="J827" s="37"/>
      <c r="K827" s="37"/>
      <c r="L827" s="23"/>
      <c r="M827" s="23"/>
    </row>
    <row r="828" ht="15.75" customHeight="1">
      <c r="A828" s="23"/>
      <c r="B828" s="24"/>
      <c r="C828" s="25"/>
      <c r="D828" s="26"/>
      <c r="E828" s="26"/>
      <c r="F828" s="26"/>
      <c r="G828" s="37"/>
      <c r="H828" s="37"/>
      <c r="I828" s="37"/>
      <c r="J828" s="37"/>
      <c r="K828" s="37"/>
      <c r="L828" s="23"/>
      <c r="M828" s="23"/>
    </row>
    <row r="829" ht="15.75" customHeight="1">
      <c r="A829" s="23"/>
      <c r="B829" s="24"/>
      <c r="C829" s="25"/>
      <c r="D829" s="26"/>
      <c r="E829" s="26"/>
      <c r="F829" s="26"/>
      <c r="G829" s="37"/>
      <c r="H829" s="37"/>
      <c r="I829" s="37"/>
      <c r="J829" s="37"/>
      <c r="K829" s="37"/>
      <c r="L829" s="23"/>
      <c r="M829" s="23"/>
    </row>
    <row r="830" ht="15.75" customHeight="1">
      <c r="A830" s="23"/>
      <c r="B830" s="24"/>
      <c r="C830" s="25"/>
      <c r="D830" s="26"/>
      <c r="E830" s="26"/>
      <c r="F830" s="26"/>
      <c r="G830" s="37"/>
      <c r="H830" s="37"/>
      <c r="I830" s="37"/>
      <c r="J830" s="37"/>
      <c r="K830" s="37"/>
      <c r="L830" s="23"/>
      <c r="M830" s="23"/>
    </row>
    <row r="831" ht="15.75" customHeight="1">
      <c r="A831" s="23"/>
      <c r="B831" s="24"/>
      <c r="C831" s="25"/>
      <c r="D831" s="26"/>
      <c r="E831" s="26"/>
      <c r="F831" s="26"/>
      <c r="G831" s="37"/>
      <c r="H831" s="37"/>
      <c r="I831" s="37"/>
      <c r="J831" s="37"/>
      <c r="K831" s="37"/>
      <c r="L831" s="23"/>
      <c r="M831" s="23"/>
    </row>
    <row r="832" ht="15.75" customHeight="1">
      <c r="A832" s="23"/>
      <c r="B832" s="24"/>
      <c r="C832" s="25"/>
      <c r="D832" s="26"/>
      <c r="E832" s="26"/>
      <c r="F832" s="26"/>
      <c r="G832" s="37"/>
      <c r="H832" s="37"/>
      <c r="I832" s="37"/>
      <c r="J832" s="37"/>
      <c r="K832" s="37"/>
      <c r="L832" s="23"/>
      <c r="M832" s="23"/>
    </row>
    <row r="833" ht="15.75" customHeight="1">
      <c r="A833" s="23"/>
      <c r="B833" s="24"/>
      <c r="C833" s="25"/>
      <c r="D833" s="26"/>
      <c r="E833" s="26"/>
      <c r="F833" s="26"/>
      <c r="G833" s="37"/>
      <c r="H833" s="37"/>
      <c r="I833" s="37"/>
      <c r="J833" s="37"/>
      <c r="K833" s="37"/>
      <c r="L833" s="23"/>
      <c r="M833" s="23"/>
    </row>
    <row r="834" ht="15.75" customHeight="1">
      <c r="A834" s="23"/>
      <c r="B834" s="24"/>
      <c r="C834" s="25"/>
      <c r="D834" s="26"/>
      <c r="E834" s="26"/>
      <c r="F834" s="26"/>
      <c r="G834" s="37"/>
      <c r="H834" s="37"/>
      <c r="I834" s="37"/>
      <c r="J834" s="37"/>
      <c r="K834" s="37"/>
      <c r="L834" s="23"/>
      <c r="M834" s="23"/>
    </row>
    <row r="835" ht="15.75" customHeight="1">
      <c r="A835" s="23"/>
      <c r="B835" s="24"/>
      <c r="C835" s="25"/>
      <c r="D835" s="26"/>
      <c r="E835" s="26"/>
      <c r="F835" s="26"/>
      <c r="G835" s="37"/>
      <c r="H835" s="37"/>
      <c r="I835" s="37"/>
      <c r="J835" s="37"/>
      <c r="K835" s="37"/>
      <c r="L835" s="23"/>
      <c r="M835" s="23"/>
    </row>
    <row r="836" ht="15.75" customHeight="1">
      <c r="A836" s="23"/>
      <c r="B836" s="24"/>
      <c r="C836" s="25"/>
      <c r="D836" s="26"/>
      <c r="E836" s="26"/>
      <c r="F836" s="26"/>
      <c r="G836" s="37"/>
      <c r="H836" s="37"/>
      <c r="I836" s="37"/>
      <c r="J836" s="37"/>
      <c r="K836" s="37"/>
      <c r="L836" s="23"/>
      <c r="M836" s="23"/>
    </row>
    <row r="837" ht="15.75" customHeight="1">
      <c r="A837" s="23"/>
      <c r="B837" s="24"/>
      <c r="C837" s="25"/>
      <c r="D837" s="26"/>
      <c r="E837" s="26"/>
      <c r="F837" s="26"/>
      <c r="G837" s="37"/>
      <c r="H837" s="37"/>
      <c r="I837" s="37"/>
      <c r="J837" s="37"/>
      <c r="K837" s="37"/>
      <c r="L837" s="23"/>
      <c r="M837" s="23"/>
    </row>
    <row r="838" ht="15.75" customHeight="1">
      <c r="A838" s="23"/>
      <c r="B838" s="24"/>
      <c r="C838" s="25"/>
      <c r="D838" s="26"/>
      <c r="E838" s="26"/>
      <c r="F838" s="26"/>
      <c r="G838" s="37"/>
      <c r="H838" s="37"/>
      <c r="I838" s="37"/>
      <c r="J838" s="37"/>
      <c r="K838" s="37"/>
      <c r="L838" s="23"/>
      <c r="M838" s="23"/>
    </row>
    <row r="839" ht="15.75" customHeight="1">
      <c r="A839" s="23"/>
      <c r="B839" s="24"/>
      <c r="C839" s="25"/>
      <c r="D839" s="26"/>
      <c r="E839" s="26"/>
      <c r="F839" s="26"/>
      <c r="G839" s="37"/>
      <c r="H839" s="37"/>
      <c r="I839" s="37"/>
      <c r="J839" s="37"/>
      <c r="K839" s="37"/>
      <c r="L839" s="23"/>
      <c r="M839" s="23"/>
    </row>
    <row r="840" ht="15.75" customHeight="1">
      <c r="A840" s="23"/>
      <c r="B840" s="24"/>
      <c r="C840" s="25"/>
      <c r="D840" s="26"/>
      <c r="E840" s="26"/>
      <c r="F840" s="26"/>
      <c r="G840" s="37"/>
      <c r="H840" s="37"/>
      <c r="I840" s="37"/>
      <c r="J840" s="37"/>
      <c r="K840" s="37"/>
      <c r="L840" s="23"/>
      <c r="M840" s="23"/>
    </row>
    <row r="841" ht="15.75" customHeight="1">
      <c r="A841" s="23"/>
      <c r="B841" s="24"/>
      <c r="C841" s="25"/>
      <c r="D841" s="26"/>
      <c r="E841" s="26"/>
      <c r="F841" s="26"/>
      <c r="G841" s="37"/>
      <c r="H841" s="37"/>
      <c r="I841" s="37"/>
      <c r="J841" s="37"/>
      <c r="K841" s="37"/>
      <c r="L841" s="23"/>
      <c r="M841" s="23"/>
    </row>
    <row r="842" ht="15.75" customHeight="1">
      <c r="A842" s="23"/>
      <c r="B842" s="24"/>
      <c r="C842" s="25"/>
      <c r="D842" s="26"/>
      <c r="E842" s="26"/>
      <c r="F842" s="26"/>
      <c r="G842" s="37"/>
      <c r="H842" s="37"/>
      <c r="I842" s="37"/>
      <c r="J842" s="37"/>
      <c r="K842" s="37"/>
      <c r="L842" s="23"/>
      <c r="M842" s="23"/>
    </row>
    <row r="843" ht="15.75" customHeight="1">
      <c r="A843" s="23"/>
      <c r="B843" s="24"/>
      <c r="C843" s="25"/>
      <c r="D843" s="26"/>
      <c r="E843" s="26"/>
      <c r="F843" s="26"/>
      <c r="G843" s="37"/>
      <c r="H843" s="37"/>
      <c r="I843" s="37"/>
      <c r="J843" s="37"/>
      <c r="K843" s="37"/>
      <c r="L843" s="23"/>
      <c r="M843" s="23"/>
    </row>
    <row r="844" ht="15.75" customHeight="1">
      <c r="A844" s="23"/>
      <c r="B844" s="24"/>
      <c r="C844" s="25"/>
      <c r="D844" s="26"/>
      <c r="E844" s="26"/>
      <c r="F844" s="26"/>
      <c r="G844" s="37"/>
      <c r="H844" s="37"/>
      <c r="I844" s="37"/>
      <c r="J844" s="37"/>
      <c r="K844" s="37"/>
      <c r="L844" s="23"/>
      <c r="M844" s="23"/>
    </row>
    <row r="845" ht="15.75" customHeight="1">
      <c r="A845" s="23"/>
      <c r="B845" s="24"/>
      <c r="C845" s="25"/>
      <c r="D845" s="26"/>
      <c r="E845" s="26"/>
      <c r="F845" s="26"/>
      <c r="G845" s="37"/>
      <c r="H845" s="37"/>
      <c r="I845" s="37"/>
      <c r="J845" s="37"/>
      <c r="K845" s="37"/>
      <c r="L845" s="23"/>
      <c r="M845" s="23"/>
    </row>
    <row r="846" ht="15.75" customHeight="1">
      <c r="A846" s="23"/>
      <c r="B846" s="24"/>
      <c r="C846" s="25"/>
      <c r="D846" s="26"/>
      <c r="E846" s="26"/>
      <c r="F846" s="26"/>
      <c r="G846" s="37"/>
      <c r="H846" s="37"/>
      <c r="I846" s="37"/>
      <c r="J846" s="37"/>
      <c r="K846" s="37"/>
      <c r="L846" s="23"/>
      <c r="M846" s="23"/>
    </row>
    <row r="847" ht="15.75" customHeight="1">
      <c r="A847" s="23"/>
      <c r="B847" s="24"/>
      <c r="C847" s="25"/>
      <c r="D847" s="26"/>
      <c r="E847" s="26"/>
      <c r="F847" s="26"/>
      <c r="G847" s="37"/>
      <c r="H847" s="37"/>
      <c r="I847" s="37"/>
      <c r="J847" s="37"/>
      <c r="K847" s="37"/>
      <c r="L847" s="23"/>
      <c r="M847" s="23"/>
    </row>
    <row r="848" ht="15.75" customHeight="1">
      <c r="A848" s="23"/>
      <c r="B848" s="24"/>
      <c r="C848" s="25"/>
      <c r="D848" s="26"/>
      <c r="E848" s="26"/>
      <c r="F848" s="26"/>
      <c r="G848" s="37"/>
      <c r="H848" s="37"/>
      <c r="I848" s="37"/>
      <c r="J848" s="37"/>
      <c r="K848" s="37"/>
      <c r="L848" s="23"/>
      <c r="M848" s="23"/>
    </row>
    <row r="849" ht="15.75" customHeight="1">
      <c r="A849" s="23"/>
      <c r="B849" s="24"/>
      <c r="C849" s="25"/>
      <c r="D849" s="26"/>
      <c r="E849" s="26"/>
      <c r="F849" s="26"/>
      <c r="G849" s="37"/>
      <c r="H849" s="37"/>
      <c r="I849" s="37"/>
      <c r="J849" s="37"/>
      <c r="K849" s="37"/>
      <c r="L849" s="23"/>
      <c r="M849" s="23"/>
    </row>
    <row r="850" ht="15.75" customHeight="1">
      <c r="A850" s="23"/>
      <c r="B850" s="24"/>
      <c r="C850" s="25"/>
      <c r="D850" s="26"/>
      <c r="E850" s="26"/>
      <c r="F850" s="26"/>
      <c r="G850" s="37"/>
      <c r="H850" s="37"/>
      <c r="I850" s="37"/>
      <c r="J850" s="37"/>
      <c r="K850" s="37"/>
      <c r="L850" s="23"/>
      <c r="M850" s="23"/>
    </row>
    <row r="851" ht="15.75" customHeight="1">
      <c r="A851" s="23"/>
      <c r="B851" s="24"/>
      <c r="C851" s="25"/>
      <c r="D851" s="26"/>
      <c r="E851" s="26"/>
      <c r="F851" s="26"/>
      <c r="G851" s="37"/>
      <c r="H851" s="37"/>
      <c r="I851" s="37"/>
      <c r="J851" s="37"/>
      <c r="K851" s="37"/>
      <c r="L851" s="23"/>
      <c r="M851" s="23"/>
    </row>
    <row r="852" ht="15.75" customHeight="1">
      <c r="A852" s="23"/>
      <c r="B852" s="24"/>
      <c r="C852" s="25"/>
      <c r="D852" s="26"/>
      <c r="E852" s="26"/>
      <c r="F852" s="26"/>
      <c r="G852" s="37"/>
      <c r="H852" s="37"/>
      <c r="I852" s="37"/>
      <c r="J852" s="37"/>
      <c r="K852" s="37"/>
      <c r="L852" s="23"/>
      <c r="M852" s="23"/>
    </row>
    <row r="853" ht="15.75" customHeight="1">
      <c r="A853" s="23"/>
      <c r="B853" s="24"/>
      <c r="C853" s="25"/>
      <c r="D853" s="26"/>
      <c r="E853" s="26"/>
      <c r="F853" s="26"/>
      <c r="G853" s="37"/>
      <c r="H853" s="37"/>
      <c r="I853" s="37"/>
      <c r="J853" s="37"/>
      <c r="K853" s="37"/>
      <c r="L853" s="23"/>
      <c r="M853" s="23"/>
    </row>
    <row r="854" ht="15.75" customHeight="1">
      <c r="A854" s="23"/>
      <c r="B854" s="24"/>
      <c r="C854" s="25"/>
      <c r="D854" s="26"/>
      <c r="E854" s="26"/>
      <c r="F854" s="26"/>
      <c r="G854" s="37"/>
      <c r="H854" s="37"/>
      <c r="I854" s="37"/>
      <c r="J854" s="37"/>
      <c r="K854" s="37"/>
      <c r="L854" s="23"/>
      <c r="M854" s="23"/>
    </row>
    <row r="855" ht="15.75" customHeight="1">
      <c r="A855" s="23"/>
      <c r="B855" s="24"/>
      <c r="C855" s="25"/>
      <c r="D855" s="26"/>
      <c r="E855" s="26"/>
      <c r="F855" s="26"/>
      <c r="G855" s="37"/>
      <c r="H855" s="37"/>
      <c r="I855" s="37"/>
      <c r="J855" s="37"/>
      <c r="K855" s="37"/>
      <c r="L855" s="23"/>
      <c r="M855" s="23"/>
    </row>
    <row r="856" ht="15.75" customHeight="1">
      <c r="A856" s="23"/>
      <c r="B856" s="24"/>
      <c r="C856" s="25"/>
      <c r="D856" s="26"/>
      <c r="E856" s="26"/>
      <c r="F856" s="26"/>
      <c r="G856" s="37"/>
      <c r="H856" s="37"/>
      <c r="I856" s="37"/>
      <c r="J856" s="37"/>
      <c r="K856" s="37"/>
      <c r="L856" s="23"/>
      <c r="M856" s="23"/>
    </row>
    <row r="857" ht="15.75" customHeight="1">
      <c r="A857" s="23"/>
      <c r="B857" s="24"/>
      <c r="C857" s="25"/>
      <c r="D857" s="26"/>
      <c r="E857" s="26"/>
      <c r="F857" s="26"/>
      <c r="G857" s="37"/>
      <c r="H857" s="37"/>
      <c r="I857" s="37"/>
      <c r="J857" s="37"/>
      <c r="K857" s="37"/>
      <c r="L857" s="23"/>
      <c r="M857" s="23"/>
    </row>
    <row r="858" ht="15.75" customHeight="1">
      <c r="A858" s="23"/>
      <c r="B858" s="24"/>
      <c r="C858" s="25"/>
      <c r="D858" s="26"/>
      <c r="E858" s="26"/>
      <c r="F858" s="26"/>
      <c r="G858" s="37"/>
      <c r="H858" s="37"/>
      <c r="I858" s="37"/>
      <c r="J858" s="37"/>
      <c r="K858" s="37"/>
      <c r="L858" s="23"/>
      <c r="M858" s="23"/>
    </row>
    <row r="859" ht="15.75" customHeight="1">
      <c r="A859" s="23"/>
      <c r="B859" s="24"/>
      <c r="C859" s="25"/>
      <c r="D859" s="26"/>
      <c r="E859" s="26"/>
      <c r="F859" s="26"/>
      <c r="G859" s="37"/>
      <c r="H859" s="37"/>
      <c r="I859" s="37"/>
      <c r="J859" s="37"/>
      <c r="K859" s="37"/>
      <c r="L859" s="23"/>
      <c r="M859" s="23"/>
    </row>
    <row r="860" ht="15.75" customHeight="1">
      <c r="A860" s="23"/>
      <c r="B860" s="24"/>
      <c r="C860" s="25"/>
      <c r="D860" s="26"/>
      <c r="E860" s="26"/>
      <c r="F860" s="26"/>
      <c r="G860" s="37"/>
      <c r="H860" s="37"/>
      <c r="I860" s="37"/>
      <c r="J860" s="37"/>
      <c r="K860" s="37"/>
      <c r="L860" s="23"/>
      <c r="M860" s="23"/>
    </row>
    <row r="861" ht="15.75" customHeight="1">
      <c r="A861" s="23"/>
      <c r="B861" s="24"/>
      <c r="C861" s="25"/>
      <c r="D861" s="26"/>
      <c r="E861" s="26"/>
      <c r="F861" s="26"/>
      <c r="G861" s="37"/>
      <c r="H861" s="37"/>
      <c r="I861" s="37"/>
      <c r="J861" s="37"/>
      <c r="K861" s="37"/>
      <c r="L861" s="23"/>
      <c r="M861" s="23"/>
    </row>
    <row r="862" ht="15.75" customHeight="1">
      <c r="A862" s="23"/>
      <c r="B862" s="24"/>
      <c r="C862" s="25"/>
      <c r="D862" s="26"/>
      <c r="E862" s="26"/>
      <c r="F862" s="26"/>
      <c r="G862" s="37"/>
      <c r="H862" s="37"/>
      <c r="I862" s="37"/>
      <c r="J862" s="37"/>
      <c r="K862" s="37"/>
      <c r="L862" s="23"/>
      <c r="M862" s="23"/>
    </row>
    <row r="863" ht="15.75" customHeight="1">
      <c r="A863" s="23"/>
      <c r="B863" s="24"/>
      <c r="C863" s="25"/>
      <c r="D863" s="26"/>
      <c r="E863" s="26"/>
      <c r="F863" s="26"/>
      <c r="G863" s="37"/>
      <c r="H863" s="37"/>
      <c r="I863" s="37"/>
      <c r="J863" s="37"/>
      <c r="K863" s="37"/>
      <c r="L863" s="23"/>
      <c r="M863" s="23"/>
    </row>
    <row r="864" ht="15.75" customHeight="1">
      <c r="A864" s="23"/>
      <c r="B864" s="24"/>
      <c r="C864" s="25"/>
      <c r="D864" s="26"/>
      <c r="E864" s="26"/>
      <c r="F864" s="26"/>
      <c r="G864" s="37"/>
      <c r="H864" s="37"/>
      <c r="I864" s="37"/>
      <c r="J864" s="37"/>
      <c r="K864" s="37"/>
      <c r="L864" s="23"/>
      <c r="M864" s="23"/>
    </row>
    <row r="865" ht="15.75" customHeight="1">
      <c r="A865" s="23"/>
      <c r="B865" s="24"/>
      <c r="C865" s="25"/>
      <c r="D865" s="26"/>
      <c r="E865" s="26"/>
      <c r="F865" s="26"/>
      <c r="G865" s="37"/>
      <c r="H865" s="37"/>
      <c r="I865" s="37"/>
      <c r="J865" s="37"/>
      <c r="K865" s="37"/>
      <c r="L865" s="23"/>
      <c r="M865" s="23"/>
    </row>
    <row r="866" ht="15.75" customHeight="1">
      <c r="A866" s="23"/>
      <c r="B866" s="24"/>
      <c r="C866" s="25"/>
      <c r="D866" s="26"/>
      <c r="E866" s="26"/>
      <c r="F866" s="26"/>
      <c r="G866" s="37"/>
      <c r="H866" s="37"/>
      <c r="I866" s="37"/>
      <c r="J866" s="37"/>
      <c r="K866" s="37"/>
      <c r="L866" s="23"/>
      <c r="M866" s="23"/>
    </row>
    <row r="867" ht="15.75" customHeight="1">
      <c r="A867" s="23"/>
      <c r="B867" s="24"/>
      <c r="C867" s="25"/>
      <c r="D867" s="26"/>
      <c r="E867" s="26"/>
      <c r="F867" s="26"/>
      <c r="G867" s="37"/>
      <c r="H867" s="37"/>
      <c r="I867" s="37"/>
      <c r="J867" s="37"/>
      <c r="K867" s="37"/>
      <c r="L867" s="23"/>
      <c r="M867" s="23"/>
    </row>
    <row r="868" ht="15.75" customHeight="1">
      <c r="A868" s="23"/>
      <c r="B868" s="24"/>
      <c r="C868" s="25"/>
      <c r="D868" s="26"/>
      <c r="E868" s="26"/>
      <c r="F868" s="26"/>
      <c r="G868" s="37"/>
      <c r="H868" s="37"/>
      <c r="I868" s="37"/>
      <c r="J868" s="37"/>
      <c r="K868" s="37"/>
      <c r="L868" s="23"/>
      <c r="M868" s="23"/>
    </row>
    <row r="869" ht="15.75" customHeight="1">
      <c r="A869" s="23"/>
      <c r="B869" s="24"/>
      <c r="C869" s="25"/>
      <c r="D869" s="26"/>
      <c r="E869" s="26"/>
      <c r="F869" s="26"/>
      <c r="G869" s="37"/>
      <c r="H869" s="37"/>
      <c r="I869" s="37"/>
      <c r="J869" s="37"/>
      <c r="K869" s="37"/>
      <c r="L869" s="23"/>
      <c r="M869" s="23"/>
    </row>
    <row r="870" ht="15.75" customHeight="1">
      <c r="A870" s="23"/>
      <c r="B870" s="24"/>
      <c r="C870" s="25"/>
      <c r="D870" s="26"/>
      <c r="E870" s="26"/>
      <c r="F870" s="26"/>
      <c r="G870" s="37"/>
      <c r="H870" s="37"/>
      <c r="I870" s="37"/>
      <c r="J870" s="37"/>
      <c r="K870" s="37"/>
      <c r="L870" s="23"/>
      <c r="M870" s="23"/>
    </row>
    <row r="871" ht="15.75" customHeight="1">
      <c r="A871" s="23"/>
      <c r="B871" s="24"/>
      <c r="C871" s="25"/>
      <c r="D871" s="26"/>
      <c r="E871" s="26"/>
      <c r="F871" s="26"/>
      <c r="G871" s="37"/>
      <c r="H871" s="37"/>
      <c r="I871" s="37"/>
      <c r="J871" s="37"/>
      <c r="K871" s="37"/>
      <c r="L871" s="23"/>
      <c r="M871" s="23"/>
    </row>
    <row r="872" ht="15.75" customHeight="1">
      <c r="A872" s="23"/>
      <c r="B872" s="24"/>
      <c r="C872" s="25"/>
      <c r="D872" s="26"/>
      <c r="E872" s="26"/>
      <c r="F872" s="26"/>
      <c r="G872" s="37"/>
      <c r="H872" s="37"/>
      <c r="I872" s="37"/>
      <c r="J872" s="37"/>
      <c r="K872" s="37"/>
      <c r="L872" s="23"/>
      <c r="M872" s="23"/>
    </row>
    <row r="873" ht="15.75" customHeight="1">
      <c r="A873" s="23"/>
      <c r="B873" s="24"/>
      <c r="C873" s="25"/>
      <c r="D873" s="26"/>
      <c r="E873" s="26"/>
      <c r="F873" s="26"/>
      <c r="G873" s="37"/>
      <c r="H873" s="37"/>
      <c r="I873" s="37"/>
      <c r="J873" s="37"/>
      <c r="K873" s="37"/>
      <c r="L873" s="23"/>
      <c r="M873" s="23"/>
    </row>
    <row r="874" ht="15.75" customHeight="1">
      <c r="A874" s="23"/>
      <c r="B874" s="24"/>
      <c r="C874" s="25"/>
      <c r="D874" s="26"/>
      <c r="E874" s="26"/>
      <c r="F874" s="26"/>
      <c r="G874" s="37"/>
      <c r="H874" s="37"/>
      <c r="I874" s="37"/>
      <c r="J874" s="37"/>
      <c r="K874" s="37"/>
      <c r="L874" s="23"/>
      <c r="M874" s="23"/>
    </row>
    <row r="875" ht="15.75" customHeight="1">
      <c r="A875" s="23"/>
      <c r="B875" s="24"/>
      <c r="C875" s="25"/>
      <c r="D875" s="26"/>
      <c r="E875" s="26"/>
      <c r="F875" s="26"/>
      <c r="G875" s="37"/>
      <c r="H875" s="37"/>
      <c r="I875" s="37"/>
      <c r="J875" s="37"/>
      <c r="K875" s="37"/>
      <c r="L875" s="23"/>
      <c r="M875" s="23"/>
    </row>
    <row r="876" ht="15.75" customHeight="1">
      <c r="A876" s="23"/>
      <c r="B876" s="24"/>
      <c r="C876" s="25"/>
      <c r="D876" s="26"/>
      <c r="E876" s="26"/>
      <c r="F876" s="26"/>
      <c r="G876" s="37"/>
      <c r="H876" s="37"/>
      <c r="I876" s="37"/>
      <c r="J876" s="37"/>
      <c r="K876" s="37"/>
      <c r="L876" s="23"/>
      <c r="M876" s="23"/>
    </row>
    <row r="877" ht="15.75" customHeight="1">
      <c r="A877" s="23"/>
      <c r="B877" s="24"/>
      <c r="C877" s="25"/>
      <c r="D877" s="26"/>
      <c r="E877" s="26"/>
      <c r="F877" s="26"/>
      <c r="G877" s="37"/>
      <c r="H877" s="37"/>
      <c r="I877" s="37"/>
      <c r="J877" s="37"/>
      <c r="K877" s="37"/>
      <c r="L877" s="23"/>
      <c r="M877" s="23"/>
    </row>
    <row r="878" ht="15.75" customHeight="1">
      <c r="A878" s="23"/>
      <c r="B878" s="24"/>
      <c r="C878" s="25"/>
      <c r="D878" s="26"/>
      <c r="E878" s="26"/>
      <c r="F878" s="26"/>
      <c r="G878" s="37"/>
      <c r="H878" s="37"/>
      <c r="I878" s="37"/>
      <c r="J878" s="37"/>
      <c r="K878" s="37"/>
      <c r="L878" s="23"/>
      <c r="M878" s="23"/>
    </row>
    <row r="879" ht="15.75" customHeight="1">
      <c r="A879" s="23"/>
      <c r="B879" s="24"/>
      <c r="C879" s="25"/>
      <c r="D879" s="26"/>
      <c r="E879" s="26"/>
      <c r="F879" s="26"/>
      <c r="G879" s="37"/>
      <c r="H879" s="37"/>
      <c r="I879" s="37"/>
      <c r="J879" s="37"/>
      <c r="K879" s="37"/>
      <c r="L879" s="23"/>
      <c r="M879" s="23"/>
    </row>
    <row r="880" ht="15.75" customHeight="1">
      <c r="A880" s="23"/>
      <c r="B880" s="24"/>
      <c r="C880" s="25"/>
      <c r="D880" s="26"/>
      <c r="E880" s="26"/>
      <c r="F880" s="26"/>
      <c r="G880" s="37"/>
      <c r="H880" s="37"/>
      <c r="I880" s="37"/>
      <c r="J880" s="37"/>
      <c r="K880" s="37"/>
      <c r="L880" s="23"/>
      <c r="M880" s="23"/>
    </row>
    <row r="881" ht="15.75" customHeight="1">
      <c r="A881" s="23"/>
      <c r="B881" s="24"/>
      <c r="C881" s="25"/>
      <c r="D881" s="26"/>
      <c r="E881" s="26"/>
      <c r="F881" s="26"/>
      <c r="G881" s="37"/>
      <c r="H881" s="37"/>
      <c r="I881" s="37"/>
      <c r="J881" s="37"/>
      <c r="K881" s="37"/>
      <c r="L881" s="23"/>
      <c r="M881" s="23"/>
    </row>
    <row r="882" ht="15.75" customHeight="1">
      <c r="A882" s="23"/>
      <c r="B882" s="24"/>
      <c r="C882" s="25"/>
      <c r="D882" s="26"/>
      <c r="E882" s="26"/>
      <c r="F882" s="26"/>
      <c r="G882" s="37"/>
      <c r="H882" s="37"/>
      <c r="I882" s="37"/>
      <c r="J882" s="37"/>
      <c r="K882" s="37"/>
      <c r="L882" s="23"/>
      <c r="M882" s="23"/>
    </row>
    <row r="883" ht="15.75" customHeight="1">
      <c r="A883" s="23"/>
      <c r="B883" s="24"/>
      <c r="C883" s="25"/>
      <c r="D883" s="26"/>
      <c r="E883" s="26"/>
      <c r="F883" s="26"/>
      <c r="G883" s="37"/>
      <c r="H883" s="37"/>
      <c r="I883" s="37"/>
      <c r="J883" s="37"/>
      <c r="K883" s="37"/>
      <c r="L883" s="23"/>
      <c r="M883" s="23"/>
    </row>
    <row r="884" ht="15.75" customHeight="1">
      <c r="A884" s="23"/>
      <c r="B884" s="24"/>
      <c r="C884" s="25"/>
      <c r="D884" s="26"/>
      <c r="E884" s="26"/>
      <c r="F884" s="26"/>
      <c r="G884" s="37"/>
      <c r="H884" s="37"/>
      <c r="I884" s="37"/>
      <c r="J884" s="37"/>
      <c r="K884" s="37"/>
      <c r="L884" s="23"/>
      <c r="M884" s="23"/>
    </row>
    <row r="885" ht="15.75" customHeight="1">
      <c r="A885" s="23"/>
      <c r="B885" s="24"/>
      <c r="C885" s="25"/>
      <c r="D885" s="26"/>
      <c r="E885" s="26"/>
      <c r="F885" s="26"/>
      <c r="G885" s="37"/>
      <c r="H885" s="37"/>
      <c r="I885" s="37"/>
      <c r="J885" s="37"/>
      <c r="K885" s="37"/>
      <c r="L885" s="23"/>
      <c r="M885" s="23"/>
    </row>
    <row r="886" ht="15.75" customHeight="1">
      <c r="A886" s="23"/>
      <c r="B886" s="24"/>
      <c r="C886" s="25"/>
      <c r="D886" s="26"/>
      <c r="E886" s="26"/>
      <c r="F886" s="26"/>
      <c r="G886" s="37"/>
      <c r="H886" s="37"/>
      <c r="I886" s="37"/>
      <c r="J886" s="37"/>
      <c r="K886" s="37"/>
      <c r="L886" s="23"/>
      <c r="M886" s="23"/>
    </row>
    <row r="887" ht="15.75" customHeight="1">
      <c r="A887" s="23"/>
      <c r="B887" s="24"/>
      <c r="C887" s="25"/>
      <c r="D887" s="26"/>
      <c r="E887" s="26"/>
      <c r="F887" s="26"/>
      <c r="G887" s="37"/>
      <c r="H887" s="37"/>
      <c r="I887" s="37"/>
      <c r="J887" s="37"/>
      <c r="K887" s="37"/>
      <c r="L887" s="23"/>
      <c r="M887" s="23"/>
    </row>
    <row r="888" ht="15.75" customHeight="1">
      <c r="A888" s="23"/>
      <c r="B888" s="24"/>
      <c r="C888" s="25"/>
      <c r="D888" s="26"/>
      <c r="E888" s="26"/>
      <c r="F888" s="26"/>
      <c r="G888" s="37"/>
      <c r="H888" s="37"/>
      <c r="I888" s="37"/>
      <c r="J888" s="37"/>
      <c r="K888" s="37"/>
      <c r="L888" s="23"/>
      <c r="M888" s="23"/>
    </row>
    <row r="889" ht="15.75" customHeight="1">
      <c r="A889" s="23"/>
      <c r="B889" s="24"/>
      <c r="C889" s="25"/>
      <c r="D889" s="26"/>
      <c r="E889" s="26"/>
      <c r="F889" s="26"/>
      <c r="G889" s="37"/>
      <c r="H889" s="37"/>
      <c r="I889" s="37"/>
      <c r="J889" s="37"/>
      <c r="K889" s="37"/>
      <c r="L889" s="23"/>
      <c r="M889" s="23"/>
    </row>
    <row r="890" ht="15.75" customHeight="1">
      <c r="A890" s="23"/>
      <c r="B890" s="24"/>
      <c r="C890" s="25"/>
      <c r="D890" s="26"/>
      <c r="E890" s="26"/>
      <c r="F890" s="26"/>
      <c r="G890" s="37"/>
      <c r="H890" s="37"/>
      <c r="I890" s="37"/>
      <c r="J890" s="37"/>
      <c r="K890" s="37"/>
      <c r="L890" s="23"/>
      <c r="M890" s="23"/>
    </row>
    <row r="891" ht="15.75" customHeight="1">
      <c r="A891" s="23"/>
      <c r="B891" s="24"/>
      <c r="C891" s="25"/>
      <c r="D891" s="26"/>
      <c r="E891" s="26"/>
      <c r="F891" s="26"/>
      <c r="G891" s="37"/>
      <c r="H891" s="37"/>
      <c r="I891" s="37"/>
      <c r="J891" s="37"/>
      <c r="K891" s="37"/>
      <c r="L891" s="23"/>
      <c r="M891" s="23"/>
    </row>
    <row r="892" ht="15.75" customHeight="1">
      <c r="A892" s="23"/>
      <c r="B892" s="24"/>
      <c r="C892" s="25"/>
      <c r="D892" s="26"/>
      <c r="E892" s="26"/>
      <c r="F892" s="26"/>
      <c r="G892" s="37"/>
      <c r="H892" s="37"/>
      <c r="I892" s="37"/>
      <c r="J892" s="37"/>
      <c r="K892" s="37"/>
      <c r="L892" s="23"/>
      <c r="M892" s="23"/>
    </row>
    <row r="893" ht="15.75" customHeight="1">
      <c r="A893" s="23"/>
      <c r="B893" s="24"/>
      <c r="C893" s="25"/>
      <c r="D893" s="26"/>
      <c r="E893" s="26"/>
      <c r="F893" s="26"/>
      <c r="G893" s="37"/>
      <c r="H893" s="37"/>
      <c r="I893" s="37"/>
      <c r="J893" s="37"/>
      <c r="K893" s="37"/>
      <c r="L893" s="23"/>
      <c r="M893" s="23"/>
    </row>
    <row r="894" ht="15.75" customHeight="1">
      <c r="A894" s="23"/>
      <c r="B894" s="24"/>
      <c r="C894" s="25"/>
      <c r="D894" s="26"/>
      <c r="E894" s="26"/>
      <c r="F894" s="26"/>
      <c r="G894" s="37"/>
      <c r="H894" s="37"/>
      <c r="I894" s="37"/>
      <c r="J894" s="37"/>
      <c r="K894" s="37"/>
      <c r="L894" s="23"/>
      <c r="M894" s="23"/>
    </row>
    <row r="895" ht="15.75" customHeight="1">
      <c r="A895" s="23"/>
      <c r="B895" s="24"/>
      <c r="C895" s="25"/>
      <c r="D895" s="26"/>
      <c r="E895" s="26"/>
      <c r="F895" s="26"/>
      <c r="G895" s="37"/>
      <c r="H895" s="37"/>
      <c r="I895" s="37"/>
      <c r="J895" s="37"/>
      <c r="K895" s="37"/>
      <c r="L895" s="23"/>
      <c r="M895" s="23"/>
    </row>
    <row r="896" ht="15.75" customHeight="1">
      <c r="A896" s="23"/>
      <c r="B896" s="24"/>
      <c r="C896" s="25"/>
      <c r="D896" s="26"/>
      <c r="E896" s="26"/>
      <c r="F896" s="26"/>
      <c r="G896" s="37"/>
      <c r="H896" s="37"/>
      <c r="I896" s="37"/>
      <c r="J896" s="37"/>
      <c r="K896" s="37"/>
      <c r="L896" s="23"/>
      <c r="M896" s="23"/>
    </row>
    <row r="897" ht="15.75" customHeight="1">
      <c r="A897" s="23"/>
      <c r="B897" s="24"/>
      <c r="C897" s="25"/>
      <c r="D897" s="26"/>
      <c r="E897" s="26"/>
      <c r="F897" s="26"/>
      <c r="G897" s="37"/>
      <c r="H897" s="37"/>
      <c r="I897" s="37"/>
      <c r="J897" s="37"/>
      <c r="K897" s="37"/>
      <c r="L897" s="23"/>
      <c r="M897" s="23"/>
    </row>
    <row r="898" ht="15.75" customHeight="1">
      <c r="A898" s="23"/>
      <c r="B898" s="24"/>
      <c r="C898" s="25"/>
      <c r="D898" s="26"/>
      <c r="E898" s="26"/>
      <c r="F898" s="26"/>
      <c r="G898" s="37"/>
      <c r="H898" s="37"/>
      <c r="I898" s="37"/>
      <c r="J898" s="37"/>
      <c r="K898" s="37"/>
      <c r="L898" s="23"/>
      <c r="M898" s="23"/>
    </row>
    <row r="899" ht="15.75" customHeight="1">
      <c r="A899" s="23"/>
      <c r="B899" s="24"/>
      <c r="C899" s="25"/>
      <c r="D899" s="26"/>
      <c r="E899" s="26"/>
      <c r="F899" s="26"/>
      <c r="G899" s="37"/>
      <c r="H899" s="37"/>
      <c r="I899" s="37"/>
      <c r="J899" s="37"/>
      <c r="K899" s="37"/>
      <c r="L899" s="23"/>
      <c r="M899" s="23"/>
    </row>
    <row r="900" ht="15.75" customHeight="1">
      <c r="A900" s="23"/>
      <c r="B900" s="24"/>
      <c r="C900" s="25"/>
      <c r="D900" s="26"/>
      <c r="E900" s="26"/>
      <c r="F900" s="26"/>
      <c r="G900" s="37"/>
      <c r="H900" s="37"/>
      <c r="I900" s="37"/>
      <c r="J900" s="37"/>
      <c r="K900" s="37"/>
      <c r="L900" s="23"/>
      <c r="M900" s="23"/>
    </row>
    <row r="901" ht="15.75" customHeight="1">
      <c r="A901" s="23"/>
      <c r="B901" s="24"/>
      <c r="C901" s="25"/>
      <c r="D901" s="26"/>
      <c r="E901" s="26"/>
      <c r="F901" s="26"/>
      <c r="G901" s="37"/>
      <c r="H901" s="37"/>
      <c r="I901" s="37"/>
      <c r="J901" s="37"/>
      <c r="K901" s="37"/>
      <c r="L901" s="23"/>
      <c r="M901" s="23"/>
    </row>
    <row r="902" ht="15.75" customHeight="1">
      <c r="A902" s="23"/>
      <c r="B902" s="24"/>
      <c r="C902" s="25"/>
      <c r="D902" s="26"/>
      <c r="E902" s="26"/>
      <c r="F902" s="26"/>
      <c r="G902" s="37"/>
      <c r="H902" s="37"/>
      <c r="I902" s="37"/>
      <c r="J902" s="37"/>
      <c r="K902" s="37"/>
      <c r="L902" s="23"/>
      <c r="M902" s="23"/>
    </row>
    <row r="903" ht="15.75" customHeight="1">
      <c r="A903" s="23"/>
      <c r="B903" s="24"/>
      <c r="C903" s="25"/>
      <c r="D903" s="26"/>
      <c r="E903" s="26"/>
      <c r="F903" s="26"/>
      <c r="G903" s="37"/>
      <c r="H903" s="37"/>
      <c r="I903" s="37"/>
      <c r="J903" s="37"/>
      <c r="K903" s="37"/>
      <c r="L903" s="23"/>
      <c r="M903" s="23"/>
    </row>
    <row r="904" ht="15.75" customHeight="1">
      <c r="A904" s="23"/>
      <c r="B904" s="24"/>
      <c r="C904" s="25"/>
      <c r="D904" s="26"/>
      <c r="E904" s="26"/>
      <c r="F904" s="26"/>
      <c r="G904" s="37"/>
      <c r="H904" s="37"/>
      <c r="I904" s="37"/>
      <c r="J904" s="37"/>
      <c r="K904" s="37"/>
      <c r="L904" s="23"/>
      <c r="M904" s="23"/>
    </row>
    <row r="905" ht="15.75" customHeight="1">
      <c r="A905" s="23"/>
      <c r="B905" s="24"/>
      <c r="C905" s="25"/>
      <c r="D905" s="26"/>
      <c r="E905" s="26"/>
      <c r="F905" s="26"/>
      <c r="G905" s="37"/>
      <c r="H905" s="37"/>
      <c r="I905" s="37"/>
      <c r="J905" s="37"/>
      <c r="K905" s="37"/>
      <c r="L905" s="23"/>
      <c r="M905" s="23"/>
    </row>
    <row r="906" ht="15.75" customHeight="1">
      <c r="A906" s="23"/>
      <c r="B906" s="24"/>
      <c r="C906" s="25"/>
      <c r="D906" s="26"/>
      <c r="E906" s="26"/>
      <c r="F906" s="26"/>
      <c r="G906" s="37"/>
      <c r="H906" s="37"/>
      <c r="I906" s="37"/>
      <c r="J906" s="37"/>
      <c r="K906" s="37"/>
      <c r="L906" s="23"/>
      <c r="M906" s="23"/>
    </row>
    <row r="907" ht="15.75" customHeight="1">
      <c r="A907" s="23"/>
      <c r="B907" s="24"/>
      <c r="C907" s="25"/>
      <c r="D907" s="26"/>
      <c r="E907" s="26"/>
      <c r="F907" s="26"/>
      <c r="G907" s="37"/>
      <c r="H907" s="37"/>
      <c r="I907" s="37"/>
      <c r="J907" s="37"/>
      <c r="K907" s="37"/>
      <c r="L907" s="23"/>
      <c r="M907" s="23"/>
    </row>
    <row r="908" ht="15.75" customHeight="1">
      <c r="A908" s="23"/>
      <c r="B908" s="24"/>
      <c r="C908" s="25"/>
      <c r="D908" s="26"/>
      <c r="E908" s="26"/>
      <c r="F908" s="26"/>
      <c r="G908" s="37"/>
      <c r="H908" s="37"/>
      <c r="I908" s="37"/>
      <c r="J908" s="37"/>
      <c r="K908" s="37"/>
      <c r="L908" s="23"/>
      <c r="M908" s="23"/>
    </row>
    <row r="909" ht="15.75" customHeight="1">
      <c r="A909" s="23"/>
      <c r="B909" s="24"/>
      <c r="C909" s="25"/>
      <c r="D909" s="26"/>
      <c r="E909" s="26"/>
      <c r="F909" s="26"/>
      <c r="G909" s="37"/>
      <c r="H909" s="37"/>
      <c r="I909" s="37"/>
      <c r="J909" s="37"/>
      <c r="K909" s="37"/>
      <c r="L909" s="23"/>
      <c r="M909" s="23"/>
    </row>
    <row r="910" ht="15.75" customHeight="1">
      <c r="A910" s="23"/>
      <c r="B910" s="24"/>
      <c r="C910" s="25"/>
      <c r="D910" s="26"/>
      <c r="E910" s="26"/>
      <c r="F910" s="26"/>
      <c r="G910" s="37"/>
      <c r="H910" s="37"/>
      <c r="I910" s="37"/>
      <c r="J910" s="37"/>
      <c r="K910" s="37"/>
      <c r="L910" s="23"/>
      <c r="M910" s="23"/>
    </row>
    <row r="911" ht="15.75" customHeight="1">
      <c r="A911" s="23"/>
      <c r="B911" s="24"/>
      <c r="C911" s="25"/>
      <c r="D911" s="26"/>
      <c r="E911" s="26"/>
      <c r="F911" s="26"/>
      <c r="G911" s="37"/>
      <c r="H911" s="37"/>
      <c r="I911" s="37"/>
      <c r="J911" s="37"/>
      <c r="K911" s="37"/>
      <c r="L911" s="23"/>
      <c r="M911" s="23"/>
    </row>
    <row r="912" ht="15.75" customHeight="1">
      <c r="A912" s="23"/>
      <c r="B912" s="24"/>
      <c r="C912" s="25"/>
      <c r="D912" s="26"/>
      <c r="E912" s="26"/>
      <c r="F912" s="26"/>
      <c r="G912" s="37"/>
      <c r="H912" s="37"/>
      <c r="I912" s="37"/>
      <c r="J912" s="37"/>
      <c r="K912" s="37"/>
      <c r="L912" s="23"/>
      <c r="M912" s="23"/>
    </row>
    <row r="913" ht="15.75" customHeight="1">
      <c r="A913" s="23"/>
      <c r="B913" s="24"/>
      <c r="C913" s="25"/>
      <c r="D913" s="26"/>
      <c r="E913" s="26"/>
      <c r="F913" s="26"/>
      <c r="G913" s="37"/>
      <c r="H913" s="37"/>
      <c r="I913" s="37"/>
      <c r="J913" s="37"/>
      <c r="K913" s="37"/>
      <c r="L913" s="23"/>
      <c r="M913" s="23"/>
    </row>
    <row r="914" ht="15.75" customHeight="1">
      <c r="A914" s="23"/>
      <c r="B914" s="24"/>
      <c r="C914" s="25"/>
      <c r="D914" s="26"/>
      <c r="E914" s="26"/>
      <c r="F914" s="26"/>
      <c r="G914" s="37"/>
      <c r="H914" s="37"/>
      <c r="I914" s="37"/>
      <c r="J914" s="37"/>
      <c r="K914" s="37"/>
      <c r="L914" s="23"/>
      <c r="M914" s="23"/>
    </row>
    <row r="915" ht="15.75" customHeight="1">
      <c r="A915" s="23"/>
      <c r="B915" s="24"/>
      <c r="C915" s="25"/>
      <c r="D915" s="26"/>
      <c r="E915" s="26"/>
      <c r="F915" s="26"/>
      <c r="G915" s="37"/>
      <c r="H915" s="37"/>
      <c r="I915" s="37"/>
      <c r="J915" s="37"/>
      <c r="K915" s="37"/>
      <c r="L915" s="23"/>
      <c r="M915" s="23"/>
    </row>
    <row r="916" ht="15.75" customHeight="1">
      <c r="A916" s="23"/>
      <c r="B916" s="24"/>
      <c r="C916" s="25"/>
      <c r="D916" s="26"/>
      <c r="E916" s="26"/>
      <c r="F916" s="26"/>
      <c r="G916" s="37"/>
      <c r="H916" s="37"/>
      <c r="I916" s="37"/>
      <c r="J916" s="37"/>
      <c r="K916" s="37"/>
      <c r="L916" s="23"/>
      <c r="M916" s="23"/>
    </row>
    <row r="917" ht="15.75" customHeight="1">
      <c r="A917" s="23"/>
      <c r="B917" s="24"/>
      <c r="C917" s="25"/>
      <c r="D917" s="26"/>
      <c r="E917" s="26"/>
      <c r="F917" s="26"/>
      <c r="G917" s="37"/>
      <c r="H917" s="37"/>
      <c r="I917" s="37"/>
      <c r="J917" s="37"/>
      <c r="K917" s="37"/>
      <c r="L917" s="23"/>
      <c r="M917" s="23"/>
    </row>
    <row r="918" ht="15.75" customHeight="1">
      <c r="A918" s="23"/>
      <c r="B918" s="24"/>
      <c r="C918" s="25"/>
      <c r="D918" s="26"/>
      <c r="E918" s="26"/>
      <c r="F918" s="26"/>
      <c r="G918" s="37"/>
      <c r="H918" s="37"/>
      <c r="I918" s="37"/>
      <c r="J918" s="37"/>
      <c r="K918" s="37"/>
      <c r="L918" s="23"/>
      <c r="M918" s="23"/>
    </row>
    <row r="919" ht="15.75" customHeight="1">
      <c r="A919" s="23"/>
      <c r="B919" s="24"/>
      <c r="C919" s="25"/>
      <c r="D919" s="26"/>
      <c r="E919" s="26"/>
      <c r="F919" s="26"/>
      <c r="G919" s="37"/>
      <c r="H919" s="37"/>
      <c r="I919" s="37"/>
      <c r="J919" s="37"/>
      <c r="K919" s="37"/>
      <c r="L919" s="23"/>
      <c r="M919" s="23"/>
    </row>
    <row r="920" ht="15.75" customHeight="1">
      <c r="A920" s="23"/>
      <c r="B920" s="24"/>
      <c r="C920" s="25"/>
      <c r="D920" s="26"/>
      <c r="E920" s="26"/>
      <c r="F920" s="26"/>
      <c r="G920" s="37"/>
      <c r="H920" s="37"/>
      <c r="I920" s="37"/>
      <c r="J920" s="37"/>
      <c r="K920" s="37"/>
      <c r="L920" s="23"/>
      <c r="M920" s="23"/>
    </row>
    <row r="921" ht="15.75" customHeight="1">
      <c r="A921" s="23"/>
      <c r="B921" s="24"/>
      <c r="C921" s="25"/>
      <c r="D921" s="26"/>
      <c r="E921" s="26"/>
      <c r="F921" s="26"/>
      <c r="G921" s="37"/>
      <c r="H921" s="37"/>
      <c r="I921" s="37"/>
      <c r="J921" s="37"/>
      <c r="K921" s="37"/>
      <c r="L921" s="23"/>
      <c r="M921" s="23"/>
    </row>
    <row r="922" ht="15.75" customHeight="1">
      <c r="A922" s="23"/>
      <c r="B922" s="24"/>
      <c r="C922" s="25"/>
      <c r="D922" s="26"/>
      <c r="E922" s="26"/>
      <c r="F922" s="26"/>
      <c r="G922" s="37"/>
      <c r="H922" s="37"/>
      <c r="I922" s="37"/>
      <c r="J922" s="37"/>
      <c r="K922" s="37"/>
      <c r="L922" s="23"/>
      <c r="M922" s="23"/>
    </row>
    <row r="923" ht="15.75" customHeight="1">
      <c r="A923" s="23"/>
      <c r="B923" s="24"/>
      <c r="C923" s="25"/>
      <c r="D923" s="26"/>
      <c r="E923" s="26"/>
      <c r="F923" s="26"/>
      <c r="G923" s="37"/>
      <c r="H923" s="37"/>
      <c r="I923" s="37"/>
      <c r="J923" s="37"/>
      <c r="K923" s="37"/>
      <c r="L923" s="23"/>
      <c r="M923" s="23"/>
    </row>
    <row r="924" ht="15.75" customHeight="1">
      <c r="A924" s="23"/>
      <c r="B924" s="24"/>
      <c r="C924" s="25"/>
      <c r="D924" s="26"/>
      <c r="E924" s="26"/>
      <c r="F924" s="26"/>
      <c r="G924" s="37"/>
      <c r="H924" s="37"/>
      <c r="I924" s="37"/>
      <c r="J924" s="37"/>
      <c r="K924" s="37"/>
      <c r="L924" s="23"/>
      <c r="M924" s="23"/>
    </row>
    <row r="925" ht="15.75" customHeight="1">
      <c r="A925" s="23"/>
      <c r="B925" s="24"/>
      <c r="C925" s="25"/>
      <c r="D925" s="26"/>
      <c r="E925" s="26"/>
      <c r="F925" s="26"/>
      <c r="G925" s="37"/>
      <c r="H925" s="37"/>
      <c r="I925" s="37"/>
      <c r="J925" s="37"/>
      <c r="K925" s="37"/>
      <c r="L925" s="23"/>
      <c r="M925" s="23"/>
    </row>
    <row r="926" ht="15.75" customHeight="1">
      <c r="A926" s="23"/>
      <c r="B926" s="24"/>
      <c r="C926" s="25"/>
      <c r="D926" s="26"/>
      <c r="E926" s="26"/>
      <c r="F926" s="26"/>
      <c r="G926" s="37"/>
      <c r="H926" s="37"/>
      <c r="I926" s="37"/>
      <c r="J926" s="37"/>
      <c r="K926" s="37"/>
      <c r="L926" s="23"/>
      <c r="M926" s="23"/>
    </row>
    <row r="927" ht="15.75" customHeight="1">
      <c r="A927" s="23"/>
      <c r="B927" s="24"/>
      <c r="C927" s="25"/>
      <c r="D927" s="26"/>
      <c r="E927" s="26"/>
      <c r="F927" s="26"/>
      <c r="G927" s="37"/>
      <c r="H927" s="37"/>
      <c r="I927" s="37"/>
      <c r="J927" s="37"/>
      <c r="K927" s="37"/>
      <c r="L927" s="23"/>
      <c r="M927" s="23"/>
    </row>
    <row r="928" ht="15.75" customHeight="1">
      <c r="A928" s="23"/>
      <c r="B928" s="24"/>
      <c r="C928" s="25"/>
      <c r="D928" s="26"/>
      <c r="E928" s="26"/>
      <c r="F928" s="26"/>
      <c r="G928" s="37"/>
      <c r="H928" s="37"/>
      <c r="I928" s="37"/>
      <c r="J928" s="37"/>
      <c r="K928" s="37"/>
      <c r="L928" s="23"/>
      <c r="M928" s="23"/>
    </row>
    <row r="929" ht="15.75" customHeight="1">
      <c r="A929" s="23"/>
      <c r="B929" s="24"/>
      <c r="C929" s="25"/>
      <c r="D929" s="26"/>
      <c r="E929" s="26"/>
      <c r="F929" s="26"/>
      <c r="G929" s="37"/>
      <c r="H929" s="37"/>
      <c r="I929" s="37"/>
      <c r="J929" s="37"/>
      <c r="K929" s="37"/>
      <c r="L929" s="23"/>
      <c r="M929" s="23"/>
    </row>
    <row r="930" ht="15.75" customHeight="1">
      <c r="A930" s="23"/>
      <c r="B930" s="24"/>
      <c r="C930" s="25"/>
      <c r="D930" s="26"/>
      <c r="E930" s="26"/>
      <c r="F930" s="26"/>
      <c r="G930" s="37"/>
      <c r="H930" s="37"/>
      <c r="I930" s="37"/>
      <c r="J930" s="37"/>
      <c r="K930" s="37"/>
      <c r="L930" s="23"/>
      <c r="M930" s="23"/>
    </row>
    <row r="931" ht="15.75" customHeight="1">
      <c r="A931" s="23"/>
      <c r="B931" s="24"/>
      <c r="C931" s="25"/>
      <c r="D931" s="26"/>
      <c r="E931" s="26"/>
      <c r="F931" s="26"/>
      <c r="G931" s="37"/>
      <c r="H931" s="37"/>
      <c r="I931" s="37"/>
      <c r="J931" s="37"/>
      <c r="K931" s="37"/>
      <c r="L931" s="23"/>
      <c r="M931" s="23"/>
    </row>
    <row r="932" ht="15.75" customHeight="1">
      <c r="A932" s="23"/>
      <c r="B932" s="24"/>
      <c r="C932" s="25"/>
      <c r="D932" s="26"/>
      <c r="E932" s="26"/>
      <c r="F932" s="26"/>
      <c r="G932" s="37"/>
      <c r="H932" s="37"/>
      <c r="I932" s="37"/>
      <c r="J932" s="37"/>
      <c r="K932" s="37"/>
      <c r="L932" s="23"/>
      <c r="M932" s="23"/>
    </row>
    <row r="933" ht="15.75" customHeight="1">
      <c r="A933" s="23"/>
      <c r="B933" s="24"/>
      <c r="C933" s="25"/>
      <c r="D933" s="26"/>
      <c r="E933" s="26"/>
      <c r="F933" s="26"/>
      <c r="G933" s="37"/>
      <c r="H933" s="37"/>
      <c r="I933" s="37"/>
      <c r="J933" s="37"/>
      <c r="K933" s="37"/>
      <c r="L933" s="23"/>
      <c r="M933" s="23"/>
    </row>
    <row r="934" ht="15.75" customHeight="1">
      <c r="A934" s="23"/>
      <c r="B934" s="24"/>
      <c r="C934" s="25"/>
      <c r="D934" s="26"/>
      <c r="E934" s="26"/>
      <c r="F934" s="26"/>
      <c r="G934" s="37"/>
      <c r="H934" s="37"/>
      <c r="I934" s="37"/>
      <c r="J934" s="37"/>
      <c r="K934" s="37"/>
      <c r="L934" s="23"/>
      <c r="M934" s="23"/>
    </row>
    <row r="935" ht="15.75" customHeight="1">
      <c r="A935" s="23"/>
      <c r="B935" s="24"/>
      <c r="C935" s="25"/>
      <c r="D935" s="26"/>
      <c r="E935" s="26"/>
      <c r="F935" s="26"/>
      <c r="G935" s="37"/>
      <c r="H935" s="37"/>
      <c r="I935" s="37"/>
      <c r="J935" s="37"/>
      <c r="K935" s="37"/>
      <c r="L935" s="23"/>
      <c r="M935" s="23"/>
    </row>
    <row r="936" ht="15.75" customHeight="1">
      <c r="A936" s="23"/>
      <c r="B936" s="24"/>
      <c r="C936" s="25"/>
      <c r="D936" s="26"/>
      <c r="E936" s="26"/>
      <c r="F936" s="26"/>
      <c r="G936" s="37"/>
      <c r="H936" s="37"/>
      <c r="I936" s="37"/>
      <c r="J936" s="37"/>
      <c r="K936" s="37"/>
      <c r="L936" s="23"/>
      <c r="M936" s="23"/>
    </row>
    <row r="937" ht="15.75" customHeight="1">
      <c r="A937" s="23"/>
      <c r="B937" s="24"/>
      <c r="C937" s="25"/>
      <c r="D937" s="26"/>
      <c r="E937" s="26"/>
      <c r="F937" s="26"/>
      <c r="G937" s="37"/>
      <c r="H937" s="37"/>
      <c r="I937" s="37"/>
      <c r="J937" s="37"/>
      <c r="K937" s="37"/>
      <c r="L937" s="23"/>
      <c r="M937" s="23"/>
    </row>
    <row r="938" ht="15.75" customHeight="1">
      <c r="A938" s="23"/>
      <c r="B938" s="24"/>
      <c r="C938" s="25"/>
      <c r="D938" s="26"/>
      <c r="E938" s="26"/>
      <c r="F938" s="26"/>
      <c r="G938" s="37"/>
      <c r="H938" s="37"/>
      <c r="I938" s="37"/>
      <c r="J938" s="37"/>
      <c r="K938" s="37"/>
      <c r="L938" s="23"/>
      <c r="M938" s="23"/>
    </row>
    <row r="939" ht="15.75" customHeight="1">
      <c r="A939" s="23"/>
      <c r="B939" s="24"/>
      <c r="C939" s="25"/>
      <c r="D939" s="26"/>
      <c r="E939" s="26"/>
      <c r="F939" s="26"/>
      <c r="G939" s="37"/>
      <c r="H939" s="37"/>
      <c r="I939" s="37"/>
      <c r="J939" s="37"/>
      <c r="K939" s="37"/>
      <c r="L939" s="23"/>
      <c r="M939" s="23"/>
    </row>
    <row r="940" ht="15.75" customHeight="1">
      <c r="A940" s="23"/>
      <c r="B940" s="24"/>
      <c r="C940" s="25"/>
      <c r="D940" s="26"/>
      <c r="E940" s="26"/>
      <c r="F940" s="26"/>
      <c r="G940" s="37"/>
      <c r="H940" s="37"/>
      <c r="I940" s="37"/>
      <c r="J940" s="37"/>
      <c r="K940" s="37"/>
      <c r="L940" s="23"/>
      <c r="M940" s="23"/>
    </row>
    <row r="941" ht="15.75" customHeight="1">
      <c r="A941" s="23"/>
      <c r="B941" s="24"/>
      <c r="C941" s="25"/>
      <c r="D941" s="26"/>
      <c r="E941" s="26"/>
      <c r="F941" s="26"/>
      <c r="G941" s="37"/>
      <c r="H941" s="37"/>
      <c r="I941" s="37"/>
      <c r="J941" s="37"/>
      <c r="K941" s="37"/>
      <c r="L941" s="23"/>
      <c r="M941" s="23"/>
    </row>
    <row r="942" ht="15.75" customHeight="1">
      <c r="A942" s="23"/>
      <c r="B942" s="24"/>
      <c r="C942" s="25"/>
      <c r="D942" s="26"/>
      <c r="E942" s="26"/>
      <c r="F942" s="26"/>
      <c r="G942" s="37"/>
      <c r="H942" s="37"/>
      <c r="I942" s="37"/>
      <c r="J942" s="37"/>
      <c r="K942" s="37"/>
      <c r="L942" s="23"/>
      <c r="M942" s="23"/>
    </row>
    <row r="943" ht="15.75" customHeight="1">
      <c r="A943" s="23"/>
      <c r="B943" s="24"/>
      <c r="C943" s="25"/>
      <c r="D943" s="26"/>
      <c r="E943" s="26"/>
      <c r="F943" s="26"/>
      <c r="G943" s="37"/>
      <c r="H943" s="37"/>
      <c r="I943" s="37"/>
      <c r="J943" s="37"/>
      <c r="K943" s="37"/>
      <c r="L943" s="23"/>
      <c r="M943" s="23"/>
    </row>
    <row r="944" ht="15.75" customHeight="1">
      <c r="A944" s="23"/>
      <c r="B944" s="24"/>
      <c r="C944" s="25"/>
      <c r="D944" s="26"/>
      <c r="E944" s="26"/>
      <c r="F944" s="26"/>
      <c r="G944" s="37"/>
      <c r="H944" s="37"/>
      <c r="I944" s="37"/>
      <c r="J944" s="37"/>
      <c r="K944" s="37"/>
      <c r="L944" s="23"/>
      <c r="M944" s="23"/>
    </row>
    <row r="945" ht="15.75" customHeight="1">
      <c r="A945" s="23"/>
      <c r="B945" s="24"/>
      <c r="C945" s="25"/>
      <c r="D945" s="26"/>
      <c r="E945" s="26"/>
      <c r="F945" s="26"/>
      <c r="G945" s="37"/>
      <c r="H945" s="37"/>
      <c r="I945" s="37"/>
      <c r="J945" s="37"/>
      <c r="K945" s="37"/>
      <c r="L945" s="23"/>
      <c r="M945" s="23"/>
    </row>
    <row r="946" ht="15.75" customHeight="1">
      <c r="A946" s="23"/>
      <c r="B946" s="24"/>
      <c r="C946" s="25"/>
      <c r="D946" s="26"/>
      <c r="E946" s="26"/>
      <c r="F946" s="26"/>
      <c r="G946" s="37"/>
      <c r="H946" s="37"/>
      <c r="I946" s="37"/>
      <c r="J946" s="37"/>
      <c r="K946" s="37"/>
      <c r="L946" s="23"/>
      <c r="M946" s="23"/>
    </row>
    <row r="947" ht="15.75" customHeight="1">
      <c r="A947" s="23"/>
      <c r="B947" s="24"/>
      <c r="C947" s="25"/>
      <c r="D947" s="26"/>
      <c r="E947" s="26"/>
      <c r="F947" s="26"/>
      <c r="G947" s="37"/>
      <c r="H947" s="37"/>
      <c r="I947" s="37"/>
      <c r="J947" s="37"/>
      <c r="K947" s="37"/>
      <c r="L947" s="23"/>
      <c r="M947" s="23"/>
    </row>
    <row r="948" ht="15.75" customHeight="1">
      <c r="A948" s="23"/>
      <c r="B948" s="24"/>
      <c r="C948" s="25"/>
      <c r="D948" s="26"/>
      <c r="E948" s="26"/>
      <c r="F948" s="26"/>
      <c r="G948" s="37"/>
      <c r="H948" s="37"/>
      <c r="I948" s="37"/>
      <c r="J948" s="37"/>
      <c r="K948" s="37"/>
      <c r="L948" s="23"/>
      <c r="M948" s="23"/>
    </row>
    <row r="949" ht="15.75" customHeight="1">
      <c r="A949" s="23"/>
      <c r="B949" s="24"/>
      <c r="C949" s="25"/>
      <c r="D949" s="26"/>
      <c r="E949" s="26"/>
      <c r="F949" s="26"/>
      <c r="G949" s="37"/>
      <c r="H949" s="37"/>
      <c r="I949" s="37"/>
      <c r="J949" s="37"/>
      <c r="K949" s="37"/>
      <c r="L949" s="23"/>
      <c r="M949" s="23"/>
    </row>
    <row r="950" ht="15.75" customHeight="1">
      <c r="A950" s="23"/>
      <c r="B950" s="24"/>
      <c r="C950" s="25"/>
      <c r="D950" s="26"/>
      <c r="E950" s="26"/>
      <c r="F950" s="26"/>
      <c r="G950" s="37"/>
      <c r="H950" s="37"/>
      <c r="I950" s="37"/>
      <c r="J950" s="37"/>
      <c r="K950" s="37"/>
      <c r="L950" s="23"/>
      <c r="M950" s="23"/>
    </row>
    <row r="951" ht="15.75" customHeight="1">
      <c r="A951" s="23"/>
      <c r="B951" s="24"/>
      <c r="C951" s="25"/>
      <c r="D951" s="26"/>
      <c r="E951" s="26"/>
      <c r="F951" s="26"/>
      <c r="G951" s="37"/>
      <c r="H951" s="37"/>
      <c r="I951" s="37"/>
      <c r="J951" s="37"/>
      <c r="K951" s="37"/>
      <c r="L951" s="23"/>
      <c r="M951" s="23"/>
    </row>
    <row r="952" ht="15.75" customHeight="1">
      <c r="A952" s="23"/>
      <c r="B952" s="24"/>
      <c r="C952" s="25"/>
      <c r="D952" s="26"/>
      <c r="E952" s="26"/>
      <c r="F952" s="26"/>
      <c r="G952" s="37"/>
      <c r="H952" s="37"/>
      <c r="I952" s="37"/>
      <c r="J952" s="37"/>
      <c r="K952" s="37"/>
      <c r="L952" s="23"/>
      <c r="M952" s="23"/>
    </row>
    <row r="953" ht="15.75" customHeight="1">
      <c r="A953" s="23"/>
      <c r="B953" s="24"/>
      <c r="C953" s="25"/>
      <c r="D953" s="26"/>
      <c r="E953" s="26"/>
      <c r="F953" s="26"/>
      <c r="G953" s="37"/>
      <c r="H953" s="37"/>
      <c r="I953" s="37"/>
      <c r="J953" s="37"/>
      <c r="K953" s="37"/>
      <c r="L953" s="23"/>
      <c r="M953" s="23"/>
    </row>
    <row r="954" ht="15.75" customHeight="1">
      <c r="A954" s="23"/>
      <c r="B954" s="24"/>
      <c r="C954" s="25"/>
      <c r="D954" s="26"/>
      <c r="E954" s="26"/>
      <c r="F954" s="26"/>
      <c r="G954" s="37"/>
      <c r="H954" s="37"/>
      <c r="I954" s="37"/>
      <c r="J954" s="37"/>
      <c r="K954" s="37"/>
      <c r="L954" s="23"/>
      <c r="M954" s="23"/>
    </row>
    <row r="955" ht="15.75" customHeight="1">
      <c r="A955" s="23"/>
      <c r="B955" s="24"/>
      <c r="C955" s="25"/>
      <c r="D955" s="26"/>
      <c r="E955" s="26"/>
      <c r="F955" s="26"/>
      <c r="G955" s="37"/>
      <c r="H955" s="37"/>
      <c r="I955" s="37"/>
      <c r="J955" s="37"/>
      <c r="K955" s="37"/>
      <c r="L955" s="23"/>
      <c r="M955" s="23"/>
    </row>
    <row r="956" ht="15.75" customHeight="1">
      <c r="A956" s="23"/>
      <c r="B956" s="24"/>
      <c r="C956" s="25"/>
      <c r="D956" s="26"/>
      <c r="E956" s="26"/>
      <c r="F956" s="26"/>
      <c r="G956" s="37"/>
      <c r="H956" s="37"/>
      <c r="I956" s="37"/>
      <c r="J956" s="37"/>
      <c r="K956" s="37"/>
      <c r="L956" s="23"/>
      <c r="M956" s="23"/>
    </row>
    <row r="957" ht="15.75" customHeight="1">
      <c r="A957" s="23"/>
      <c r="B957" s="24"/>
      <c r="C957" s="25"/>
      <c r="D957" s="26"/>
      <c r="E957" s="26"/>
      <c r="F957" s="26"/>
      <c r="G957" s="37"/>
      <c r="H957" s="37"/>
      <c r="I957" s="37"/>
      <c r="J957" s="37"/>
      <c r="K957" s="37"/>
      <c r="L957" s="23"/>
      <c r="M957" s="23"/>
    </row>
    <row r="958" ht="15.75" customHeight="1">
      <c r="A958" s="23"/>
      <c r="B958" s="24"/>
      <c r="C958" s="25"/>
      <c r="D958" s="26"/>
      <c r="E958" s="26"/>
      <c r="F958" s="26"/>
      <c r="G958" s="37"/>
      <c r="H958" s="37"/>
      <c r="I958" s="37"/>
      <c r="J958" s="37"/>
      <c r="K958" s="37"/>
      <c r="L958" s="23"/>
      <c r="M958" s="23"/>
    </row>
    <row r="959" ht="15.75" customHeight="1">
      <c r="A959" s="23"/>
      <c r="B959" s="24"/>
      <c r="C959" s="25"/>
      <c r="D959" s="26"/>
      <c r="E959" s="26"/>
      <c r="F959" s="26"/>
      <c r="G959" s="37"/>
      <c r="H959" s="37"/>
      <c r="I959" s="37"/>
      <c r="J959" s="37"/>
      <c r="K959" s="37"/>
      <c r="L959" s="23"/>
      <c r="M959" s="23"/>
    </row>
    <row r="960" ht="15.75" customHeight="1">
      <c r="A960" s="23"/>
      <c r="B960" s="24"/>
      <c r="C960" s="25"/>
      <c r="D960" s="26"/>
      <c r="E960" s="26"/>
      <c r="F960" s="26"/>
      <c r="G960" s="37"/>
      <c r="H960" s="37"/>
      <c r="I960" s="37"/>
      <c r="J960" s="37"/>
      <c r="K960" s="37"/>
      <c r="L960" s="23"/>
      <c r="M960" s="23"/>
    </row>
    <row r="961" ht="15.75" customHeight="1">
      <c r="A961" s="23"/>
      <c r="B961" s="24"/>
      <c r="C961" s="25"/>
      <c r="D961" s="26"/>
      <c r="E961" s="26"/>
      <c r="F961" s="26"/>
      <c r="G961" s="37"/>
      <c r="H961" s="37"/>
      <c r="I961" s="37"/>
      <c r="J961" s="37"/>
      <c r="K961" s="37"/>
      <c r="L961" s="23"/>
      <c r="M961" s="23"/>
    </row>
    <row r="962" ht="15.75" customHeight="1">
      <c r="A962" s="23"/>
      <c r="B962" s="24"/>
      <c r="C962" s="25"/>
      <c r="D962" s="26"/>
      <c r="E962" s="26"/>
      <c r="F962" s="26"/>
      <c r="G962" s="37"/>
      <c r="H962" s="37"/>
      <c r="I962" s="37"/>
      <c r="J962" s="37"/>
      <c r="K962" s="37"/>
      <c r="L962" s="23"/>
      <c r="M962" s="23"/>
    </row>
    <row r="963" ht="15.75" customHeight="1">
      <c r="A963" s="23"/>
      <c r="B963" s="24"/>
      <c r="C963" s="25"/>
      <c r="D963" s="26"/>
      <c r="E963" s="26"/>
      <c r="F963" s="26"/>
      <c r="G963" s="37"/>
      <c r="H963" s="37"/>
      <c r="I963" s="37"/>
      <c r="J963" s="37"/>
      <c r="K963" s="37"/>
      <c r="L963" s="23"/>
      <c r="M963" s="23"/>
    </row>
    <row r="964" ht="15.75" customHeight="1">
      <c r="A964" s="23"/>
      <c r="B964" s="24"/>
      <c r="C964" s="25"/>
      <c r="D964" s="26"/>
      <c r="E964" s="26"/>
      <c r="F964" s="26"/>
      <c r="G964" s="37"/>
      <c r="H964" s="37"/>
      <c r="I964" s="37"/>
      <c r="J964" s="37"/>
      <c r="K964" s="37"/>
      <c r="L964" s="23"/>
      <c r="M964" s="23"/>
    </row>
    <row r="965" ht="15.75" customHeight="1">
      <c r="A965" s="23"/>
      <c r="B965" s="24"/>
      <c r="C965" s="25"/>
      <c r="D965" s="26"/>
      <c r="E965" s="26"/>
      <c r="F965" s="26"/>
      <c r="G965" s="37"/>
      <c r="H965" s="37"/>
      <c r="I965" s="37"/>
      <c r="J965" s="37"/>
      <c r="K965" s="37"/>
      <c r="L965" s="23"/>
      <c r="M965" s="23"/>
    </row>
    <row r="966" ht="15.75" customHeight="1">
      <c r="A966" s="23"/>
      <c r="B966" s="24"/>
      <c r="C966" s="25"/>
      <c r="D966" s="26"/>
      <c r="E966" s="26"/>
      <c r="F966" s="26"/>
      <c r="G966" s="37"/>
      <c r="H966" s="37"/>
      <c r="I966" s="37"/>
      <c r="J966" s="37"/>
      <c r="K966" s="37"/>
      <c r="L966" s="23"/>
      <c r="M966" s="23"/>
    </row>
    <row r="967" ht="15.75" customHeight="1">
      <c r="A967" s="23"/>
      <c r="B967" s="24"/>
      <c r="C967" s="25"/>
      <c r="D967" s="26"/>
      <c r="E967" s="26"/>
      <c r="F967" s="26"/>
      <c r="G967" s="37"/>
      <c r="H967" s="37"/>
      <c r="I967" s="37"/>
      <c r="J967" s="37"/>
      <c r="K967" s="37"/>
      <c r="L967" s="23"/>
      <c r="M967" s="23"/>
    </row>
    <row r="968" ht="15.75" customHeight="1">
      <c r="A968" s="23"/>
      <c r="B968" s="24"/>
      <c r="C968" s="25"/>
      <c r="D968" s="26"/>
      <c r="E968" s="26"/>
      <c r="F968" s="26"/>
      <c r="G968" s="37"/>
      <c r="H968" s="37"/>
      <c r="I968" s="37"/>
      <c r="J968" s="37"/>
      <c r="K968" s="37"/>
      <c r="L968" s="23"/>
      <c r="M968" s="23"/>
    </row>
    <row r="969" ht="15.75" customHeight="1">
      <c r="A969" s="23"/>
      <c r="B969" s="24"/>
      <c r="C969" s="25"/>
      <c r="D969" s="26"/>
      <c r="E969" s="26"/>
      <c r="F969" s="26"/>
      <c r="G969" s="37"/>
      <c r="H969" s="37"/>
      <c r="I969" s="37"/>
      <c r="J969" s="37"/>
      <c r="K969" s="37"/>
      <c r="L969" s="23"/>
      <c r="M969" s="23"/>
    </row>
    <row r="970" ht="15.75" customHeight="1">
      <c r="A970" s="23"/>
      <c r="B970" s="24"/>
      <c r="C970" s="25"/>
      <c r="D970" s="26"/>
      <c r="E970" s="26"/>
      <c r="F970" s="26"/>
      <c r="G970" s="37"/>
      <c r="H970" s="37"/>
      <c r="I970" s="37"/>
      <c r="J970" s="37"/>
      <c r="K970" s="37"/>
      <c r="L970" s="23"/>
      <c r="M970" s="23"/>
    </row>
    <row r="971" ht="15.75" customHeight="1">
      <c r="A971" s="23"/>
      <c r="B971" s="24"/>
      <c r="C971" s="25"/>
      <c r="D971" s="26"/>
      <c r="E971" s="26"/>
      <c r="F971" s="26"/>
      <c r="G971" s="37"/>
      <c r="H971" s="37"/>
      <c r="I971" s="37"/>
      <c r="J971" s="37"/>
      <c r="K971" s="37"/>
      <c r="L971" s="23"/>
      <c r="M971" s="23"/>
    </row>
    <row r="972" ht="15.75" customHeight="1">
      <c r="A972" s="23"/>
      <c r="B972" s="24"/>
      <c r="C972" s="25"/>
      <c r="D972" s="26"/>
      <c r="E972" s="26"/>
      <c r="F972" s="26"/>
      <c r="G972" s="37"/>
      <c r="H972" s="37"/>
      <c r="I972" s="37"/>
      <c r="J972" s="37"/>
      <c r="K972" s="37"/>
      <c r="L972" s="23"/>
      <c r="M972" s="23"/>
    </row>
    <row r="973" ht="15.75" customHeight="1">
      <c r="A973" s="23"/>
      <c r="B973" s="24"/>
      <c r="C973" s="25"/>
      <c r="D973" s="26"/>
      <c r="E973" s="26"/>
      <c r="F973" s="26"/>
      <c r="G973" s="37"/>
      <c r="H973" s="37"/>
      <c r="I973" s="37"/>
      <c r="J973" s="37"/>
      <c r="K973" s="37"/>
      <c r="L973" s="23"/>
      <c r="M973" s="23"/>
    </row>
    <row r="974" ht="15.75" customHeight="1">
      <c r="A974" s="23"/>
      <c r="B974" s="24"/>
      <c r="C974" s="25"/>
      <c r="D974" s="26"/>
      <c r="E974" s="26"/>
      <c r="F974" s="26"/>
      <c r="G974" s="37"/>
      <c r="H974" s="37"/>
      <c r="I974" s="37"/>
      <c r="J974" s="37"/>
      <c r="K974" s="37"/>
      <c r="L974" s="23"/>
      <c r="M974" s="23"/>
    </row>
    <row r="975" ht="15.75" customHeight="1">
      <c r="A975" s="23"/>
      <c r="B975" s="24"/>
      <c r="C975" s="25"/>
      <c r="D975" s="26"/>
      <c r="E975" s="26"/>
      <c r="F975" s="26"/>
      <c r="G975" s="37"/>
      <c r="H975" s="37"/>
      <c r="I975" s="37"/>
      <c r="J975" s="37"/>
      <c r="K975" s="37"/>
      <c r="L975" s="23"/>
      <c r="M975" s="23"/>
    </row>
    <row r="976" ht="15.75" customHeight="1">
      <c r="A976" s="23"/>
      <c r="B976" s="24"/>
      <c r="C976" s="25"/>
      <c r="D976" s="26"/>
      <c r="E976" s="26"/>
      <c r="F976" s="26"/>
      <c r="G976" s="37"/>
      <c r="H976" s="37"/>
      <c r="I976" s="37"/>
      <c r="J976" s="37"/>
      <c r="K976" s="37"/>
      <c r="L976" s="23"/>
      <c r="M976" s="23"/>
    </row>
    <row r="977" ht="15.75" customHeight="1">
      <c r="A977" s="23"/>
      <c r="B977" s="24"/>
      <c r="C977" s="25"/>
      <c r="D977" s="26"/>
      <c r="E977" s="26"/>
      <c r="F977" s="26"/>
      <c r="G977" s="37"/>
      <c r="H977" s="37"/>
      <c r="I977" s="37"/>
      <c r="J977" s="37"/>
      <c r="K977" s="37"/>
      <c r="L977" s="23"/>
      <c r="M977" s="23"/>
    </row>
    <row r="978" ht="15.75" customHeight="1">
      <c r="A978" s="23"/>
      <c r="B978" s="24"/>
      <c r="C978" s="25"/>
      <c r="D978" s="26"/>
      <c r="E978" s="26"/>
      <c r="F978" s="26"/>
      <c r="G978" s="37"/>
      <c r="H978" s="37"/>
      <c r="I978" s="37"/>
      <c r="J978" s="37"/>
      <c r="K978" s="37"/>
      <c r="L978" s="23"/>
      <c r="M978" s="23"/>
    </row>
    <row r="979" ht="15.75" customHeight="1">
      <c r="A979" s="23"/>
      <c r="B979" s="24"/>
      <c r="C979" s="25"/>
      <c r="D979" s="26"/>
      <c r="E979" s="26"/>
      <c r="F979" s="26"/>
      <c r="G979" s="37"/>
      <c r="H979" s="37"/>
      <c r="I979" s="37"/>
      <c r="J979" s="37"/>
      <c r="K979" s="37"/>
      <c r="L979" s="23"/>
      <c r="M979" s="23"/>
    </row>
    <row r="980" ht="15.75" customHeight="1">
      <c r="A980" s="23"/>
      <c r="B980" s="24"/>
      <c r="C980" s="25"/>
      <c r="D980" s="26"/>
      <c r="E980" s="26"/>
      <c r="F980" s="26"/>
      <c r="G980" s="37"/>
      <c r="H980" s="37"/>
      <c r="I980" s="37"/>
      <c r="J980" s="37"/>
      <c r="K980" s="37"/>
      <c r="L980" s="23"/>
      <c r="M980" s="23"/>
    </row>
    <row r="981" ht="15.75" customHeight="1">
      <c r="A981" s="23"/>
      <c r="B981" s="24"/>
      <c r="C981" s="25"/>
      <c r="D981" s="26"/>
      <c r="E981" s="26"/>
      <c r="F981" s="26"/>
      <c r="G981" s="37"/>
      <c r="H981" s="37"/>
      <c r="I981" s="37"/>
      <c r="J981" s="37"/>
      <c r="K981" s="37"/>
      <c r="L981" s="23"/>
      <c r="M981" s="23"/>
    </row>
    <row r="982" ht="15.75" customHeight="1">
      <c r="A982" s="23"/>
      <c r="B982" s="24"/>
      <c r="C982" s="25"/>
      <c r="D982" s="26"/>
      <c r="E982" s="26"/>
      <c r="F982" s="26"/>
      <c r="G982" s="37"/>
      <c r="H982" s="37"/>
      <c r="I982" s="37"/>
      <c r="J982" s="37"/>
      <c r="K982" s="37"/>
      <c r="L982" s="23"/>
      <c r="M982" s="23"/>
    </row>
    <row r="983" ht="15.75" customHeight="1">
      <c r="A983" s="23"/>
      <c r="B983" s="24"/>
      <c r="C983" s="25"/>
      <c r="D983" s="26"/>
      <c r="E983" s="26"/>
      <c r="F983" s="26"/>
      <c r="G983" s="37"/>
      <c r="H983" s="37"/>
      <c r="I983" s="37"/>
      <c r="J983" s="37"/>
      <c r="K983" s="37"/>
      <c r="L983" s="23"/>
      <c r="M983" s="23"/>
    </row>
    <row r="984" ht="15.75" customHeight="1">
      <c r="A984" s="23"/>
      <c r="B984" s="24"/>
      <c r="C984" s="25"/>
      <c r="D984" s="26"/>
      <c r="E984" s="26"/>
      <c r="F984" s="26"/>
      <c r="G984" s="37"/>
      <c r="H984" s="37"/>
      <c r="I984" s="37"/>
      <c r="J984" s="37"/>
      <c r="K984" s="37"/>
      <c r="L984" s="23"/>
      <c r="M984" s="23"/>
    </row>
    <row r="985" ht="15.75" customHeight="1">
      <c r="A985" s="23"/>
      <c r="B985" s="24"/>
      <c r="C985" s="25"/>
      <c r="D985" s="26"/>
      <c r="E985" s="26"/>
      <c r="F985" s="26"/>
      <c r="G985" s="37"/>
      <c r="H985" s="37"/>
      <c r="I985" s="37"/>
      <c r="J985" s="37"/>
      <c r="K985" s="37"/>
      <c r="L985" s="23"/>
      <c r="M985" s="23"/>
    </row>
    <row r="986" ht="15.75" customHeight="1">
      <c r="A986" s="23"/>
      <c r="B986" s="24"/>
      <c r="C986" s="25"/>
      <c r="D986" s="26"/>
      <c r="E986" s="26"/>
      <c r="F986" s="26"/>
      <c r="G986" s="37"/>
      <c r="H986" s="37"/>
      <c r="I986" s="37"/>
      <c r="J986" s="37"/>
      <c r="K986" s="37"/>
      <c r="L986" s="23"/>
      <c r="M986" s="23"/>
    </row>
    <row r="987" ht="15.75" customHeight="1">
      <c r="A987" s="23"/>
      <c r="B987" s="24"/>
      <c r="C987" s="25"/>
      <c r="D987" s="26"/>
      <c r="E987" s="26"/>
      <c r="F987" s="26"/>
      <c r="G987" s="37"/>
      <c r="H987" s="37"/>
      <c r="I987" s="37"/>
      <c r="J987" s="37"/>
      <c r="K987" s="37"/>
      <c r="L987" s="23"/>
      <c r="M987" s="23"/>
    </row>
    <row r="988" ht="15.75" customHeight="1">
      <c r="A988" s="23"/>
      <c r="B988" s="24"/>
      <c r="C988" s="25"/>
      <c r="D988" s="26"/>
      <c r="E988" s="26"/>
      <c r="F988" s="26"/>
      <c r="G988" s="37"/>
      <c r="H988" s="37"/>
      <c r="I988" s="37"/>
      <c r="J988" s="37"/>
      <c r="K988" s="37"/>
      <c r="L988" s="23"/>
      <c r="M988" s="23"/>
    </row>
    <row r="989" ht="15.75" customHeight="1">
      <c r="A989" s="23"/>
      <c r="B989" s="24"/>
      <c r="C989" s="25"/>
      <c r="D989" s="26"/>
      <c r="E989" s="26"/>
      <c r="F989" s="26"/>
      <c r="G989" s="37"/>
      <c r="H989" s="37"/>
      <c r="I989" s="37"/>
      <c r="J989" s="37"/>
      <c r="K989" s="37"/>
      <c r="L989" s="23"/>
      <c r="M989" s="23"/>
    </row>
    <row r="990" ht="15.75" customHeight="1">
      <c r="A990" s="23"/>
      <c r="B990" s="24"/>
      <c r="C990" s="25"/>
      <c r="D990" s="26"/>
      <c r="E990" s="26"/>
      <c r="F990" s="26"/>
      <c r="G990" s="37"/>
      <c r="H990" s="37"/>
      <c r="I990" s="37"/>
      <c r="J990" s="37"/>
      <c r="K990" s="37"/>
      <c r="L990" s="23"/>
      <c r="M990" s="23"/>
    </row>
    <row r="991" ht="15.75" customHeight="1">
      <c r="A991" s="23"/>
      <c r="B991" s="24"/>
      <c r="C991" s="25"/>
      <c r="D991" s="26"/>
      <c r="E991" s="26"/>
      <c r="F991" s="26"/>
      <c r="G991" s="37"/>
      <c r="H991" s="37"/>
      <c r="I991" s="37"/>
      <c r="J991" s="37"/>
      <c r="K991" s="37"/>
      <c r="L991" s="23"/>
      <c r="M991" s="23"/>
    </row>
    <row r="992" ht="15.75" customHeight="1">
      <c r="A992" s="23"/>
      <c r="B992" s="24"/>
      <c r="C992" s="25"/>
      <c r="D992" s="26"/>
      <c r="E992" s="26"/>
      <c r="F992" s="26"/>
      <c r="G992" s="37"/>
      <c r="H992" s="37"/>
      <c r="I992" s="37"/>
      <c r="J992" s="37"/>
      <c r="K992" s="37"/>
      <c r="L992" s="23"/>
      <c r="M992" s="23"/>
    </row>
    <row r="993" ht="15.75" customHeight="1">
      <c r="A993" s="23"/>
      <c r="B993" s="24"/>
      <c r="C993" s="25"/>
      <c r="D993" s="26"/>
      <c r="E993" s="26"/>
      <c r="F993" s="26"/>
      <c r="G993" s="37"/>
      <c r="H993" s="37"/>
      <c r="I993" s="37"/>
      <c r="J993" s="37"/>
      <c r="K993" s="37"/>
      <c r="L993" s="23"/>
      <c r="M993" s="23"/>
    </row>
    <row r="994" ht="15.75" customHeight="1">
      <c r="A994" s="23"/>
      <c r="B994" s="24"/>
      <c r="C994" s="25"/>
      <c r="D994" s="26"/>
      <c r="E994" s="26"/>
      <c r="F994" s="26"/>
      <c r="G994" s="37"/>
      <c r="H994" s="37"/>
      <c r="I994" s="37"/>
      <c r="J994" s="37"/>
      <c r="K994" s="37"/>
      <c r="L994" s="23"/>
      <c r="M994" s="23"/>
    </row>
    <row r="995" ht="15.75" customHeight="1">
      <c r="A995" s="23"/>
      <c r="B995" s="24"/>
      <c r="C995" s="25"/>
      <c r="D995" s="26"/>
      <c r="E995" s="26"/>
      <c r="F995" s="26"/>
      <c r="G995" s="37"/>
      <c r="H995" s="37"/>
      <c r="I995" s="37"/>
      <c r="J995" s="37"/>
      <c r="K995" s="37"/>
      <c r="L995" s="23"/>
      <c r="M995" s="23"/>
    </row>
    <row r="996" ht="15.75" customHeight="1">
      <c r="A996" s="23"/>
      <c r="B996" s="24"/>
      <c r="C996" s="25"/>
      <c r="D996" s="26"/>
      <c r="E996" s="26"/>
      <c r="F996" s="26"/>
      <c r="G996" s="37"/>
      <c r="H996" s="37"/>
      <c r="I996" s="37"/>
      <c r="J996" s="37"/>
      <c r="K996" s="37"/>
      <c r="L996" s="23"/>
      <c r="M996" s="23"/>
    </row>
    <row r="997" ht="15.75" customHeight="1">
      <c r="A997" s="23"/>
      <c r="B997" s="24"/>
      <c r="C997" s="25"/>
      <c r="D997" s="26"/>
      <c r="E997" s="26"/>
      <c r="F997" s="26"/>
      <c r="G997" s="37"/>
      <c r="H997" s="37"/>
      <c r="I997" s="37"/>
      <c r="J997" s="37"/>
      <c r="K997" s="37"/>
      <c r="L997" s="23"/>
      <c r="M997" s="23"/>
    </row>
    <row r="998" ht="15.75" customHeight="1">
      <c r="A998" s="23"/>
      <c r="B998" s="24"/>
      <c r="C998" s="25"/>
      <c r="D998" s="26"/>
      <c r="E998" s="26"/>
      <c r="F998" s="26"/>
      <c r="G998" s="37"/>
      <c r="H998" s="37"/>
      <c r="I998" s="37"/>
      <c r="J998" s="37"/>
      <c r="K998" s="37"/>
      <c r="L998" s="23"/>
      <c r="M998" s="23"/>
    </row>
    <row r="999" ht="15.75" customHeight="1">
      <c r="A999" s="23"/>
      <c r="B999" s="24"/>
      <c r="C999" s="25"/>
      <c r="D999" s="26"/>
      <c r="E999" s="26"/>
      <c r="F999" s="26"/>
      <c r="G999" s="37"/>
      <c r="H999" s="37"/>
      <c r="I999" s="37"/>
      <c r="J999" s="37"/>
      <c r="K999" s="37"/>
      <c r="L999" s="23"/>
      <c r="M999" s="23"/>
    </row>
    <row r="1000" ht="15.75" customHeight="1">
      <c r="A1000" s="23"/>
      <c r="B1000" s="24"/>
      <c r="C1000" s="25"/>
      <c r="D1000" s="26"/>
      <c r="E1000" s="26"/>
      <c r="F1000" s="26"/>
      <c r="G1000" s="37"/>
      <c r="H1000" s="37"/>
      <c r="I1000" s="37"/>
      <c r="J1000" s="37"/>
      <c r="K1000" s="37"/>
      <c r="L1000" s="23"/>
      <c r="M1000" s="23"/>
    </row>
  </sheetData>
  <mergeCells count="1">
    <mergeCell ref="P1:T1"/>
  </mergeCells>
  <hyperlinks>
    <hyperlink display="RETORNAR AO MENU DE SELEÇÃO " location="null!A1" ref="P1"/>
  </hyperlinks>
  <printOptions/>
  <pageMargins bottom="0.787401575" footer="0.0" header="0.0" left="0.511811024" right="0.511811024" top="0.787401575"/>
  <pageSetup paperSize="9" orientation="portrait"/>
  <drawing r:id="rId2"/>
  <legacyDrawing r:id="rId3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showGridLines="0" workbookViewId="0"/>
  </sheetViews>
  <sheetFormatPr customHeight="1" defaultColWidth="12.63" defaultRowHeight="15.0"/>
  <cols>
    <col customWidth="1" hidden="1" min="1" max="1" width="7.13"/>
    <col customWidth="1" min="2" max="2" width="10.75"/>
    <col customWidth="1" hidden="1" min="3" max="3" width="9.38"/>
    <col customWidth="1" hidden="1" min="4" max="4" width="8.75"/>
    <col customWidth="1" hidden="1" min="5" max="5" width="16.38"/>
    <col customWidth="1" min="6" max="6" width="17.25"/>
    <col customWidth="1" min="7" max="7" width="11.75"/>
    <col customWidth="1" min="8" max="8" width="12.75"/>
    <col customWidth="1" min="9" max="9" width="19.88"/>
    <col customWidth="1" min="10" max="10" width="16.63"/>
    <col customWidth="1" min="11" max="11" width="19.38"/>
    <col customWidth="1" min="12" max="12" width="23.63"/>
    <col customWidth="1" min="13" max="13" width="18.38"/>
    <col customWidth="1" min="14" max="14" width="18.75"/>
    <col customWidth="1" hidden="1" min="15" max="15" width="11.0"/>
    <col customWidth="1" min="16" max="16" width="9.88"/>
    <col customWidth="1" min="17" max="26" width="8.63"/>
  </cols>
  <sheetData>
    <row r="1">
      <c r="A1" s="3" t="s">
        <v>1</v>
      </c>
      <c r="B1" s="4" t="s">
        <v>2</v>
      </c>
      <c r="C1" s="5" t="s">
        <v>3</v>
      </c>
      <c r="D1" s="6" t="s">
        <v>4</v>
      </c>
      <c r="E1" s="3" t="s">
        <v>5</v>
      </c>
      <c r="F1" s="3" t="s">
        <v>6</v>
      </c>
      <c r="G1" s="34" t="s">
        <v>7</v>
      </c>
      <c r="H1" s="34" t="s">
        <v>8</v>
      </c>
      <c r="I1" s="34" t="s">
        <v>9</v>
      </c>
      <c r="J1" s="34" t="s">
        <v>10</v>
      </c>
      <c r="K1" s="34" t="s">
        <v>11</v>
      </c>
      <c r="L1" s="3" t="s">
        <v>12</v>
      </c>
      <c r="M1" s="3" t="s">
        <v>13</v>
      </c>
      <c r="N1" s="7" t="s">
        <v>14</v>
      </c>
      <c r="O1" s="3" t="s">
        <v>15</v>
      </c>
      <c r="P1" s="8" t="s">
        <v>16</v>
      </c>
      <c r="U1" s="9"/>
      <c r="V1" s="9"/>
      <c r="W1" s="9"/>
      <c r="X1" s="9"/>
      <c r="Y1" s="9"/>
      <c r="Z1" s="9"/>
    </row>
    <row r="2">
      <c r="A2" s="10">
        <v>32.0</v>
      </c>
      <c r="B2" s="11" t="s">
        <v>38</v>
      </c>
      <c r="C2" s="12">
        <v>26.0</v>
      </c>
      <c r="D2" s="10" t="s">
        <v>18</v>
      </c>
      <c r="E2" s="10">
        <v>2025.0</v>
      </c>
      <c r="F2" s="10" t="s">
        <v>28</v>
      </c>
      <c r="G2" s="35">
        <v>11.98</v>
      </c>
      <c r="H2" s="35"/>
      <c r="I2" s="36" t="str">
        <f>IFERROR(_xlfn.FORECAST.LINEAR('BD_LeiturasHidrômetro_PRJ04'!$A2,G:G,A:A),"000000")</f>
        <v>000000</v>
      </c>
      <c r="J2" s="36" t="str">
        <f>IF('BD_LeiturasHidrômetro_PRJ04'!$G2&amp;'BD_LeiturasHidrômetro_PRJ04'!$H2="",'BD_LeiturasHidrômetro_PRJ04'!$I2,'BD_LeiturasHidrômetro_PRJ04'!$G2&amp;'BD_LeiturasHidrômetro_PRJ04'!$H2)</f>
        <v>11,98</v>
      </c>
      <c r="K2" s="36"/>
      <c r="L2" s="15" t="s">
        <v>262</v>
      </c>
      <c r="M2" s="33">
        <v>0.46597222222222223</v>
      </c>
      <c r="N2" s="17">
        <v>0.0</v>
      </c>
      <c r="O2" s="15" t="s">
        <v>263</v>
      </c>
      <c r="R2" s="18"/>
      <c r="S2" s="19"/>
    </row>
    <row r="3">
      <c r="A3" s="10">
        <v>33.0</v>
      </c>
      <c r="B3" s="11" t="s">
        <v>39</v>
      </c>
      <c r="C3" s="12">
        <v>27.0</v>
      </c>
      <c r="D3" s="10" t="s">
        <v>18</v>
      </c>
      <c r="E3" s="10">
        <v>2025.0</v>
      </c>
      <c r="F3" s="10" t="s">
        <v>30</v>
      </c>
      <c r="G3" s="35"/>
      <c r="H3" s="35"/>
      <c r="I3" s="36" t="str">
        <f>IFERROR(_xlfn.FORECAST.LINEAR('BD_LeiturasHidrômetro_PRJ04'!$A3,G:G,A:A),"000000")</f>
        <v>000000</v>
      </c>
      <c r="J3" s="36" t="str">
        <f>IF('BD_LeiturasHidrômetro_PRJ04'!$G3&amp;'BD_LeiturasHidrômetro_PRJ04'!$H3="",'BD_LeiturasHidrômetro_PRJ04'!$I3,'BD_LeiturasHidrômetro_PRJ04'!$G3&amp;'BD_LeiturasHidrômetro_PRJ04'!$H3)</f>
        <v>000000</v>
      </c>
      <c r="K3" s="36" t="str">
        <f t="shared" ref="K3:K190" si="1">J2</f>
        <v>11,98</v>
      </c>
      <c r="L3" s="15"/>
      <c r="M3" s="15"/>
      <c r="N3" s="17">
        <v>0.0</v>
      </c>
      <c r="O3" s="15" t="s">
        <v>263</v>
      </c>
      <c r="R3" s="18"/>
      <c r="S3" s="19"/>
    </row>
    <row r="4">
      <c r="A4" s="10">
        <v>34.0</v>
      </c>
      <c r="B4" s="11" t="s">
        <v>40</v>
      </c>
      <c r="C4" s="12">
        <v>28.0</v>
      </c>
      <c r="D4" s="10" t="s">
        <v>18</v>
      </c>
      <c r="E4" s="10">
        <v>2025.0</v>
      </c>
      <c r="F4" s="10" t="s">
        <v>32</v>
      </c>
      <c r="G4" s="35"/>
      <c r="H4" s="35"/>
      <c r="I4" s="36" t="str">
        <f>IFERROR(_xlfn.FORECAST.LINEAR('BD_LeiturasHidrômetro_PRJ04'!$A4,G:G,A:A),"000000")</f>
        <v>000000</v>
      </c>
      <c r="J4" s="36" t="str">
        <f>IF('BD_LeiturasHidrômetro_PRJ04'!$G4&amp;'BD_LeiturasHidrômetro_PRJ04'!$H4="",'BD_LeiturasHidrômetro_PRJ04'!$I4,'BD_LeiturasHidrômetro_PRJ04'!$G4&amp;'BD_LeiturasHidrômetro_PRJ04'!$H4)</f>
        <v>000000</v>
      </c>
      <c r="K4" s="36" t="str">
        <f t="shared" si="1"/>
        <v>000000</v>
      </c>
      <c r="L4" s="15"/>
      <c r="M4" s="15"/>
      <c r="N4" s="17" t="str">
        <f t="shared" ref="N4:N190" si="2">IF(J3-K3&lt;0,"0,00",G3-K3)</f>
        <v>0,00</v>
      </c>
      <c r="O4" s="15" t="s">
        <v>263</v>
      </c>
      <c r="R4" s="18"/>
      <c r="S4" s="19"/>
    </row>
    <row r="5">
      <c r="A5" s="10">
        <v>35.0</v>
      </c>
      <c r="B5" s="11" t="s">
        <v>41</v>
      </c>
      <c r="C5" s="12">
        <v>29.0</v>
      </c>
      <c r="D5" s="10" t="s">
        <v>18</v>
      </c>
      <c r="E5" s="10">
        <v>2025.0</v>
      </c>
      <c r="F5" s="10" t="s">
        <v>34</v>
      </c>
      <c r="G5" s="35"/>
      <c r="H5" s="35"/>
      <c r="I5" s="36" t="str">
        <f>IFERROR(_xlfn.FORECAST.LINEAR('BD_LeiturasHidrômetro_PRJ04'!$A5,G:G,A:A),"000000")</f>
        <v>000000</v>
      </c>
      <c r="J5" s="36" t="str">
        <f>IF('BD_LeiturasHidrômetro_PRJ04'!$G5&amp;'BD_LeiturasHidrômetro_PRJ04'!$H5="",'BD_LeiturasHidrômetro_PRJ04'!$I5,'BD_LeiturasHidrômetro_PRJ04'!$G5&amp;'BD_LeiturasHidrômetro_PRJ04'!$H5)</f>
        <v>000000</v>
      </c>
      <c r="K5" s="36" t="str">
        <f t="shared" si="1"/>
        <v>000000</v>
      </c>
      <c r="L5" s="15"/>
      <c r="M5" s="15"/>
      <c r="N5" s="17">
        <f t="shared" si="2"/>
        <v>0</v>
      </c>
      <c r="O5" s="15" t="s">
        <v>263</v>
      </c>
      <c r="R5" s="18"/>
      <c r="S5" s="19"/>
    </row>
    <row r="6">
      <c r="A6" s="10">
        <v>36.0</v>
      </c>
      <c r="B6" s="11" t="s">
        <v>42</v>
      </c>
      <c r="C6" s="12">
        <v>30.0</v>
      </c>
      <c r="D6" s="10" t="s">
        <v>18</v>
      </c>
      <c r="E6" s="10">
        <v>2025.0</v>
      </c>
      <c r="F6" s="10" t="s">
        <v>19</v>
      </c>
      <c r="G6" s="35"/>
      <c r="H6" s="35"/>
      <c r="I6" s="36" t="str">
        <f>IFERROR(_xlfn.FORECAST.LINEAR('BD_LeiturasHidrômetro_PRJ04'!$A6,G:G,A:A),"000000")</f>
        <v>000000</v>
      </c>
      <c r="J6" s="36" t="str">
        <f>IF('BD_LeiturasHidrômetro_PRJ04'!$G6&amp;'BD_LeiturasHidrômetro_PRJ04'!$H6="",'BD_LeiturasHidrômetro_PRJ04'!$I6,'BD_LeiturasHidrômetro_PRJ04'!$G6&amp;'BD_LeiturasHidrômetro_PRJ04'!$H6)</f>
        <v>000000</v>
      </c>
      <c r="K6" s="36" t="str">
        <f t="shared" si="1"/>
        <v>000000</v>
      </c>
      <c r="L6" s="15"/>
      <c r="M6" s="15"/>
      <c r="N6" s="17">
        <f t="shared" si="2"/>
        <v>0</v>
      </c>
      <c r="O6" s="15" t="s">
        <v>263</v>
      </c>
      <c r="R6" s="18"/>
      <c r="S6" s="19"/>
    </row>
    <row r="7">
      <c r="A7" s="10">
        <v>37.0</v>
      </c>
      <c r="B7" s="11" t="s">
        <v>43</v>
      </c>
      <c r="C7" s="12">
        <v>1.0</v>
      </c>
      <c r="D7" s="10" t="s">
        <v>44</v>
      </c>
      <c r="E7" s="10">
        <v>2025.0</v>
      </c>
      <c r="F7" s="10" t="s">
        <v>23</v>
      </c>
      <c r="G7" s="35"/>
      <c r="H7" s="35"/>
      <c r="I7" s="36" t="str">
        <f>IFERROR(_xlfn.FORECAST.LINEAR('BD_LeiturasHidrômetro_PRJ04'!$A7,G:G,A:A),"000000")</f>
        <v>000000</v>
      </c>
      <c r="J7" s="36" t="str">
        <f>IF('BD_LeiturasHidrômetro_PRJ04'!$G7&amp;'BD_LeiturasHidrômetro_PRJ04'!$H7="",'BD_LeiturasHidrômetro_PRJ04'!$I7,'BD_LeiturasHidrômetro_PRJ04'!$G7&amp;'BD_LeiturasHidrômetro_PRJ04'!$H7)</f>
        <v>000000</v>
      </c>
      <c r="K7" s="36" t="str">
        <f t="shared" si="1"/>
        <v>000000</v>
      </c>
      <c r="L7" s="15"/>
      <c r="M7" s="15"/>
      <c r="N7" s="17">
        <f t="shared" si="2"/>
        <v>0</v>
      </c>
      <c r="O7" s="15" t="s">
        <v>263</v>
      </c>
      <c r="R7" s="18"/>
      <c r="S7" s="19"/>
    </row>
    <row r="8">
      <c r="A8" s="10">
        <v>38.0</v>
      </c>
      <c r="B8" s="11" t="s">
        <v>45</v>
      </c>
      <c r="C8" s="12">
        <v>2.0</v>
      </c>
      <c r="D8" s="10" t="s">
        <v>44</v>
      </c>
      <c r="E8" s="10">
        <v>2025.0</v>
      </c>
      <c r="F8" s="10" t="s">
        <v>26</v>
      </c>
      <c r="G8" s="35"/>
      <c r="H8" s="35"/>
      <c r="I8" s="36" t="str">
        <f>IFERROR(_xlfn.FORECAST.LINEAR('BD_LeiturasHidrômetro_PRJ04'!$A8,G:G,A:A),"000000")</f>
        <v>000000</v>
      </c>
      <c r="J8" s="36" t="str">
        <f>IF('BD_LeiturasHidrômetro_PRJ04'!$G8&amp;'BD_LeiturasHidrômetro_PRJ04'!$H8="",'BD_LeiturasHidrômetro_PRJ04'!$I8,'BD_LeiturasHidrômetro_PRJ04'!$G8&amp;'BD_LeiturasHidrômetro_PRJ04'!$H8)</f>
        <v>000000</v>
      </c>
      <c r="K8" s="36" t="str">
        <f t="shared" si="1"/>
        <v>000000</v>
      </c>
      <c r="L8" s="15"/>
      <c r="M8" s="15"/>
      <c r="N8" s="17">
        <f t="shared" si="2"/>
        <v>0</v>
      </c>
      <c r="O8" s="15" t="s">
        <v>263</v>
      </c>
      <c r="R8" s="18"/>
      <c r="S8" s="19"/>
    </row>
    <row r="9">
      <c r="A9" s="10">
        <v>39.0</v>
      </c>
      <c r="B9" s="11" t="s">
        <v>46</v>
      </c>
      <c r="C9" s="12">
        <v>3.0</v>
      </c>
      <c r="D9" s="10" t="s">
        <v>44</v>
      </c>
      <c r="E9" s="10">
        <v>2025.0</v>
      </c>
      <c r="F9" s="10" t="s">
        <v>28</v>
      </c>
      <c r="G9" s="35"/>
      <c r="H9" s="35"/>
      <c r="I9" s="36" t="str">
        <f>IFERROR(_xlfn.FORECAST.LINEAR('BD_LeiturasHidrômetro_PRJ04'!$A9,G:G,A:A),"000000")</f>
        <v>000000</v>
      </c>
      <c r="J9" s="36" t="str">
        <f>IF('BD_LeiturasHidrômetro_PRJ04'!$G9&amp;'BD_LeiturasHidrômetro_PRJ04'!$H9="",'BD_LeiturasHidrômetro_PRJ04'!$I9,'BD_LeiturasHidrômetro_PRJ04'!$G9&amp;'BD_LeiturasHidrômetro_PRJ04'!$H9)</f>
        <v>000000</v>
      </c>
      <c r="K9" s="36" t="str">
        <f t="shared" si="1"/>
        <v>000000</v>
      </c>
      <c r="L9" s="15"/>
      <c r="M9" s="15"/>
      <c r="N9" s="17">
        <f t="shared" si="2"/>
        <v>0</v>
      </c>
      <c r="O9" s="15" t="s">
        <v>263</v>
      </c>
      <c r="R9" s="18"/>
      <c r="S9" s="19"/>
    </row>
    <row r="10">
      <c r="A10" s="10">
        <v>40.0</v>
      </c>
      <c r="B10" s="11" t="s">
        <v>47</v>
      </c>
      <c r="C10" s="12">
        <v>4.0</v>
      </c>
      <c r="D10" s="10" t="s">
        <v>44</v>
      </c>
      <c r="E10" s="10">
        <v>2025.0</v>
      </c>
      <c r="F10" s="10" t="s">
        <v>30</v>
      </c>
      <c r="G10" s="35"/>
      <c r="H10" s="35"/>
      <c r="I10" s="36" t="str">
        <f>IFERROR(_xlfn.FORECAST.LINEAR('BD_LeiturasHidrômetro_PRJ04'!$A10,G:G,A:A),"000000")</f>
        <v>000000</v>
      </c>
      <c r="J10" s="36" t="str">
        <f>IF('BD_LeiturasHidrômetro_PRJ04'!$G10&amp;'BD_LeiturasHidrômetro_PRJ04'!$H10="",'BD_LeiturasHidrômetro_PRJ04'!$I10,'BD_LeiturasHidrômetro_PRJ04'!$G10&amp;'BD_LeiturasHidrômetro_PRJ04'!$H10)</f>
        <v>000000</v>
      </c>
      <c r="K10" s="36" t="str">
        <f t="shared" si="1"/>
        <v>000000</v>
      </c>
      <c r="L10" s="15"/>
      <c r="M10" s="15"/>
      <c r="N10" s="17">
        <f t="shared" si="2"/>
        <v>0</v>
      </c>
      <c r="O10" s="15" t="s">
        <v>263</v>
      </c>
      <c r="R10" s="18"/>
      <c r="S10" s="19"/>
    </row>
    <row r="11">
      <c r="A11" s="10">
        <v>41.0</v>
      </c>
      <c r="B11" s="11" t="s">
        <v>48</v>
      </c>
      <c r="C11" s="12">
        <v>5.0</v>
      </c>
      <c r="D11" s="10" t="s">
        <v>44</v>
      </c>
      <c r="E11" s="10">
        <v>2025.0</v>
      </c>
      <c r="F11" s="10" t="s">
        <v>32</v>
      </c>
      <c r="G11" s="35"/>
      <c r="H11" s="35"/>
      <c r="I11" s="36" t="str">
        <f>IFERROR(_xlfn.FORECAST.LINEAR('BD_LeiturasHidrômetro_PRJ04'!$A11,G:G,A:A),"000000")</f>
        <v>000000</v>
      </c>
      <c r="J11" s="36" t="str">
        <f>IF('BD_LeiturasHidrômetro_PRJ04'!$G11&amp;'BD_LeiturasHidrômetro_PRJ04'!$H11="",'BD_LeiturasHidrômetro_PRJ04'!$I11,'BD_LeiturasHidrômetro_PRJ04'!$G11&amp;'BD_LeiturasHidrômetro_PRJ04'!$H11)</f>
        <v>000000</v>
      </c>
      <c r="K11" s="36" t="str">
        <f t="shared" si="1"/>
        <v>000000</v>
      </c>
      <c r="L11" s="15"/>
      <c r="M11" s="15"/>
      <c r="N11" s="17">
        <f t="shared" si="2"/>
        <v>0</v>
      </c>
      <c r="O11" s="15" t="s">
        <v>263</v>
      </c>
      <c r="R11" s="18"/>
      <c r="S11" s="19"/>
    </row>
    <row r="12">
      <c r="A12" s="10">
        <v>42.0</v>
      </c>
      <c r="B12" s="11" t="s">
        <v>49</v>
      </c>
      <c r="C12" s="12">
        <v>6.0</v>
      </c>
      <c r="D12" s="10" t="s">
        <v>44</v>
      </c>
      <c r="E12" s="10">
        <v>2025.0</v>
      </c>
      <c r="F12" s="10" t="s">
        <v>34</v>
      </c>
      <c r="G12" s="35"/>
      <c r="H12" s="35"/>
      <c r="I12" s="36" t="str">
        <f>IFERROR(_xlfn.FORECAST.LINEAR('BD_LeiturasHidrômetro_PRJ04'!$A12,G:G,A:A),"000000")</f>
        <v>000000</v>
      </c>
      <c r="J12" s="36" t="str">
        <f>IF('BD_LeiturasHidrômetro_PRJ04'!$G12&amp;'BD_LeiturasHidrômetro_PRJ04'!$H12="",'BD_LeiturasHidrômetro_PRJ04'!$I12,'BD_LeiturasHidrômetro_PRJ04'!$G12&amp;'BD_LeiturasHidrômetro_PRJ04'!$H12)</f>
        <v>000000</v>
      </c>
      <c r="K12" s="36" t="str">
        <f t="shared" si="1"/>
        <v>000000</v>
      </c>
      <c r="L12" s="15"/>
      <c r="M12" s="15"/>
      <c r="N12" s="17">
        <f t="shared" si="2"/>
        <v>0</v>
      </c>
      <c r="O12" s="15" t="s">
        <v>263</v>
      </c>
      <c r="R12" s="18"/>
      <c r="S12" s="19"/>
    </row>
    <row r="13">
      <c r="A13" s="10">
        <v>43.0</v>
      </c>
      <c r="B13" s="11" t="s">
        <v>50</v>
      </c>
      <c r="C13" s="12">
        <v>7.0</v>
      </c>
      <c r="D13" s="10" t="s">
        <v>44</v>
      </c>
      <c r="E13" s="10">
        <v>2025.0</v>
      </c>
      <c r="F13" s="10" t="s">
        <v>19</v>
      </c>
      <c r="G13" s="35"/>
      <c r="H13" s="35"/>
      <c r="I13" s="36" t="str">
        <f>IFERROR(_xlfn.FORECAST.LINEAR('BD_LeiturasHidrômetro_PRJ04'!$A13,G:G,A:A),"000000")</f>
        <v>000000</v>
      </c>
      <c r="J13" s="36" t="str">
        <f>IF('BD_LeiturasHidrômetro_PRJ04'!$G13&amp;'BD_LeiturasHidrômetro_PRJ04'!$H13="",'BD_LeiturasHidrômetro_PRJ04'!$I13,'BD_LeiturasHidrômetro_PRJ04'!$G13&amp;'BD_LeiturasHidrômetro_PRJ04'!$H13)</f>
        <v>000000</v>
      </c>
      <c r="K13" s="36" t="str">
        <f t="shared" si="1"/>
        <v>000000</v>
      </c>
      <c r="L13" s="15"/>
      <c r="M13" s="15"/>
      <c r="N13" s="17">
        <f t="shared" si="2"/>
        <v>0</v>
      </c>
      <c r="O13" s="15" t="s">
        <v>263</v>
      </c>
      <c r="R13" s="18"/>
      <c r="S13" s="19"/>
    </row>
    <row r="14">
      <c r="A14" s="10">
        <v>44.0</v>
      </c>
      <c r="B14" s="11" t="s">
        <v>51</v>
      </c>
      <c r="C14" s="12">
        <v>8.0</v>
      </c>
      <c r="D14" s="10" t="s">
        <v>44</v>
      </c>
      <c r="E14" s="10">
        <v>2025.0</v>
      </c>
      <c r="F14" s="10" t="s">
        <v>23</v>
      </c>
      <c r="G14" s="35"/>
      <c r="H14" s="35"/>
      <c r="I14" s="36" t="str">
        <f>IFERROR(_xlfn.FORECAST.LINEAR('BD_LeiturasHidrômetro_PRJ04'!$A14,G:G,A:A),"000000")</f>
        <v>000000</v>
      </c>
      <c r="J14" s="36" t="str">
        <f>IF('BD_LeiturasHidrômetro_PRJ04'!$G14&amp;'BD_LeiturasHidrômetro_PRJ04'!$H14="",'BD_LeiturasHidrômetro_PRJ04'!$I14,'BD_LeiturasHidrômetro_PRJ04'!$G14&amp;'BD_LeiturasHidrômetro_PRJ04'!$H14)</f>
        <v>000000</v>
      </c>
      <c r="K14" s="36" t="str">
        <f t="shared" si="1"/>
        <v>000000</v>
      </c>
      <c r="L14" s="15"/>
      <c r="M14" s="15"/>
      <c r="N14" s="17">
        <f t="shared" si="2"/>
        <v>0</v>
      </c>
      <c r="O14" s="15" t="s">
        <v>263</v>
      </c>
      <c r="R14" s="18"/>
      <c r="S14" s="19"/>
    </row>
    <row r="15">
      <c r="A15" s="10">
        <v>45.0</v>
      </c>
      <c r="B15" s="11" t="s">
        <v>52</v>
      </c>
      <c r="C15" s="12">
        <v>9.0</v>
      </c>
      <c r="D15" s="10" t="s">
        <v>44</v>
      </c>
      <c r="E15" s="10">
        <v>2025.0</v>
      </c>
      <c r="F15" s="10" t="s">
        <v>26</v>
      </c>
      <c r="G15" s="35"/>
      <c r="H15" s="35"/>
      <c r="I15" s="36" t="str">
        <f>IFERROR(_xlfn.FORECAST.LINEAR('BD_LeiturasHidrômetro_PRJ04'!$A15,G:G,A:A),"000000")</f>
        <v>000000</v>
      </c>
      <c r="J15" s="36" t="str">
        <f>IF('BD_LeiturasHidrômetro_PRJ04'!$G15&amp;'BD_LeiturasHidrômetro_PRJ04'!$H15="",'BD_LeiturasHidrômetro_PRJ04'!$I15,'BD_LeiturasHidrômetro_PRJ04'!$G15&amp;'BD_LeiturasHidrômetro_PRJ04'!$H15)</f>
        <v>000000</v>
      </c>
      <c r="K15" s="36" t="str">
        <f t="shared" si="1"/>
        <v>000000</v>
      </c>
      <c r="L15" s="15"/>
      <c r="M15" s="15"/>
      <c r="N15" s="17">
        <f t="shared" si="2"/>
        <v>0</v>
      </c>
      <c r="O15" s="15" t="s">
        <v>263</v>
      </c>
      <c r="R15" s="18"/>
      <c r="S15" s="19"/>
    </row>
    <row r="16">
      <c r="A16" s="10">
        <v>46.0</v>
      </c>
      <c r="B16" s="11" t="s">
        <v>53</v>
      </c>
      <c r="C16" s="12">
        <v>10.0</v>
      </c>
      <c r="D16" s="10" t="s">
        <v>44</v>
      </c>
      <c r="E16" s="10">
        <v>2025.0</v>
      </c>
      <c r="F16" s="10" t="s">
        <v>28</v>
      </c>
      <c r="G16" s="35"/>
      <c r="H16" s="35"/>
      <c r="I16" s="36" t="str">
        <f>IFERROR(_xlfn.FORECAST.LINEAR('BD_LeiturasHidrômetro_PRJ04'!$A16,G:G,A:A),"000000")</f>
        <v>000000</v>
      </c>
      <c r="J16" s="36" t="str">
        <f>IF('BD_LeiturasHidrômetro_PRJ04'!$G16&amp;'BD_LeiturasHidrômetro_PRJ04'!$H16="",'BD_LeiturasHidrômetro_PRJ04'!$I16,'BD_LeiturasHidrômetro_PRJ04'!$G16&amp;'BD_LeiturasHidrômetro_PRJ04'!$H16)</f>
        <v>000000</v>
      </c>
      <c r="K16" s="36" t="str">
        <f t="shared" si="1"/>
        <v>000000</v>
      </c>
      <c r="L16" s="15"/>
      <c r="M16" s="15"/>
      <c r="N16" s="17">
        <f t="shared" si="2"/>
        <v>0</v>
      </c>
      <c r="O16" s="15" t="s">
        <v>263</v>
      </c>
      <c r="R16" s="18"/>
      <c r="S16" s="19"/>
    </row>
    <row r="17">
      <c r="A17" s="10">
        <v>47.0</v>
      </c>
      <c r="B17" s="11" t="s">
        <v>54</v>
      </c>
      <c r="C17" s="12">
        <v>11.0</v>
      </c>
      <c r="D17" s="10" t="s">
        <v>44</v>
      </c>
      <c r="E17" s="10">
        <v>2025.0</v>
      </c>
      <c r="F17" s="10" t="s">
        <v>30</v>
      </c>
      <c r="G17" s="35"/>
      <c r="H17" s="35"/>
      <c r="I17" s="36" t="str">
        <f>IFERROR(_xlfn.FORECAST.LINEAR('BD_LeiturasHidrômetro_PRJ04'!$A17,G:G,A:A),"000000")</f>
        <v>000000</v>
      </c>
      <c r="J17" s="36" t="str">
        <f>IF('BD_LeiturasHidrômetro_PRJ04'!$G17&amp;'BD_LeiturasHidrômetro_PRJ04'!$H17="",'BD_LeiturasHidrômetro_PRJ04'!$I17,'BD_LeiturasHidrômetro_PRJ04'!$G17&amp;'BD_LeiturasHidrômetro_PRJ04'!$H17)</f>
        <v>000000</v>
      </c>
      <c r="K17" s="36" t="str">
        <f t="shared" si="1"/>
        <v>000000</v>
      </c>
      <c r="L17" s="15"/>
      <c r="M17" s="15"/>
      <c r="N17" s="17">
        <f t="shared" si="2"/>
        <v>0</v>
      </c>
      <c r="O17" s="15" t="s">
        <v>263</v>
      </c>
      <c r="R17" s="18"/>
      <c r="S17" s="19"/>
    </row>
    <row r="18">
      <c r="A18" s="10">
        <v>48.0</v>
      </c>
      <c r="B18" s="11" t="s">
        <v>55</v>
      </c>
      <c r="C18" s="12">
        <v>12.0</v>
      </c>
      <c r="D18" s="10" t="s">
        <v>44</v>
      </c>
      <c r="E18" s="10">
        <v>2025.0</v>
      </c>
      <c r="F18" s="10" t="s">
        <v>32</v>
      </c>
      <c r="G18" s="35"/>
      <c r="H18" s="35"/>
      <c r="I18" s="36" t="str">
        <f>IFERROR(_xlfn.FORECAST.LINEAR('BD_LeiturasHidrômetro_PRJ04'!$A18,G:G,A:A),"000000")</f>
        <v>000000</v>
      </c>
      <c r="J18" s="36" t="str">
        <f>IF('BD_LeiturasHidrômetro_PRJ04'!$G18&amp;'BD_LeiturasHidrômetro_PRJ04'!$H18="",'BD_LeiturasHidrômetro_PRJ04'!$I18,'BD_LeiturasHidrômetro_PRJ04'!$G18&amp;'BD_LeiturasHidrômetro_PRJ04'!$H18)</f>
        <v>000000</v>
      </c>
      <c r="K18" s="36" t="str">
        <f t="shared" si="1"/>
        <v>000000</v>
      </c>
      <c r="L18" s="15"/>
      <c r="M18" s="15"/>
      <c r="N18" s="17">
        <f t="shared" si="2"/>
        <v>0</v>
      </c>
      <c r="O18" s="15" t="s">
        <v>263</v>
      </c>
      <c r="R18" s="18"/>
      <c r="S18" s="19"/>
    </row>
    <row r="19">
      <c r="A19" s="10">
        <v>49.0</v>
      </c>
      <c r="B19" s="11" t="s">
        <v>56</v>
      </c>
      <c r="C19" s="12">
        <v>13.0</v>
      </c>
      <c r="D19" s="10" t="s">
        <v>44</v>
      </c>
      <c r="E19" s="10">
        <v>2025.0</v>
      </c>
      <c r="F19" s="10" t="s">
        <v>34</v>
      </c>
      <c r="G19" s="35"/>
      <c r="H19" s="35"/>
      <c r="I19" s="36" t="str">
        <f>IFERROR(_xlfn.FORECAST.LINEAR('BD_LeiturasHidrômetro_PRJ04'!$A19,G:G,A:A),"000000")</f>
        <v>000000</v>
      </c>
      <c r="J19" s="36" t="str">
        <f>IF('BD_LeiturasHidrômetro_PRJ04'!$G19&amp;'BD_LeiturasHidrômetro_PRJ04'!$H19="",'BD_LeiturasHidrômetro_PRJ04'!$I19,'BD_LeiturasHidrômetro_PRJ04'!$G19&amp;'BD_LeiturasHidrômetro_PRJ04'!$H19)</f>
        <v>000000</v>
      </c>
      <c r="K19" s="36" t="str">
        <f t="shared" si="1"/>
        <v>000000</v>
      </c>
      <c r="L19" s="15"/>
      <c r="M19" s="15"/>
      <c r="N19" s="17">
        <f t="shared" si="2"/>
        <v>0</v>
      </c>
      <c r="O19" s="15" t="s">
        <v>263</v>
      </c>
      <c r="R19" s="18"/>
      <c r="S19" s="19"/>
    </row>
    <row r="20">
      <c r="A20" s="10">
        <v>50.0</v>
      </c>
      <c r="B20" s="11" t="s">
        <v>57</v>
      </c>
      <c r="C20" s="12">
        <v>14.0</v>
      </c>
      <c r="D20" s="10" t="s">
        <v>44</v>
      </c>
      <c r="E20" s="10">
        <v>2025.0</v>
      </c>
      <c r="F20" s="10" t="s">
        <v>19</v>
      </c>
      <c r="G20" s="35"/>
      <c r="H20" s="35"/>
      <c r="I20" s="36" t="str">
        <f>IFERROR(_xlfn.FORECAST.LINEAR('BD_LeiturasHidrômetro_PRJ04'!$A20,G:G,A:A),"000000")</f>
        <v>000000</v>
      </c>
      <c r="J20" s="36" t="str">
        <f>IF('BD_LeiturasHidrômetro_PRJ04'!$G20&amp;'BD_LeiturasHidrômetro_PRJ04'!$H20="",'BD_LeiturasHidrômetro_PRJ04'!$I20,'BD_LeiturasHidrômetro_PRJ04'!$G20&amp;'BD_LeiturasHidrômetro_PRJ04'!$H20)</f>
        <v>000000</v>
      </c>
      <c r="K20" s="36" t="str">
        <f t="shared" si="1"/>
        <v>000000</v>
      </c>
      <c r="L20" s="15"/>
      <c r="M20" s="15"/>
      <c r="N20" s="17">
        <f t="shared" si="2"/>
        <v>0</v>
      </c>
      <c r="O20" s="15" t="s">
        <v>263</v>
      </c>
      <c r="R20" s="18"/>
      <c r="S20" s="19"/>
    </row>
    <row r="21" ht="15.75" customHeight="1">
      <c r="A21" s="10">
        <v>51.0</v>
      </c>
      <c r="B21" s="11" t="s">
        <v>58</v>
      </c>
      <c r="C21" s="12">
        <v>15.0</v>
      </c>
      <c r="D21" s="10" t="s">
        <v>44</v>
      </c>
      <c r="E21" s="10">
        <v>2025.0</v>
      </c>
      <c r="F21" s="10" t="s">
        <v>23</v>
      </c>
      <c r="G21" s="35"/>
      <c r="H21" s="35"/>
      <c r="I21" s="36" t="str">
        <f>IFERROR(_xlfn.FORECAST.LINEAR('BD_LeiturasHidrômetro_PRJ04'!$A21,G:G,A:A),"000000")</f>
        <v>000000</v>
      </c>
      <c r="J21" s="36" t="str">
        <f>IF('BD_LeiturasHidrômetro_PRJ04'!$G21&amp;'BD_LeiturasHidrômetro_PRJ04'!$H21="",'BD_LeiturasHidrômetro_PRJ04'!$I21,'BD_LeiturasHidrômetro_PRJ04'!$G21&amp;'BD_LeiturasHidrômetro_PRJ04'!$H21)</f>
        <v>000000</v>
      </c>
      <c r="K21" s="36" t="str">
        <f t="shared" si="1"/>
        <v>000000</v>
      </c>
      <c r="L21" s="15"/>
      <c r="M21" s="15"/>
      <c r="N21" s="17">
        <f t="shared" si="2"/>
        <v>0</v>
      </c>
      <c r="O21" s="15" t="s">
        <v>263</v>
      </c>
      <c r="R21" s="18"/>
      <c r="S21" s="19"/>
    </row>
    <row r="22" ht="15.75" customHeight="1">
      <c r="A22" s="10">
        <v>52.0</v>
      </c>
      <c r="B22" s="11" t="s">
        <v>59</v>
      </c>
      <c r="C22" s="12">
        <v>16.0</v>
      </c>
      <c r="D22" s="10" t="s">
        <v>44</v>
      </c>
      <c r="E22" s="10">
        <v>2025.0</v>
      </c>
      <c r="F22" s="10" t="s">
        <v>26</v>
      </c>
      <c r="G22" s="35"/>
      <c r="H22" s="35"/>
      <c r="I22" s="36" t="str">
        <f>IFERROR(_xlfn.FORECAST.LINEAR('BD_LeiturasHidrômetro_PRJ04'!$A22,G:G,A:A),"000000")</f>
        <v>000000</v>
      </c>
      <c r="J22" s="36" t="str">
        <f>IF('BD_LeiturasHidrômetro_PRJ04'!$G22&amp;'BD_LeiturasHidrômetro_PRJ04'!$H22="",'BD_LeiturasHidrômetro_PRJ04'!$I22,'BD_LeiturasHidrômetro_PRJ04'!$G22&amp;'BD_LeiturasHidrômetro_PRJ04'!$H22)</f>
        <v>000000</v>
      </c>
      <c r="K22" s="36" t="str">
        <f t="shared" si="1"/>
        <v>000000</v>
      </c>
      <c r="L22" s="15"/>
      <c r="M22" s="15"/>
      <c r="N22" s="17">
        <f t="shared" si="2"/>
        <v>0</v>
      </c>
      <c r="O22" s="15" t="s">
        <v>263</v>
      </c>
      <c r="R22" s="18"/>
      <c r="S22" s="19"/>
    </row>
    <row r="23" ht="15.75" customHeight="1">
      <c r="A23" s="10">
        <v>53.0</v>
      </c>
      <c r="B23" s="11" t="s">
        <v>60</v>
      </c>
      <c r="C23" s="12">
        <v>17.0</v>
      </c>
      <c r="D23" s="10" t="s">
        <v>44</v>
      </c>
      <c r="E23" s="10">
        <v>2025.0</v>
      </c>
      <c r="F23" s="10" t="s">
        <v>28</v>
      </c>
      <c r="G23" s="35"/>
      <c r="H23" s="35"/>
      <c r="I23" s="36" t="str">
        <f>IFERROR(_xlfn.FORECAST.LINEAR('BD_LeiturasHidrômetro_PRJ04'!$A23,G:G,A:A),"000000")</f>
        <v>000000</v>
      </c>
      <c r="J23" s="36" t="str">
        <f>IF('BD_LeiturasHidrômetro_PRJ04'!$G23&amp;'BD_LeiturasHidrômetro_PRJ04'!$H23="",'BD_LeiturasHidrômetro_PRJ04'!$I23,'BD_LeiturasHidrômetro_PRJ04'!$G23&amp;'BD_LeiturasHidrômetro_PRJ04'!$H23)</f>
        <v>000000</v>
      </c>
      <c r="K23" s="36" t="str">
        <f t="shared" si="1"/>
        <v>000000</v>
      </c>
      <c r="L23" s="15"/>
      <c r="M23" s="15"/>
      <c r="N23" s="17">
        <f t="shared" si="2"/>
        <v>0</v>
      </c>
      <c r="O23" s="15" t="s">
        <v>263</v>
      </c>
      <c r="R23" s="18"/>
      <c r="S23" s="19"/>
    </row>
    <row r="24" ht="15.75" customHeight="1">
      <c r="A24" s="10">
        <v>54.0</v>
      </c>
      <c r="B24" s="11" t="s">
        <v>61</v>
      </c>
      <c r="C24" s="12">
        <v>18.0</v>
      </c>
      <c r="D24" s="10" t="s">
        <v>44</v>
      </c>
      <c r="E24" s="10">
        <v>2025.0</v>
      </c>
      <c r="F24" s="10" t="s">
        <v>30</v>
      </c>
      <c r="G24" s="35"/>
      <c r="H24" s="35"/>
      <c r="I24" s="36" t="str">
        <f>IFERROR(_xlfn.FORECAST.LINEAR('BD_LeiturasHidrômetro_PRJ04'!$A24,G:G,A:A),"000000")</f>
        <v>000000</v>
      </c>
      <c r="J24" s="36" t="str">
        <f>IF('BD_LeiturasHidrômetro_PRJ04'!$G24&amp;'BD_LeiturasHidrômetro_PRJ04'!$H24="",'BD_LeiturasHidrômetro_PRJ04'!$I24,'BD_LeiturasHidrômetro_PRJ04'!$G24&amp;'BD_LeiturasHidrômetro_PRJ04'!$H24)</f>
        <v>000000</v>
      </c>
      <c r="K24" s="36" t="str">
        <f t="shared" si="1"/>
        <v>000000</v>
      </c>
      <c r="L24" s="15"/>
      <c r="M24" s="15"/>
      <c r="N24" s="17">
        <f t="shared" si="2"/>
        <v>0</v>
      </c>
      <c r="O24" s="15" t="s">
        <v>263</v>
      </c>
      <c r="R24" s="18"/>
      <c r="S24" s="19"/>
    </row>
    <row r="25" ht="15.75" customHeight="1">
      <c r="A25" s="10">
        <v>55.0</v>
      </c>
      <c r="B25" s="11" t="s">
        <v>62</v>
      </c>
      <c r="C25" s="12">
        <v>19.0</v>
      </c>
      <c r="D25" s="10" t="s">
        <v>44</v>
      </c>
      <c r="E25" s="10">
        <v>2025.0</v>
      </c>
      <c r="F25" s="10" t="s">
        <v>32</v>
      </c>
      <c r="G25" s="35"/>
      <c r="H25" s="35"/>
      <c r="I25" s="36" t="str">
        <f>IFERROR(_xlfn.FORECAST.LINEAR('BD_LeiturasHidrômetro_PRJ04'!$A25,G:G,A:A),"000000")</f>
        <v>000000</v>
      </c>
      <c r="J25" s="36" t="str">
        <f>IF('BD_LeiturasHidrômetro_PRJ04'!$G25&amp;'BD_LeiturasHidrômetro_PRJ04'!$H25="",'BD_LeiturasHidrômetro_PRJ04'!$I25,'BD_LeiturasHidrômetro_PRJ04'!$G25&amp;'BD_LeiturasHidrômetro_PRJ04'!$H25)</f>
        <v>000000</v>
      </c>
      <c r="K25" s="36" t="str">
        <f t="shared" si="1"/>
        <v>000000</v>
      </c>
      <c r="L25" s="15"/>
      <c r="M25" s="15"/>
      <c r="N25" s="17">
        <f t="shared" si="2"/>
        <v>0</v>
      </c>
      <c r="O25" s="15" t="s">
        <v>263</v>
      </c>
      <c r="R25" s="18"/>
      <c r="S25" s="19"/>
    </row>
    <row r="26" ht="15.75" customHeight="1">
      <c r="A26" s="10">
        <v>56.0</v>
      </c>
      <c r="B26" s="11" t="s">
        <v>63</v>
      </c>
      <c r="C26" s="12">
        <v>20.0</v>
      </c>
      <c r="D26" s="10" t="s">
        <v>44</v>
      </c>
      <c r="E26" s="10">
        <v>2025.0</v>
      </c>
      <c r="F26" s="10" t="s">
        <v>34</v>
      </c>
      <c r="G26" s="35"/>
      <c r="H26" s="35"/>
      <c r="I26" s="36" t="str">
        <f>IFERROR(_xlfn.FORECAST.LINEAR('BD_LeiturasHidrômetro_PRJ04'!$A26,G:G,A:A),"000000")</f>
        <v>000000</v>
      </c>
      <c r="J26" s="36" t="str">
        <f>IF('BD_LeiturasHidrômetro_PRJ04'!$G26&amp;'BD_LeiturasHidrômetro_PRJ04'!$H26="",'BD_LeiturasHidrômetro_PRJ04'!$I26,'BD_LeiturasHidrômetro_PRJ04'!$G26&amp;'BD_LeiturasHidrômetro_PRJ04'!$H26)</f>
        <v>000000</v>
      </c>
      <c r="K26" s="36" t="str">
        <f t="shared" si="1"/>
        <v>000000</v>
      </c>
      <c r="L26" s="15"/>
      <c r="M26" s="15"/>
      <c r="N26" s="17">
        <f t="shared" si="2"/>
        <v>0</v>
      </c>
      <c r="O26" s="15" t="s">
        <v>263</v>
      </c>
      <c r="R26" s="18"/>
      <c r="S26" s="19"/>
    </row>
    <row r="27" ht="15.75" customHeight="1">
      <c r="A27" s="10">
        <v>57.0</v>
      </c>
      <c r="B27" s="11" t="s">
        <v>64</v>
      </c>
      <c r="C27" s="12">
        <v>21.0</v>
      </c>
      <c r="D27" s="10" t="s">
        <v>44</v>
      </c>
      <c r="E27" s="10">
        <v>2025.0</v>
      </c>
      <c r="F27" s="10" t="s">
        <v>19</v>
      </c>
      <c r="G27" s="35"/>
      <c r="H27" s="35"/>
      <c r="I27" s="36" t="str">
        <f>IFERROR(_xlfn.FORECAST.LINEAR('BD_LeiturasHidrômetro_PRJ04'!$A27,G:G,A:A),"000000")</f>
        <v>000000</v>
      </c>
      <c r="J27" s="36" t="str">
        <f>IF('BD_LeiturasHidrômetro_PRJ04'!$G27&amp;'BD_LeiturasHidrômetro_PRJ04'!$H27="",'BD_LeiturasHidrômetro_PRJ04'!$I27,'BD_LeiturasHidrômetro_PRJ04'!$G27&amp;'BD_LeiturasHidrômetro_PRJ04'!$H27)</f>
        <v>000000</v>
      </c>
      <c r="K27" s="36" t="str">
        <f t="shared" si="1"/>
        <v>000000</v>
      </c>
      <c r="L27" s="15"/>
      <c r="M27" s="15"/>
      <c r="N27" s="17">
        <f t="shared" si="2"/>
        <v>0</v>
      </c>
      <c r="O27" s="15" t="s">
        <v>263</v>
      </c>
      <c r="R27" s="18"/>
      <c r="S27" s="19"/>
    </row>
    <row r="28" ht="15.75" customHeight="1">
      <c r="A28" s="10">
        <v>58.0</v>
      </c>
      <c r="B28" s="11" t="s">
        <v>65</v>
      </c>
      <c r="C28" s="12">
        <v>22.0</v>
      </c>
      <c r="D28" s="10" t="s">
        <v>44</v>
      </c>
      <c r="E28" s="10">
        <v>2025.0</v>
      </c>
      <c r="F28" s="10" t="s">
        <v>23</v>
      </c>
      <c r="G28" s="35"/>
      <c r="H28" s="35"/>
      <c r="I28" s="36" t="str">
        <f>IFERROR(_xlfn.FORECAST.LINEAR('BD_LeiturasHidrômetro_PRJ04'!$A28,G:G,A:A),"000000")</f>
        <v>000000</v>
      </c>
      <c r="J28" s="36" t="str">
        <f>IF('BD_LeiturasHidrômetro_PRJ04'!$G28&amp;'BD_LeiturasHidrômetro_PRJ04'!$H28="",'BD_LeiturasHidrômetro_PRJ04'!$I28,'BD_LeiturasHidrômetro_PRJ04'!$G28&amp;'BD_LeiturasHidrômetro_PRJ04'!$H28)</f>
        <v>000000</v>
      </c>
      <c r="K28" s="36" t="str">
        <f t="shared" si="1"/>
        <v>000000</v>
      </c>
      <c r="L28" s="15"/>
      <c r="M28" s="15"/>
      <c r="N28" s="17">
        <f t="shared" si="2"/>
        <v>0</v>
      </c>
      <c r="O28" s="15" t="s">
        <v>263</v>
      </c>
      <c r="R28" s="18"/>
      <c r="S28" s="19"/>
    </row>
    <row r="29" ht="15.75" customHeight="1">
      <c r="A29" s="10">
        <v>59.0</v>
      </c>
      <c r="B29" s="11" t="s">
        <v>66</v>
      </c>
      <c r="C29" s="12">
        <v>23.0</v>
      </c>
      <c r="D29" s="10" t="s">
        <v>44</v>
      </c>
      <c r="E29" s="10">
        <v>2025.0</v>
      </c>
      <c r="F29" s="10" t="s">
        <v>26</v>
      </c>
      <c r="G29" s="35"/>
      <c r="H29" s="35"/>
      <c r="I29" s="36" t="str">
        <f>IFERROR(_xlfn.FORECAST.LINEAR('BD_LeiturasHidrômetro_PRJ04'!$A29,G:G,A:A),"000000")</f>
        <v>000000</v>
      </c>
      <c r="J29" s="36" t="str">
        <f>IF('BD_LeiturasHidrômetro_PRJ04'!$G29&amp;'BD_LeiturasHidrômetro_PRJ04'!$H29="",'BD_LeiturasHidrômetro_PRJ04'!$I29,'BD_LeiturasHidrômetro_PRJ04'!$G29&amp;'BD_LeiturasHidrômetro_PRJ04'!$H29)</f>
        <v>000000</v>
      </c>
      <c r="K29" s="36" t="str">
        <f t="shared" si="1"/>
        <v>000000</v>
      </c>
      <c r="L29" s="15"/>
      <c r="M29" s="15"/>
      <c r="N29" s="17">
        <f t="shared" si="2"/>
        <v>0</v>
      </c>
      <c r="O29" s="15" t="s">
        <v>263</v>
      </c>
      <c r="R29" s="18"/>
      <c r="S29" s="19"/>
    </row>
    <row r="30" ht="15.75" customHeight="1">
      <c r="A30" s="10">
        <v>60.0</v>
      </c>
      <c r="B30" s="11" t="s">
        <v>67</v>
      </c>
      <c r="C30" s="12">
        <v>24.0</v>
      </c>
      <c r="D30" s="10" t="s">
        <v>44</v>
      </c>
      <c r="E30" s="10">
        <v>2025.0</v>
      </c>
      <c r="F30" s="10" t="s">
        <v>28</v>
      </c>
      <c r="G30" s="35"/>
      <c r="H30" s="35"/>
      <c r="I30" s="36" t="str">
        <f>IFERROR(_xlfn.FORECAST.LINEAR('BD_LeiturasHidrômetro_PRJ04'!$A30,G:G,A:A),"000000")</f>
        <v>000000</v>
      </c>
      <c r="J30" s="36" t="str">
        <f>IF('BD_LeiturasHidrômetro_PRJ04'!$G30&amp;'BD_LeiturasHidrômetro_PRJ04'!$H30="",'BD_LeiturasHidrômetro_PRJ04'!$I30,'BD_LeiturasHidrômetro_PRJ04'!$G30&amp;'BD_LeiturasHidrômetro_PRJ04'!$H30)</f>
        <v>000000</v>
      </c>
      <c r="K30" s="36" t="str">
        <f t="shared" si="1"/>
        <v>000000</v>
      </c>
      <c r="L30" s="15"/>
      <c r="M30" s="15"/>
      <c r="N30" s="17">
        <f t="shared" si="2"/>
        <v>0</v>
      </c>
      <c r="O30" s="15" t="s">
        <v>263</v>
      </c>
      <c r="R30" s="18"/>
      <c r="S30" s="19"/>
    </row>
    <row r="31" ht="15.75" customHeight="1">
      <c r="A31" s="10">
        <v>61.0</v>
      </c>
      <c r="B31" s="11" t="s">
        <v>68</v>
      </c>
      <c r="C31" s="12">
        <v>25.0</v>
      </c>
      <c r="D31" s="10" t="s">
        <v>44</v>
      </c>
      <c r="E31" s="10">
        <v>2025.0</v>
      </c>
      <c r="F31" s="10" t="s">
        <v>30</v>
      </c>
      <c r="G31" s="35"/>
      <c r="H31" s="35"/>
      <c r="I31" s="36" t="str">
        <f>IFERROR(_xlfn.FORECAST.LINEAR('BD_LeiturasHidrômetro_PRJ04'!$A31,G:G,A:A),"000000")</f>
        <v>000000</v>
      </c>
      <c r="J31" s="36" t="str">
        <f>IF('BD_LeiturasHidrômetro_PRJ04'!$G31&amp;'BD_LeiturasHidrômetro_PRJ04'!$H31="",'BD_LeiturasHidrômetro_PRJ04'!$I31,'BD_LeiturasHidrômetro_PRJ04'!$G31&amp;'BD_LeiturasHidrômetro_PRJ04'!$H31)</f>
        <v>000000</v>
      </c>
      <c r="K31" s="36" t="str">
        <f t="shared" si="1"/>
        <v>000000</v>
      </c>
      <c r="L31" s="15"/>
      <c r="M31" s="15"/>
      <c r="N31" s="17">
        <f t="shared" si="2"/>
        <v>0</v>
      </c>
      <c r="O31" s="15" t="s">
        <v>263</v>
      </c>
      <c r="R31" s="18"/>
      <c r="S31" s="19"/>
    </row>
    <row r="32" ht="15.75" customHeight="1">
      <c r="A32" s="10">
        <v>62.0</v>
      </c>
      <c r="B32" s="11" t="s">
        <v>69</v>
      </c>
      <c r="C32" s="12">
        <v>26.0</v>
      </c>
      <c r="D32" s="10" t="s">
        <v>44</v>
      </c>
      <c r="E32" s="10">
        <v>2025.0</v>
      </c>
      <c r="F32" s="10" t="s">
        <v>32</v>
      </c>
      <c r="G32" s="35"/>
      <c r="H32" s="35"/>
      <c r="I32" s="36" t="str">
        <f>IFERROR(_xlfn.FORECAST.LINEAR('BD_LeiturasHidrômetro_PRJ04'!$A32,G:G,A:A),"000000")</f>
        <v>000000</v>
      </c>
      <c r="J32" s="36" t="str">
        <f>IF('BD_LeiturasHidrômetro_PRJ04'!$G32&amp;'BD_LeiturasHidrômetro_PRJ04'!$H32="",'BD_LeiturasHidrômetro_PRJ04'!$I32,'BD_LeiturasHidrômetro_PRJ04'!$G32&amp;'BD_LeiturasHidrômetro_PRJ04'!$H32)</f>
        <v>000000</v>
      </c>
      <c r="K32" s="36" t="str">
        <f t="shared" si="1"/>
        <v>000000</v>
      </c>
      <c r="L32" s="15"/>
      <c r="M32" s="15"/>
      <c r="N32" s="17">
        <f t="shared" si="2"/>
        <v>0</v>
      </c>
      <c r="O32" s="15" t="s">
        <v>263</v>
      </c>
      <c r="R32" s="18"/>
      <c r="S32" s="19"/>
    </row>
    <row r="33" ht="15.75" customHeight="1">
      <c r="A33" s="10">
        <v>63.0</v>
      </c>
      <c r="B33" s="11" t="s">
        <v>70</v>
      </c>
      <c r="C33" s="12">
        <v>27.0</v>
      </c>
      <c r="D33" s="10" t="s">
        <v>44</v>
      </c>
      <c r="E33" s="10">
        <v>2025.0</v>
      </c>
      <c r="F33" s="10" t="s">
        <v>34</v>
      </c>
      <c r="G33" s="35"/>
      <c r="H33" s="35"/>
      <c r="I33" s="36" t="str">
        <f>IFERROR(_xlfn.FORECAST.LINEAR('BD_LeiturasHidrômetro_PRJ04'!$A33,G:G,A:A),"000000")</f>
        <v>000000</v>
      </c>
      <c r="J33" s="36" t="str">
        <f>IF('BD_LeiturasHidrômetro_PRJ04'!$G33&amp;'BD_LeiturasHidrômetro_PRJ04'!$H33="",'BD_LeiturasHidrômetro_PRJ04'!$I33,'BD_LeiturasHidrômetro_PRJ04'!$G33&amp;'BD_LeiturasHidrômetro_PRJ04'!$H33)</f>
        <v>000000</v>
      </c>
      <c r="K33" s="36" t="str">
        <f t="shared" si="1"/>
        <v>000000</v>
      </c>
      <c r="L33" s="15"/>
      <c r="M33" s="15"/>
      <c r="N33" s="17">
        <f t="shared" si="2"/>
        <v>0</v>
      </c>
      <c r="O33" s="15" t="s">
        <v>263</v>
      </c>
      <c r="R33" s="18"/>
      <c r="S33" s="19"/>
    </row>
    <row r="34" ht="15.75" customHeight="1">
      <c r="A34" s="10">
        <v>64.0</v>
      </c>
      <c r="B34" s="11" t="s">
        <v>71</v>
      </c>
      <c r="C34" s="12">
        <v>28.0</v>
      </c>
      <c r="D34" s="10" t="s">
        <v>44</v>
      </c>
      <c r="E34" s="10">
        <v>2025.0</v>
      </c>
      <c r="F34" s="10" t="s">
        <v>19</v>
      </c>
      <c r="G34" s="35"/>
      <c r="H34" s="35"/>
      <c r="I34" s="36" t="str">
        <f>IFERROR(_xlfn.FORECAST.LINEAR('BD_LeiturasHidrômetro_PRJ04'!$A34,G:G,A:A),"000000")</f>
        <v>000000</v>
      </c>
      <c r="J34" s="36" t="str">
        <f>IF('BD_LeiturasHidrômetro_PRJ04'!$G34&amp;'BD_LeiturasHidrômetro_PRJ04'!$H34="",'BD_LeiturasHidrômetro_PRJ04'!$I34,'BD_LeiturasHidrômetro_PRJ04'!$G34&amp;'BD_LeiturasHidrômetro_PRJ04'!$H34)</f>
        <v>000000</v>
      </c>
      <c r="K34" s="36" t="str">
        <f t="shared" si="1"/>
        <v>000000</v>
      </c>
      <c r="L34" s="15"/>
      <c r="M34" s="15"/>
      <c r="N34" s="17">
        <f t="shared" si="2"/>
        <v>0</v>
      </c>
      <c r="O34" s="15" t="s">
        <v>263</v>
      </c>
      <c r="R34" s="18"/>
      <c r="S34" s="19"/>
    </row>
    <row r="35" ht="15.75" customHeight="1">
      <c r="A35" s="10">
        <v>65.0</v>
      </c>
      <c r="B35" s="11" t="s">
        <v>72</v>
      </c>
      <c r="C35" s="12">
        <v>29.0</v>
      </c>
      <c r="D35" s="10" t="s">
        <v>44</v>
      </c>
      <c r="E35" s="10">
        <v>2025.0</v>
      </c>
      <c r="F35" s="10" t="s">
        <v>23</v>
      </c>
      <c r="G35" s="35"/>
      <c r="H35" s="35"/>
      <c r="I35" s="36" t="str">
        <f>IFERROR(_xlfn.FORECAST.LINEAR('BD_LeiturasHidrômetro_PRJ04'!$A35,G:G,A:A),"000000")</f>
        <v>000000</v>
      </c>
      <c r="J35" s="36" t="str">
        <f>IF('BD_LeiturasHidrômetro_PRJ04'!$G35&amp;'BD_LeiturasHidrômetro_PRJ04'!$H35="",'BD_LeiturasHidrômetro_PRJ04'!$I35,'BD_LeiturasHidrômetro_PRJ04'!$G35&amp;'BD_LeiturasHidrômetro_PRJ04'!$H35)</f>
        <v>000000</v>
      </c>
      <c r="K35" s="36" t="str">
        <f t="shared" si="1"/>
        <v>000000</v>
      </c>
      <c r="L35" s="15"/>
      <c r="M35" s="15"/>
      <c r="N35" s="17">
        <f t="shared" si="2"/>
        <v>0</v>
      </c>
      <c r="O35" s="15" t="s">
        <v>263</v>
      </c>
      <c r="R35" s="18"/>
      <c r="S35" s="19"/>
    </row>
    <row r="36" ht="15.75" customHeight="1">
      <c r="A36" s="10">
        <v>66.0</v>
      </c>
      <c r="B36" s="11" t="s">
        <v>73</v>
      </c>
      <c r="C36" s="12">
        <v>30.0</v>
      </c>
      <c r="D36" s="10" t="s">
        <v>44</v>
      </c>
      <c r="E36" s="10">
        <v>2025.0</v>
      </c>
      <c r="F36" s="10" t="s">
        <v>26</v>
      </c>
      <c r="G36" s="35"/>
      <c r="H36" s="35"/>
      <c r="I36" s="36" t="str">
        <f>IFERROR(_xlfn.FORECAST.LINEAR('BD_LeiturasHidrômetro_PRJ04'!$A36,G:G,A:A),"000000")</f>
        <v>000000</v>
      </c>
      <c r="J36" s="36" t="str">
        <f>IF('BD_LeiturasHidrômetro_PRJ04'!$G36&amp;'BD_LeiturasHidrômetro_PRJ04'!$H36="",'BD_LeiturasHidrômetro_PRJ04'!$I36,'BD_LeiturasHidrômetro_PRJ04'!$G36&amp;'BD_LeiturasHidrômetro_PRJ04'!$H36)</f>
        <v>000000</v>
      </c>
      <c r="K36" s="36" t="str">
        <f t="shared" si="1"/>
        <v>000000</v>
      </c>
      <c r="L36" s="15"/>
      <c r="M36" s="15"/>
      <c r="N36" s="17">
        <f t="shared" si="2"/>
        <v>0</v>
      </c>
      <c r="O36" s="15" t="s">
        <v>263</v>
      </c>
      <c r="R36" s="18"/>
      <c r="S36" s="19"/>
    </row>
    <row r="37" ht="15.75" customHeight="1">
      <c r="A37" s="10">
        <v>67.0</v>
      </c>
      <c r="B37" s="11" t="s">
        <v>74</v>
      </c>
      <c r="C37" s="12">
        <v>31.0</v>
      </c>
      <c r="D37" s="10" t="s">
        <v>44</v>
      </c>
      <c r="E37" s="10">
        <v>2025.0</v>
      </c>
      <c r="F37" s="10" t="s">
        <v>28</v>
      </c>
      <c r="G37" s="35"/>
      <c r="H37" s="35"/>
      <c r="I37" s="36" t="str">
        <f>IFERROR(_xlfn.FORECAST.LINEAR('BD_LeiturasHidrômetro_PRJ04'!$A37,G:G,A:A),"000000")</f>
        <v>000000</v>
      </c>
      <c r="J37" s="36" t="str">
        <f>IF('BD_LeiturasHidrômetro_PRJ04'!$G37&amp;'BD_LeiturasHidrômetro_PRJ04'!$H37="",'BD_LeiturasHidrômetro_PRJ04'!$I37,'BD_LeiturasHidrômetro_PRJ04'!$G37&amp;'BD_LeiturasHidrômetro_PRJ04'!$H37)</f>
        <v>000000</v>
      </c>
      <c r="K37" s="36" t="str">
        <f t="shared" si="1"/>
        <v>000000</v>
      </c>
      <c r="L37" s="15"/>
      <c r="M37" s="15"/>
      <c r="N37" s="17">
        <f t="shared" si="2"/>
        <v>0</v>
      </c>
      <c r="O37" s="15" t="s">
        <v>263</v>
      </c>
      <c r="R37" s="18"/>
      <c r="S37" s="19"/>
    </row>
    <row r="38" ht="15.75" customHeight="1">
      <c r="A38" s="10">
        <v>68.0</v>
      </c>
      <c r="B38" s="11" t="s">
        <v>75</v>
      </c>
      <c r="C38" s="12">
        <v>1.0</v>
      </c>
      <c r="D38" s="10" t="s">
        <v>76</v>
      </c>
      <c r="E38" s="10">
        <v>2025.0</v>
      </c>
      <c r="F38" s="10" t="s">
        <v>30</v>
      </c>
      <c r="G38" s="35"/>
      <c r="H38" s="35"/>
      <c r="I38" s="36" t="str">
        <f>IFERROR(_xlfn.FORECAST.LINEAR('BD_LeiturasHidrômetro_PRJ04'!$A38,G:G,A:A),"000000")</f>
        <v>000000</v>
      </c>
      <c r="J38" s="36" t="str">
        <f>IF('BD_LeiturasHidrômetro_PRJ04'!$G38&amp;'BD_LeiturasHidrômetro_PRJ04'!$H38="",'BD_LeiturasHidrômetro_PRJ04'!$I38,'BD_LeiturasHidrômetro_PRJ04'!$G38&amp;'BD_LeiturasHidrômetro_PRJ04'!$H38)</f>
        <v>000000</v>
      </c>
      <c r="K38" s="36" t="str">
        <f t="shared" si="1"/>
        <v>000000</v>
      </c>
      <c r="L38" s="15"/>
      <c r="M38" s="15"/>
      <c r="N38" s="17">
        <f t="shared" si="2"/>
        <v>0</v>
      </c>
      <c r="O38" s="15" t="s">
        <v>263</v>
      </c>
      <c r="R38" s="18"/>
      <c r="S38" s="19"/>
    </row>
    <row r="39" ht="15.75" customHeight="1">
      <c r="A39" s="10">
        <v>69.0</v>
      </c>
      <c r="B39" s="11" t="s">
        <v>77</v>
      </c>
      <c r="C39" s="12">
        <v>2.0</v>
      </c>
      <c r="D39" s="10" t="s">
        <v>76</v>
      </c>
      <c r="E39" s="10">
        <v>2025.0</v>
      </c>
      <c r="F39" s="10" t="s">
        <v>32</v>
      </c>
      <c r="G39" s="35"/>
      <c r="H39" s="35"/>
      <c r="I39" s="36" t="str">
        <f>IFERROR(_xlfn.FORECAST.LINEAR('BD_LeiturasHidrômetro_PRJ04'!$A39,G:G,A:A),"000000")</f>
        <v>000000</v>
      </c>
      <c r="J39" s="36" t="str">
        <f>IF('BD_LeiturasHidrômetro_PRJ04'!$G39&amp;'BD_LeiturasHidrômetro_PRJ04'!$H39="",'BD_LeiturasHidrômetro_PRJ04'!$I39,'BD_LeiturasHidrômetro_PRJ04'!$G39&amp;'BD_LeiturasHidrômetro_PRJ04'!$H39)</f>
        <v>000000</v>
      </c>
      <c r="K39" s="36" t="str">
        <f t="shared" si="1"/>
        <v>000000</v>
      </c>
      <c r="L39" s="15"/>
      <c r="M39" s="15"/>
      <c r="N39" s="17">
        <f t="shared" si="2"/>
        <v>0</v>
      </c>
      <c r="O39" s="15" t="s">
        <v>263</v>
      </c>
      <c r="R39" s="18"/>
      <c r="S39" s="19"/>
    </row>
    <row r="40" ht="15.75" customHeight="1">
      <c r="A40" s="10">
        <v>70.0</v>
      </c>
      <c r="B40" s="11" t="s">
        <v>78</v>
      </c>
      <c r="C40" s="12">
        <v>3.0</v>
      </c>
      <c r="D40" s="10" t="s">
        <v>76</v>
      </c>
      <c r="E40" s="10">
        <v>2025.0</v>
      </c>
      <c r="F40" s="10" t="s">
        <v>34</v>
      </c>
      <c r="G40" s="35"/>
      <c r="H40" s="35"/>
      <c r="I40" s="36" t="str">
        <f>IFERROR(_xlfn.FORECAST.LINEAR('BD_LeiturasHidrômetro_PRJ04'!$A40,G:G,A:A),"000000")</f>
        <v>000000</v>
      </c>
      <c r="J40" s="36" t="str">
        <f>IF('BD_LeiturasHidrômetro_PRJ04'!$G40&amp;'BD_LeiturasHidrômetro_PRJ04'!$H40="",'BD_LeiturasHidrômetro_PRJ04'!$I40,'BD_LeiturasHidrômetro_PRJ04'!$G40&amp;'BD_LeiturasHidrômetro_PRJ04'!$H40)</f>
        <v>000000</v>
      </c>
      <c r="K40" s="36" t="str">
        <f t="shared" si="1"/>
        <v>000000</v>
      </c>
      <c r="L40" s="15"/>
      <c r="M40" s="15"/>
      <c r="N40" s="17">
        <f t="shared" si="2"/>
        <v>0</v>
      </c>
      <c r="O40" s="15" t="s">
        <v>263</v>
      </c>
      <c r="R40" s="18"/>
      <c r="S40" s="19"/>
    </row>
    <row r="41" ht="15.75" customHeight="1">
      <c r="A41" s="10">
        <v>71.0</v>
      </c>
      <c r="B41" s="11" t="s">
        <v>79</v>
      </c>
      <c r="C41" s="12">
        <v>4.0</v>
      </c>
      <c r="D41" s="10" t="s">
        <v>76</v>
      </c>
      <c r="E41" s="10">
        <v>2025.0</v>
      </c>
      <c r="F41" s="10" t="s">
        <v>19</v>
      </c>
      <c r="G41" s="35"/>
      <c r="H41" s="35"/>
      <c r="I41" s="36" t="str">
        <f>IFERROR(_xlfn.FORECAST.LINEAR('BD_LeiturasHidrômetro_PRJ04'!$A41,G:G,A:A),"000000")</f>
        <v>000000</v>
      </c>
      <c r="J41" s="36" t="str">
        <f>IF('BD_LeiturasHidrômetro_PRJ04'!$G41&amp;'BD_LeiturasHidrômetro_PRJ04'!$H41="",'BD_LeiturasHidrômetro_PRJ04'!$I41,'BD_LeiturasHidrômetro_PRJ04'!$G41&amp;'BD_LeiturasHidrômetro_PRJ04'!$H41)</f>
        <v>000000</v>
      </c>
      <c r="K41" s="36" t="str">
        <f t="shared" si="1"/>
        <v>000000</v>
      </c>
      <c r="L41" s="15"/>
      <c r="M41" s="15"/>
      <c r="N41" s="17">
        <f t="shared" si="2"/>
        <v>0</v>
      </c>
      <c r="O41" s="15" t="s">
        <v>263</v>
      </c>
      <c r="R41" s="18"/>
      <c r="S41" s="19"/>
    </row>
    <row r="42" ht="15.75" customHeight="1">
      <c r="A42" s="10">
        <v>72.0</v>
      </c>
      <c r="B42" s="11" t="s">
        <v>80</v>
      </c>
      <c r="C42" s="12">
        <v>5.0</v>
      </c>
      <c r="D42" s="10" t="s">
        <v>76</v>
      </c>
      <c r="E42" s="10">
        <v>2025.0</v>
      </c>
      <c r="F42" s="10" t="s">
        <v>23</v>
      </c>
      <c r="G42" s="35"/>
      <c r="H42" s="35"/>
      <c r="I42" s="36" t="str">
        <f>IFERROR(_xlfn.FORECAST.LINEAR('BD_LeiturasHidrômetro_PRJ04'!$A42,G:G,A:A),"000000")</f>
        <v>000000</v>
      </c>
      <c r="J42" s="36" t="str">
        <f>IF('BD_LeiturasHidrômetro_PRJ04'!$G42&amp;'BD_LeiturasHidrômetro_PRJ04'!$H42="",'BD_LeiturasHidrômetro_PRJ04'!$I42,'BD_LeiturasHidrômetro_PRJ04'!$G42&amp;'BD_LeiturasHidrômetro_PRJ04'!$H42)</f>
        <v>000000</v>
      </c>
      <c r="K42" s="36" t="str">
        <f t="shared" si="1"/>
        <v>000000</v>
      </c>
      <c r="L42" s="15"/>
      <c r="M42" s="15"/>
      <c r="N42" s="17">
        <f t="shared" si="2"/>
        <v>0</v>
      </c>
      <c r="O42" s="15" t="s">
        <v>263</v>
      </c>
      <c r="R42" s="18"/>
      <c r="S42" s="19"/>
    </row>
    <row r="43" ht="15.75" customHeight="1">
      <c r="A43" s="10">
        <v>73.0</v>
      </c>
      <c r="B43" s="11" t="s">
        <v>81</v>
      </c>
      <c r="C43" s="12">
        <v>6.0</v>
      </c>
      <c r="D43" s="10" t="s">
        <v>76</v>
      </c>
      <c r="E43" s="10">
        <v>2025.0</v>
      </c>
      <c r="F43" s="10" t="s">
        <v>26</v>
      </c>
      <c r="G43" s="35"/>
      <c r="H43" s="35"/>
      <c r="I43" s="36" t="str">
        <f>IFERROR(_xlfn.FORECAST.LINEAR('BD_LeiturasHidrômetro_PRJ04'!$A43,G:G,A:A),"000000")</f>
        <v>000000</v>
      </c>
      <c r="J43" s="36" t="str">
        <f>IF('BD_LeiturasHidrômetro_PRJ04'!$G43&amp;'BD_LeiturasHidrômetro_PRJ04'!$H43="",'BD_LeiturasHidrômetro_PRJ04'!$I43,'BD_LeiturasHidrômetro_PRJ04'!$G43&amp;'BD_LeiturasHidrômetro_PRJ04'!$H43)</f>
        <v>000000</v>
      </c>
      <c r="K43" s="36" t="str">
        <f t="shared" si="1"/>
        <v>000000</v>
      </c>
      <c r="L43" s="15"/>
      <c r="M43" s="15"/>
      <c r="N43" s="17">
        <f t="shared" si="2"/>
        <v>0</v>
      </c>
      <c r="O43" s="15" t="s">
        <v>263</v>
      </c>
      <c r="R43" s="18"/>
      <c r="S43" s="19"/>
    </row>
    <row r="44" ht="15.75" customHeight="1">
      <c r="A44" s="10">
        <v>74.0</v>
      </c>
      <c r="B44" s="11" t="s">
        <v>82</v>
      </c>
      <c r="C44" s="12">
        <v>7.0</v>
      </c>
      <c r="D44" s="10" t="s">
        <v>76</v>
      </c>
      <c r="E44" s="10">
        <v>2025.0</v>
      </c>
      <c r="F44" s="10" t="s">
        <v>28</v>
      </c>
      <c r="G44" s="35"/>
      <c r="H44" s="35"/>
      <c r="I44" s="36" t="str">
        <f>IFERROR(_xlfn.FORECAST.LINEAR('BD_LeiturasHidrômetro_PRJ04'!$A44,G:G,A:A),"000000")</f>
        <v>000000</v>
      </c>
      <c r="J44" s="36" t="str">
        <f>IF('BD_LeiturasHidrômetro_PRJ04'!$G44&amp;'BD_LeiturasHidrômetro_PRJ04'!$H44="",'BD_LeiturasHidrômetro_PRJ04'!$I44,'BD_LeiturasHidrômetro_PRJ04'!$G44&amp;'BD_LeiturasHidrômetro_PRJ04'!$H44)</f>
        <v>000000</v>
      </c>
      <c r="K44" s="36" t="str">
        <f t="shared" si="1"/>
        <v>000000</v>
      </c>
      <c r="L44" s="15"/>
      <c r="M44" s="15"/>
      <c r="N44" s="17">
        <f t="shared" si="2"/>
        <v>0</v>
      </c>
      <c r="O44" s="15" t="s">
        <v>263</v>
      </c>
      <c r="R44" s="18"/>
      <c r="S44" s="19"/>
    </row>
    <row r="45" ht="15.75" customHeight="1">
      <c r="A45" s="10">
        <v>75.0</v>
      </c>
      <c r="B45" s="11" t="s">
        <v>83</v>
      </c>
      <c r="C45" s="12">
        <v>8.0</v>
      </c>
      <c r="D45" s="10" t="s">
        <v>76</v>
      </c>
      <c r="E45" s="10">
        <v>2025.0</v>
      </c>
      <c r="F45" s="10" t="s">
        <v>30</v>
      </c>
      <c r="G45" s="35"/>
      <c r="H45" s="35"/>
      <c r="I45" s="36" t="str">
        <f>IFERROR(_xlfn.FORECAST.LINEAR('BD_LeiturasHidrômetro_PRJ04'!$A45,G:G,A:A),"000000")</f>
        <v>000000</v>
      </c>
      <c r="J45" s="36" t="str">
        <f>IF('BD_LeiturasHidrômetro_PRJ04'!$G45&amp;'BD_LeiturasHidrômetro_PRJ04'!$H45="",'BD_LeiturasHidrômetro_PRJ04'!$I45,'BD_LeiturasHidrômetro_PRJ04'!$G45&amp;'BD_LeiturasHidrômetro_PRJ04'!$H45)</f>
        <v>000000</v>
      </c>
      <c r="K45" s="36" t="str">
        <f t="shared" si="1"/>
        <v>000000</v>
      </c>
      <c r="L45" s="15"/>
      <c r="M45" s="15"/>
      <c r="N45" s="17">
        <f t="shared" si="2"/>
        <v>0</v>
      </c>
      <c r="O45" s="15" t="s">
        <v>263</v>
      </c>
      <c r="R45" s="18"/>
      <c r="S45" s="19"/>
    </row>
    <row r="46" ht="15.75" customHeight="1">
      <c r="A46" s="10">
        <v>76.0</v>
      </c>
      <c r="B46" s="11" t="s">
        <v>84</v>
      </c>
      <c r="C46" s="12">
        <v>9.0</v>
      </c>
      <c r="D46" s="10" t="s">
        <v>76</v>
      </c>
      <c r="E46" s="10">
        <v>2025.0</v>
      </c>
      <c r="F46" s="10" t="s">
        <v>32</v>
      </c>
      <c r="G46" s="35"/>
      <c r="H46" s="35"/>
      <c r="I46" s="36" t="str">
        <f>IFERROR(_xlfn.FORECAST.LINEAR('BD_LeiturasHidrômetro_PRJ04'!$A46,G:G,A:A),"000000")</f>
        <v>000000</v>
      </c>
      <c r="J46" s="36" t="str">
        <f>IF('BD_LeiturasHidrômetro_PRJ04'!$G46&amp;'BD_LeiturasHidrômetro_PRJ04'!$H46="",'BD_LeiturasHidrômetro_PRJ04'!$I46,'BD_LeiturasHidrômetro_PRJ04'!$G46&amp;'BD_LeiturasHidrômetro_PRJ04'!$H46)</f>
        <v>000000</v>
      </c>
      <c r="K46" s="36" t="str">
        <f t="shared" si="1"/>
        <v>000000</v>
      </c>
      <c r="L46" s="15"/>
      <c r="M46" s="15"/>
      <c r="N46" s="17">
        <f t="shared" si="2"/>
        <v>0</v>
      </c>
      <c r="O46" s="15" t="s">
        <v>263</v>
      </c>
      <c r="R46" s="18"/>
      <c r="S46" s="19"/>
    </row>
    <row r="47" ht="15.75" customHeight="1">
      <c r="A47" s="10">
        <v>77.0</v>
      </c>
      <c r="B47" s="11" t="s">
        <v>85</v>
      </c>
      <c r="C47" s="12">
        <v>10.0</v>
      </c>
      <c r="D47" s="10" t="s">
        <v>76</v>
      </c>
      <c r="E47" s="10">
        <v>2025.0</v>
      </c>
      <c r="F47" s="10" t="s">
        <v>34</v>
      </c>
      <c r="G47" s="35"/>
      <c r="H47" s="35"/>
      <c r="I47" s="36" t="str">
        <f>IFERROR(_xlfn.FORECAST.LINEAR('BD_LeiturasHidrômetro_PRJ04'!$A47,G:G,A:A),"000000")</f>
        <v>000000</v>
      </c>
      <c r="J47" s="36" t="str">
        <f>IF('BD_LeiturasHidrômetro_PRJ04'!$G47&amp;'BD_LeiturasHidrômetro_PRJ04'!$H47="",'BD_LeiturasHidrômetro_PRJ04'!$I47,'BD_LeiturasHidrômetro_PRJ04'!$G47&amp;'BD_LeiturasHidrômetro_PRJ04'!$H47)</f>
        <v>000000</v>
      </c>
      <c r="K47" s="36" t="str">
        <f t="shared" si="1"/>
        <v>000000</v>
      </c>
      <c r="L47" s="15"/>
      <c r="M47" s="15"/>
      <c r="N47" s="17">
        <f t="shared" si="2"/>
        <v>0</v>
      </c>
      <c r="O47" s="15" t="s">
        <v>263</v>
      </c>
      <c r="R47" s="18"/>
      <c r="S47" s="19"/>
    </row>
    <row r="48" ht="15.75" customHeight="1">
      <c r="A48" s="10">
        <v>78.0</v>
      </c>
      <c r="B48" s="11" t="s">
        <v>86</v>
      </c>
      <c r="C48" s="12">
        <v>11.0</v>
      </c>
      <c r="D48" s="10" t="s">
        <v>76</v>
      </c>
      <c r="E48" s="10">
        <v>2025.0</v>
      </c>
      <c r="F48" s="10" t="s">
        <v>19</v>
      </c>
      <c r="G48" s="35"/>
      <c r="H48" s="35"/>
      <c r="I48" s="36" t="str">
        <f>IFERROR(_xlfn.FORECAST.LINEAR('BD_LeiturasHidrômetro_PRJ04'!$A48,G:G,A:A),"000000")</f>
        <v>000000</v>
      </c>
      <c r="J48" s="36" t="str">
        <f>IF('BD_LeiturasHidrômetro_PRJ04'!$G48&amp;'BD_LeiturasHidrômetro_PRJ04'!$H48="",'BD_LeiturasHidrômetro_PRJ04'!$I48,'BD_LeiturasHidrômetro_PRJ04'!$G48&amp;'BD_LeiturasHidrômetro_PRJ04'!$H48)</f>
        <v>000000</v>
      </c>
      <c r="K48" s="36" t="str">
        <f t="shared" si="1"/>
        <v>000000</v>
      </c>
      <c r="L48" s="15"/>
      <c r="M48" s="15"/>
      <c r="N48" s="17">
        <f t="shared" si="2"/>
        <v>0</v>
      </c>
      <c r="O48" s="15" t="s">
        <v>263</v>
      </c>
      <c r="R48" s="18"/>
      <c r="S48" s="19"/>
    </row>
    <row r="49" ht="15.75" customHeight="1">
      <c r="A49" s="10">
        <v>79.0</v>
      </c>
      <c r="B49" s="11" t="s">
        <v>87</v>
      </c>
      <c r="C49" s="12">
        <v>12.0</v>
      </c>
      <c r="D49" s="10" t="s">
        <v>76</v>
      </c>
      <c r="E49" s="10">
        <v>2025.0</v>
      </c>
      <c r="F49" s="10" t="s">
        <v>23</v>
      </c>
      <c r="G49" s="35"/>
      <c r="H49" s="35"/>
      <c r="I49" s="36" t="str">
        <f>IFERROR(_xlfn.FORECAST.LINEAR('BD_LeiturasHidrômetro_PRJ04'!$A49,G:G,A:A),"000000")</f>
        <v>000000</v>
      </c>
      <c r="J49" s="36" t="str">
        <f>IF('BD_LeiturasHidrômetro_PRJ04'!$G49&amp;'BD_LeiturasHidrômetro_PRJ04'!$H49="",'BD_LeiturasHidrômetro_PRJ04'!$I49,'BD_LeiturasHidrômetro_PRJ04'!$G49&amp;'BD_LeiturasHidrômetro_PRJ04'!$H49)</f>
        <v>000000</v>
      </c>
      <c r="K49" s="36" t="str">
        <f t="shared" si="1"/>
        <v>000000</v>
      </c>
      <c r="L49" s="15"/>
      <c r="M49" s="15"/>
      <c r="N49" s="17">
        <f t="shared" si="2"/>
        <v>0</v>
      </c>
      <c r="O49" s="15" t="s">
        <v>263</v>
      </c>
      <c r="R49" s="18"/>
      <c r="S49" s="19"/>
    </row>
    <row r="50" ht="15.75" customHeight="1">
      <c r="A50" s="10">
        <v>80.0</v>
      </c>
      <c r="B50" s="11" t="s">
        <v>88</v>
      </c>
      <c r="C50" s="12">
        <v>13.0</v>
      </c>
      <c r="D50" s="10" t="s">
        <v>76</v>
      </c>
      <c r="E50" s="10">
        <v>2025.0</v>
      </c>
      <c r="F50" s="10" t="s">
        <v>26</v>
      </c>
      <c r="G50" s="35"/>
      <c r="H50" s="35"/>
      <c r="I50" s="36" t="str">
        <f>IFERROR(_xlfn.FORECAST.LINEAR('BD_LeiturasHidrômetro_PRJ04'!$A50,G:G,A:A),"000000")</f>
        <v>000000</v>
      </c>
      <c r="J50" s="36" t="str">
        <f>IF('BD_LeiturasHidrômetro_PRJ04'!$G50&amp;'BD_LeiturasHidrômetro_PRJ04'!$H50="",'BD_LeiturasHidrômetro_PRJ04'!$I50,'BD_LeiturasHidrômetro_PRJ04'!$G50&amp;'BD_LeiturasHidrômetro_PRJ04'!$H50)</f>
        <v>000000</v>
      </c>
      <c r="K50" s="36" t="str">
        <f t="shared" si="1"/>
        <v>000000</v>
      </c>
      <c r="L50" s="15"/>
      <c r="M50" s="15"/>
      <c r="N50" s="17">
        <f t="shared" si="2"/>
        <v>0</v>
      </c>
      <c r="O50" s="15" t="s">
        <v>263</v>
      </c>
      <c r="R50" s="18"/>
      <c r="S50" s="19"/>
    </row>
    <row r="51" ht="15.75" customHeight="1">
      <c r="A51" s="10">
        <v>81.0</v>
      </c>
      <c r="B51" s="11" t="s">
        <v>89</v>
      </c>
      <c r="C51" s="12">
        <v>14.0</v>
      </c>
      <c r="D51" s="10" t="s">
        <v>76</v>
      </c>
      <c r="E51" s="10">
        <v>2025.0</v>
      </c>
      <c r="F51" s="10" t="s">
        <v>28</v>
      </c>
      <c r="G51" s="35"/>
      <c r="H51" s="35"/>
      <c r="I51" s="36" t="str">
        <f>IFERROR(_xlfn.FORECAST.LINEAR('BD_LeiturasHidrômetro_PRJ04'!$A51,G:G,A:A),"000000")</f>
        <v>000000</v>
      </c>
      <c r="J51" s="36" t="str">
        <f>IF('BD_LeiturasHidrômetro_PRJ04'!$G51&amp;'BD_LeiturasHidrômetro_PRJ04'!$H51="",'BD_LeiturasHidrômetro_PRJ04'!$I51,'BD_LeiturasHidrômetro_PRJ04'!$G51&amp;'BD_LeiturasHidrômetro_PRJ04'!$H51)</f>
        <v>000000</v>
      </c>
      <c r="K51" s="36" t="str">
        <f t="shared" si="1"/>
        <v>000000</v>
      </c>
      <c r="L51" s="15"/>
      <c r="M51" s="15"/>
      <c r="N51" s="17">
        <f t="shared" si="2"/>
        <v>0</v>
      </c>
      <c r="O51" s="15" t="s">
        <v>263</v>
      </c>
      <c r="R51" s="18"/>
      <c r="S51" s="19"/>
    </row>
    <row r="52" ht="15.75" customHeight="1">
      <c r="A52" s="10">
        <v>82.0</v>
      </c>
      <c r="B52" s="11" t="s">
        <v>90</v>
      </c>
      <c r="C52" s="12">
        <v>15.0</v>
      </c>
      <c r="D52" s="10" t="s">
        <v>76</v>
      </c>
      <c r="E52" s="10">
        <v>2025.0</v>
      </c>
      <c r="F52" s="10" t="s">
        <v>30</v>
      </c>
      <c r="G52" s="35"/>
      <c r="H52" s="35"/>
      <c r="I52" s="36" t="str">
        <f>IFERROR(_xlfn.FORECAST.LINEAR('BD_LeiturasHidrômetro_PRJ04'!$A52,G:G,A:A),"000000")</f>
        <v>000000</v>
      </c>
      <c r="J52" s="36" t="str">
        <f>IF('BD_LeiturasHidrômetro_PRJ04'!$G52&amp;'BD_LeiturasHidrômetro_PRJ04'!$H52="",'BD_LeiturasHidrômetro_PRJ04'!$I52,'BD_LeiturasHidrômetro_PRJ04'!$G52&amp;'BD_LeiturasHidrômetro_PRJ04'!$H52)</f>
        <v>000000</v>
      </c>
      <c r="K52" s="36" t="str">
        <f t="shared" si="1"/>
        <v>000000</v>
      </c>
      <c r="L52" s="15"/>
      <c r="M52" s="15"/>
      <c r="N52" s="17">
        <f t="shared" si="2"/>
        <v>0</v>
      </c>
      <c r="O52" s="15" t="s">
        <v>263</v>
      </c>
      <c r="R52" s="18"/>
      <c r="S52" s="19"/>
    </row>
    <row r="53" ht="15.75" customHeight="1">
      <c r="A53" s="10">
        <v>83.0</v>
      </c>
      <c r="B53" s="11" t="s">
        <v>91</v>
      </c>
      <c r="C53" s="12">
        <v>16.0</v>
      </c>
      <c r="D53" s="10" t="s">
        <v>76</v>
      </c>
      <c r="E53" s="10">
        <v>2025.0</v>
      </c>
      <c r="F53" s="10" t="s">
        <v>32</v>
      </c>
      <c r="G53" s="35"/>
      <c r="H53" s="35"/>
      <c r="I53" s="36" t="str">
        <f>IFERROR(_xlfn.FORECAST.LINEAR('BD_LeiturasHidrômetro_PRJ04'!$A53,G:G,A:A),"000000")</f>
        <v>000000</v>
      </c>
      <c r="J53" s="36" t="str">
        <f>IF('BD_LeiturasHidrômetro_PRJ04'!$G53&amp;'BD_LeiturasHidrômetro_PRJ04'!$H53="",'BD_LeiturasHidrômetro_PRJ04'!$I53,'BD_LeiturasHidrômetro_PRJ04'!$G53&amp;'BD_LeiturasHidrômetro_PRJ04'!$H53)</f>
        <v>000000</v>
      </c>
      <c r="K53" s="36" t="str">
        <f t="shared" si="1"/>
        <v>000000</v>
      </c>
      <c r="L53" s="15"/>
      <c r="M53" s="15"/>
      <c r="N53" s="17">
        <f t="shared" si="2"/>
        <v>0</v>
      </c>
      <c r="O53" s="15" t="s">
        <v>263</v>
      </c>
      <c r="R53" s="18"/>
      <c r="S53" s="19"/>
    </row>
    <row r="54" ht="15.75" customHeight="1">
      <c r="A54" s="10">
        <v>84.0</v>
      </c>
      <c r="B54" s="11" t="s">
        <v>92</v>
      </c>
      <c r="C54" s="12">
        <v>17.0</v>
      </c>
      <c r="D54" s="10" t="s">
        <v>76</v>
      </c>
      <c r="E54" s="10">
        <v>2025.0</v>
      </c>
      <c r="F54" s="10" t="s">
        <v>34</v>
      </c>
      <c r="G54" s="35"/>
      <c r="H54" s="35"/>
      <c r="I54" s="36" t="str">
        <f>IFERROR(_xlfn.FORECAST.LINEAR('BD_LeiturasHidrômetro_PRJ04'!$A54,G:G,A:A),"000000")</f>
        <v>000000</v>
      </c>
      <c r="J54" s="36" t="str">
        <f>IF('BD_LeiturasHidrômetro_PRJ04'!$G54&amp;'BD_LeiturasHidrômetro_PRJ04'!$H54="",'BD_LeiturasHidrômetro_PRJ04'!$I54,'BD_LeiturasHidrômetro_PRJ04'!$G54&amp;'BD_LeiturasHidrômetro_PRJ04'!$H54)</f>
        <v>000000</v>
      </c>
      <c r="K54" s="36" t="str">
        <f t="shared" si="1"/>
        <v>000000</v>
      </c>
      <c r="L54" s="15"/>
      <c r="M54" s="15"/>
      <c r="N54" s="17">
        <f t="shared" si="2"/>
        <v>0</v>
      </c>
      <c r="O54" s="15" t="s">
        <v>263</v>
      </c>
      <c r="R54" s="18"/>
      <c r="S54" s="19"/>
    </row>
    <row r="55" ht="15.75" customHeight="1">
      <c r="A55" s="10">
        <v>85.0</v>
      </c>
      <c r="B55" s="11" t="s">
        <v>93</v>
      </c>
      <c r="C55" s="12">
        <v>18.0</v>
      </c>
      <c r="D55" s="10" t="s">
        <v>76</v>
      </c>
      <c r="E55" s="10">
        <v>2025.0</v>
      </c>
      <c r="F55" s="10" t="s">
        <v>19</v>
      </c>
      <c r="G55" s="35"/>
      <c r="H55" s="35"/>
      <c r="I55" s="36" t="str">
        <f>IFERROR(_xlfn.FORECAST.LINEAR('BD_LeiturasHidrômetro_PRJ04'!$A55,G:G,A:A),"000000")</f>
        <v>000000</v>
      </c>
      <c r="J55" s="36" t="str">
        <f>IF('BD_LeiturasHidrômetro_PRJ04'!$G55&amp;'BD_LeiturasHidrômetro_PRJ04'!$H55="",'BD_LeiturasHidrômetro_PRJ04'!$I55,'BD_LeiturasHidrômetro_PRJ04'!$G55&amp;'BD_LeiturasHidrômetro_PRJ04'!$H55)</f>
        <v>000000</v>
      </c>
      <c r="K55" s="36" t="str">
        <f t="shared" si="1"/>
        <v>000000</v>
      </c>
      <c r="L55" s="15"/>
      <c r="M55" s="15"/>
      <c r="N55" s="17">
        <f t="shared" si="2"/>
        <v>0</v>
      </c>
      <c r="O55" s="15" t="s">
        <v>263</v>
      </c>
      <c r="R55" s="18"/>
      <c r="S55" s="19"/>
    </row>
    <row r="56" ht="15.75" customHeight="1">
      <c r="A56" s="10">
        <v>86.0</v>
      </c>
      <c r="B56" s="11" t="s">
        <v>94</v>
      </c>
      <c r="C56" s="12">
        <v>19.0</v>
      </c>
      <c r="D56" s="10" t="s">
        <v>76</v>
      </c>
      <c r="E56" s="10">
        <v>2025.0</v>
      </c>
      <c r="F56" s="10" t="s">
        <v>23</v>
      </c>
      <c r="G56" s="35"/>
      <c r="H56" s="35"/>
      <c r="I56" s="36" t="str">
        <f>IFERROR(_xlfn.FORECAST.LINEAR('BD_LeiturasHidrômetro_PRJ04'!$A56,G:G,A:A),"000000")</f>
        <v>000000</v>
      </c>
      <c r="J56" s="36" t="str">
        <f>IF('BD_LeiturasHidrômetro_PRJ04'!$G56&amp;'BD_LeiturasHidrômetro_PRJ04'!$H56="",'BD_LeiturasHidrômetro_PRJ04'!$I56,'BD_LeiturasHidrômetro_PRJ04'!$G56&amp;'BD_LeiturasHidrômetro_PRJ04'!$H56)</f>
        <v>000000</v>
      </c>
      <c r="K56" s="36" t="str">
        <f t="shared" si="1"/>
        <v>000000</v>
      </c>
      <c r="L56" s="15"/>
      <c r="M56" s="15"/>
      <c r="N56" s="17">
        <f t="shared" si="2"/>
        <v>0</v>
      </c>
      <c r="O56" s="15" t="s">
        <v>263</v>
      </c>
      <c r="R56" s="18"/>
      <c r="S56" s="19"/>
    </row>
    <row r="57" ht="15.75" customHeight="1">
      <c r="A57" s="10">
        <v>87.0</v>
      </c>
      <c r="B57" s="11" t="s">
        <v>95</v>
      </c>
      <c r="C57" s="12">
        <v>20.0</v>
      </c>
      <c r="D57" s="10" t="s">
        <v>76</v>
      </c>
      <c r="E57" s="10">
        <v>2025.0</v>
      </c>
      <c r="F57" s="10" t="s">
        <v>26</v>
      </c>
      <c r="G57" s="35"/>
      <c r="H57" s="35"/>
      <c r="I57" s="36" t="str">
        <f>IFERROR(_xlfn.FORECAST.LINEAR('BD_LeiturasHidrômetro_PRJ04'!$A57,G:G,A:A),"000000")</f>
        <v>000000</v>
      </c>
      <c r="J57" s="36" t="str">
        <f>IF('BD_LeiturasHidrômetro_PRJ04'!$G57&amp;'BD_LeiturasHidrômetro_PRJ04'!$H57="",'BD_LeiturasHidrômetro_PRJ04'!$I57,'BD_LeiturasHidrômetro_PRJ04'!$G57&amp;'BD_LeiturasHidrômetro_PRJ04'!$H57)</f>
        <v>000000</v>
      </c>
      <c r="K57" s="36" t="str">
        <f t="shared" si="1"/>
        <v>000000</v>
      </c>
      <c r="L57" s="15"/>
      <c r="M57" s="15"/>
      <c r="N57" s="17">
        <f t="shared" si="2"/>
        <v>0</v>
      </c>
      <c r="O57" s="15" t="s">
        <v>263</v>
      </c>
      <c r="R57" s="18"/>
      <c r="S57" s="19"/>
    </row>
    <row r="58" ht="15.75" customHeight="1">
      <c r="A58" s="10">
        <v>88.0</v>
      </c>
      <c r="B58" s="11" t="s">
        <v>96</v>
      </c>
      <c r="C58" s="12">
        <v>21.0</v>
      </c>
      <c r="D58" s="10" t="s">
        <v>76</v>
      </c>
      <c r="E58" s="10">
        <v>2025.0</v>
      </c>
      <c r="F58" s="10" t="s">
        <v>28</v>
      </c>
      <c r="G58" s="35"/>
      <c r="H58" s="35"/>
      <c r="I58" s="36" t="str">
        <f>IFERROR(_xlfn.FORECAST.LINEAR('BD_LeiturasHidrômetro_PRJ04'!$A58,G:G,A:A),"000000")</f>
        <v>000000</v>
      </c>
      <c r="J58" s="36" t="str">
        <f>IF('BD_LeiturasHidrômetro_PRJ04'!$G58&amp;'BD_LeiturasHidrômetro_PRJ04'!$H58="",'BD_LeiturasHidrômetro_PRJ04'!$I58,'BD_LeiturasHidrômetro_PRJ04'!$G58&amp;'BD_LeiturasHidrômetro_PRJ04'!$H58)</f>
        <v>000000</v>
      </c>
      <c r="K58" s="36" t="str">
        <f t="shared" si="1"/>
        <v>000000</v>
      </c>
      <c r="L58" s="15"/>
      <c r="M58" s="15"/>
      <c r="N58" s="17">
        <f t="shared" si="2"/>
        <v>0</v>
      </c>
      <c r="O58" s="15" t="s">
        <v>263</v>
      </c>
      <c r="R58" s="18"/>
      <c r="S58" s="19"/>
    </row>
    <row r="59" ht="15.75" customHeight="1">
      <c r="A59" s="10">
        <v>89.0</v>
      </c>
      <c r="B59" s="11" t="s">
        <v>97</v>
      </c>
      <c r="C59" s="12">
        <v>22.0</v>
      </c>
      <c r="D59" s="10" t="s">
        <v>76</v>
      </c>
      <c r="E59" s="10">
        <v>2025.0</v>
      </c>
      <c r="F59" s="10" t="s">
        <v>30</v>
      </c>
      <c r="G59" s="35"/>
      <c r="H59" s="35"/>
      <c r="I59" s="36" t="str">
        <f>IFERROR(_xlfn.FORECAST.LINEAR('BD_LeiturasHidrômetro_PRJ04'!$A59,G:G,A:A),"000000")</f>
        <v>000000</v>
      </c>
      <c r="J59" s="36" t="str">
        <f>IF('BD_LeiturasHidrômetro_PRJ04'!$G59&amp;'BD_LeiturasHidrômetro_PRJ04'!$H59="",'BD_LeiturasHidrômetro_PRJ04'!$I59,'BD_LeiturasHidrômetro_PRJ04'!$G59&amp;'BD_LeiturasHidrômetro_PRJ04'!$H59)</f>
        <v>000000</v>
      </c>
      <c r="K59" s="36" t="str">
        <f t="shared" si="1"/>
        <v>000000</v>
      </c>
      <c r="L59" s="15"/>
      <c r="M59" s="15"/>
      <c r="N59" s="17">
        <f t="shared" si="2"/>
        <v>0</v>
      </c>
      <c r="O59" s="15" t="s">
        <v>263</v>
      </c>
      <c r="R59" s="18"/>
      <c r="S59" s="19"/>
    </row>
    <row r="60" ht="15.75" customHeight="1">
      <c r="A60" s="10">
        <v>90.0</v>
      </c>
      <c r="B60" s="11" t="s">
        <v>98</v>
      </c>
      <c r="C60" s="12">
        <v>23.0</v>
      </c>
      <c r="D60" s="10" t="s">
        <v>76</v>
      </c>
      <c r="E60" s="10">
        <v>2025.0</v>
      </c>
      <c r="F60" s="10" t="s">
        <v>32</v>
      </c>
      <c r="G60" s="35"/>
      <c r="H60" s="35"/>
      <c r="I60" s="36" t="str">
        <f>IFERROR(_xlfn.FORECAST.LINEAR('BD_LeiturasHidrômetro_PRJ04'!$A60,G:G,A:A),"000000")</f>
        <v>000000</v>
      </c>
      <c r="J60" s="36" t="str">
        <f>IF('BD_LeiturasHidrômetro_PRJ04'!$G60&amp;'BD_LeiturasHidrômetro_PRJ04'!$H60="",'BD_LeiturasHidrômetro_PRJ04'!$I60,'BD_LeiturasHidrômetro_PRJ04'!$G60&amp;'BD_LeiturasHidrômetro_PRJ04'!$H60)</f>
        <v>000000</v>
      </c>
      <c r="K60" s="36" t="str">
        <f t="shared" si="1"/>
        <v>000000</v>
      </c>
      <c r="L60" s="15"/>
      <c r="M60" s="15"/>
      <c r="N60" s="17">
        <f t="shared" si="2"/>
        <v>0</v>
      </c>
      <c r="O60" s="15" t="s">
        <v>263</v>
      </c>
      <c r="R60" s="18"/>
      <c r="S60" s="19"/>
    </row>
    <row r="61" ht="15.75" customHeight="1">
      <c r="A61" s="10">
        <v>91.0</v>
      </c>
      <c r="B61" s="11" t="s">
        <v>99</v>
      </c>
      <c r="C61" s="12">
        <v>24.0</v>
      </c>
      <c r="D61" s="10" t="s">
        <v>76</v>
      </c>
      <c r="E61" s="10">
        <v>2025.0</v>
      </c>
      <c r="F61" s="10" t="s">
        <v>34</v>
      </c>
      <c r="G61" s="35"/>
      <c r="H61" s="35"/>
      <c r="I61" s="36" t="str">
        <f>IFERROR(_xlfn.FORECAST.LINEAR('BD_LeiturasHidrômetro_PRJ04'!$A61,G:G,A:A),"000000")</f>
        <v>000000</v>
      </c>
      <c r="J61" s="36" t="str">
        <f>IF('BD_LeiturasHidrômetro_PRJ04'!$G61&amp;'BD_LeiturasHidrômetro_PRJ04'!$H61="",'BD_LeiturasHidrômetro_PRJ04'!$I61,'BD_LeiturasHidrômetro_PRJ04'!$G61&amp;'BD_LeiturasHidrômetro_PRJ04'!$H61)</f>
        <v>000000</v>
      </c>
      <c r="K61" s="36" t="str">
        <f t="shared" si="1"/>
        <v>000000</v>
      </c>
      <c r="L61" s="15"/>
      <c r="M61" s="15"/>
      <c r="N61" s="17">
        <f t="shared" si="2"/>
        <v>0</v>
      </c>
      <c r="O61" s="15" t="s">
        <v>263</v>
      </c>
      <c r="R61" s="18"/>
      <c r="S61" s="19"/>
    </row>
    <row r="62" ht="15.75" customHeight="1">
      <c r="A62" s="10">
        <v>92.0</v>
      </c>
      <c r="B62" s="11" t="s">
        <v>100</v>
      </c>
      <c r="C62" s="12">
        <v>25.0</v>
      </c>
      <c r="D62" s="10" t="s">
        <v>76</v>
      </c>
      <c r="E62" s="10">
        <v>2025.0</v>
      </c>
      <c r="F62" s="10" t="s">
        <v>19</v>
      </c>
      <c r="G62" s="35"/>
      <c r="H62" s="35"/>
      <c r="I62" s="36" t="str">
        <f>IFERROR(_xlfn.FORECAST.LINEAR('BD_LeiturasHidrômetro_PRJ04'!$A62,G:G,A:A),"000000")</f>
        <v>000000</v>
      </c>
      <c r="J62" s="36" t="str">
        <f>IF('BD_LeiturasHidrômetro_PRJ04'!$G62&amp;'BD_LeiturasHidrômetro_PRJ04'!$H62="",'BD_LeiturasHidrômetro_PRJ04'!$I62,'BD_LeiturasHidrômetro_PRJ04'!$G62&amp;'BD_LeiturasHidrômetro_PRJ04'!$H62)</f>
        <v>000000</v>
      </c>
      <c r="K62" s="36" t="str">
        <f t="shared" si="1"/>
        <v>000000</v>
      </c>
      <c r="L62" s="15"/>
      <c r="M62" s="15"/>
      <c r="N62" s="17">
        <f t="shared" si="2"/>
        <v>0</v>
      </c>
      <c r="O62" s="15" t="s">
        <v>263</v>
      </c>
      <c r="R62" s="18"/>
      <c r="S62" s="19"/>
    </row>
    <row r="63" ht="15.75" customHeight="1">
      <c r="A63" s="10">
        <v>93.0</v>
      </c>
      <c r="B63" s="11" t="s">
        <v>101</v>
      </c>
      <c r="C63" s="12">
        <v>26.0</v>
      </c>
      <c r="D63" s="10" t="s">
        <v>76</v>
      </c>
      <c r="E63" s="10">
        <v>2025.0</v>
      </c>
      <c r="F63" s="10" t="s">
        <v>23</v>
      </c>
      <c r="G63" s="35"/>
      <c r="H63" s="35"/>
      <c r="I63" s="36" t="str">
        <f>IFERROR(_xlfn.FORECAST.LINEAR('BD_LeiturasHidrômetro_PRJ04'!$A63,G:G,A:A),"000000")</f>
        <v>000000</v>
      </c>
      <c r="J63" s="36" t="str">
        <f>IF('BD_LeiturasHidrômetro_PRJ04'!$G63&amp;'BD_LeiturasHidrômetro_PRJ04'!$H63="",'BD_LeiturasHidrômetro_PRJ04'!$I63,'BD_LeiturasHidrômetro_PRJ04'!$G63&amp;'BD_LeiturasHidrômetro_PRJ04'!$H63)</f>
        <v>000000</v>
      </c>
      <c r="K63" s="36" t="str">
        <f t="shared" si="1"/>
        <v>000000</v>
      </c>
      <c r="L63" s="15"/>
      <c r="M63" s="15"/>
      <c r="N63" s="17">
        <f t="shared" si="2"/>
        <v>0</v>
      </c>
      <c r="O63" s="15" t="s">
        <v>263</v>
      </c>
      <c r="R63" s="18"/>
      <c r="S63" s="19"/>
    </row>
    <row r="64" ht="15.75" customHeight="1">
      <c r="A64" s="10">
        <v>94.0</v>
      </c>
      <c r="B64" s="11" t="s">
        <v>102</v>
      </c>
      <c r="C64" s="12">
        <v>27.0</v>
      </c>
      <c r="D64" s="10" t="s">
        <v>76</v>
      </c>
      <c r="E64" s="10">
        <v>2025.0</v>
      </c>
      <c r="F64" s="10" t="s">
        <v>26</v>
      </c>
      <c r="G64" s="35"/>
      <c r="H64" s="35"/>
      <c r="I64" s="36" t="str">
        <f>IFERROR(_xlfn.FORECAST.LINEAR('BD_LeiturasHidrômetro_PRJ04'!$A64,G:G,A:A),"000000")</f>
        <v>000000</v>
      </c>
      <c r="J64" s="36" t="str">
        <f>IF('BD_LeiturasHidrômetro_PRJ04'!$G64&amp;'BD_LeiturasHidrômetro_PRJ04'!$H64="",'BD_LeiturasHidrômetro_PRJ04'!$I64,'BD_LeiturasHidrômetro_PRJ04'!$G64&amp;'BD_LeiturasHidrômetro_PRJ04'!$H64)</f>
        <v>000000</v>
      </c>
      <c r="K64" s="36" t="str">
        <f t="shared" si="1"/>
        <v>000000</v>
      </c>
      <c r="L64" s="15"/>
      <c r="M64" s="15"/>
      <c r="N64" s="17">
        <f t="shared" si="2"/>
        <v>0</v>
      </c>
      <c r="O64" s="15" t="s">
        <v>263</v>
      </c>
      <c r="R64" s="18"/>
      <c r="S64" s="19"/>
    </row>
    <row r="65" ht="15.75" customHeight="1">
      <c r="A65" s="10">
        <v>95.0</v>
      </c>
      <c r="B65" s="11" t="s">
        <v>103</v>
      </c>
      <c r="C65" s="12">
        <v>28.0</v>
      </c>
      <c r="D65" s="10" t="s">
        <v>76</v>
      </c>
      <c r="E65" s="10">
        <v>2025.0</v>
      </c>
      <c r="F65" s="10" t="s">
        <v>28</v>
      </c>
      <c r="G65" s="35"/>
      <c r="H65" s="35"/>
      <c r="I65" s="36" t="str">
        <f>IFERROR(_xlfn.FORECAST.LINEAR('BD_LeiturasHidrômetro_PRJ04'!$A65,G:G,A:A),"000000")</f>
        <v>000000</v>
      </c>
      <c r="J65" s="36" t="str">
        <f>IF('BD_LeiturasHidrômetro_PRJ04'!$G65&amp;'BD_LeiturasHidrômetro_PRJ04'!$H65="",'BD_LeiturasHidrômetro_PRJ04'!$I65,'BD_LeiturasHidrômetro_PRJ04'!$G65&amp;'BD_LeiturasHidrômetro_PRJ04'!$H65)</f>
        <v>000000</v>
      </c>
      <c r="K65" s="36" t="str">
        <f t="shared" si="1"/>
        <v>000000</v>
      </c>
      <c r="L65" s="15"/>
      <c r="M65" s="15"/>
      <c r="N65" s="17">
        <f t="shared" si="2"/>
        <v>0</v>
      </c>
      <c r="O65" s="15" t="s">
        <v>263</v>
      </c>
      <c r="R65" s="18"/>
      <c r="S65" s="19"/>
    </row>
    <row r="66" ht="15.75" customHeight="1">
      <c r="A66" s="10">
        <v>96.0</v>
      </c>
      <c r="B66" s="11" t="s">
        <v>104</v>
      </c>
      <c r="C66" s="12">
        <v>29.0</v>
      </c>
      <c r="D66" s="10" t="s">
        <v>76</v>
      </c>
      <c r="E66" s="10">
        <v>2025.0</v>
      </c>
      <c r="F66" s="10" t="s">
        <v>30</v>
      </c>
      <c r="G66" s="35"/>
      <c r="H66" s="35"/>
      <c r="I66" s="36" t="str">
        <f>IFERROR(_xlfn.FORECAST.LINEAR('BD_LeiturasHidrômetro_PRJ04'!$A66,G:G,A:A),"000000")</f>
        <v>000000</v>
      </c>
      <c r="J66" s="36" t="str">
        <f>IF('BD_LeiturasHidrômetro_PRJ04'!$G66&amp;'BD_LeiturasHidrômetro_PRJ04'!$H66="",'BD_LeiturasHidrômetro_PRJ04'!$I66,'BD_LeiturasHidrômetro_PRJ04'!$G66&amp;'BD_LeiturasHidrômetro_PRJ04'!$H66)</f>
        <v>000000</v>
      </c>
      <c r="K66" s="36" t="str">
        <f t="shared" si="1"/>
        <v>000000</v>
      </c>
      <c r="L66" s="15"/>
      <c r="M66" s="15"/>
      <c r="N66" s="17">
        <f t="shared" si="2"/>
        <v>0</v>
      </c>
      <c r="O66" s="15" t="s">
        <v>263</v>
      </c>
      <c r="R66" s="18"/>
      <c r="S66" s="19"/>
    </row>
    <row r="67" ht="15.75" customHeight="1">
      <c r="A67" s="10">
        <v>97.0</v>
      </c>
      <c r="B67" s="11" t="s">
        <v>105</v>
      </c>
      <c r="C67" s="12">
        <v>30.0</v>
      </c>
      <c r="D67" s="10" t="s">
        <v>76</v>
      </c>
      <c r="E67" s="10">
        <v>2025.0</v>
      </c>
      <c r="F67" s="10" t="s">
        <v>32</v>
      </c>
      <c r="G67" s="35"/>
      <c r="H67" s="35"/>
      <c r="I67" s="36" t="str">
        <f>IFERROR(_xlfn.FORECAST.LINEAR('BD_LeiturasHidrômetro_PRJ04'!$A67,G:G,A:A),"000000")</f>
        <v>000000</v>
      </c>
      <c r="J67" s="36" t="str">
        <f>IF('BD_LeiturasHidrômetro_PRJ04'!$G67&amp;'BD_LeiturasHidrômetro_PRJ04'!$H67="",'BD_LeiturasHidrômetro_PRJ04'!$I67,'BD_LeiturasHidrômetro_PRJ04'!$G67&amp;'BD_LeiturasHidrômetro_PRJ04'!$H67)</f>
        <v>000000</v>
      </c>
      <c r="K67" s="36" t="str">
        <f t="shared" si="1"/>
        <v>000000</v>
      </c>
      <c r="L67" s="15"/>
      <c r="M67" s="15"/>
      <c r="N67" s="17">
        <f t="shared" si="2"/>
        <v>0</v>
      </c>
      <c r="O67" s="15" t="s">
        <v>263</v>
      </c>
      <c r="R67" s="18"/>
      <c r="S67" s="19"/>
    </row>
    <row r="68" ht="15.75" customHeight="1">
      <c r="A68" s="10">
        <v>98.0</v>
      </c>
      <c r="B68" s="11" t="s">
        <v>106</v>
      </c>
      <c r="C68" s="12">
        <v>31.0</v>
      </c>
      <c r="D68" s="10" t="s">
        <v>76</v>
      </c>
      <c r="E68" s="10">
        <v>2025.0</v>
      </c>
      <c r="F68" s="10" t="s">
        <v>34</v>
      </c>
      <c r="G68" s="35"/>
      <c r="H68" s="35"/>
      <c r="I68" s="36" t="str">
        <f>IFERROR(_xlfn.FORECAST.LINEAR('BD_LeiturasHidrômetro_PRJ04'!$A68,G:G,A:A),"000000")</f>
        <v>000000</v>
      </c>
      <c r="J68" s="36" t="str">
        <f>IF('BD_LeiturasHidrômetro_PRJ04'!$G68&amp;'BD_LeiturasHidrômetro_PRJ04'!$H68="",'BD_LeiturasHidrômetro_PRJ04'!$I68,'BD_LeiturasHidrômetro_PRJ04'!$G68&amp;'BD_LeiturasHidrômetro_PRJ04'!$H68)</f>
        <v>000000</v>
      </c>
      <c r="K68" s="36" t="str">
        <f t="shared" si="1"/>
        <v>000000</v>
      </c>
      <c r="L68" s="15"/>
      <c r="M68" s="15"/>
      <c r="N68" s="17">
        <f t="shared" si="2"/>
        <v>0</v>
      </c>
      <c r="O68" s="15" t="s">
        <v>263</v>
      </c>
      <c r="R68" s="18"/>
      <c r="S68" s="19"/>
    </row>
    <row r="69" ht="15.75" customHeight="1">
      <c r="A69" s="10">
        <v>99.0</v>
      </c>
      <c r="B69" s="11" t="s">
        <v>107</v>
      </c>
      <c r="C69" s="12">
        <v>1.0</v>
      </c>
      <c r="D69" s="10" t="s">
        <v>108</v>
      </c>
      <c r="E69" s="10">
        <v>2025.0</v>
      </c>
      <c r="F69" s="10" t="s">
        <v>19</v>
      </c>
      <c r="G69" s="35"/>
      <c r="H69" s="35"/>
      <c r="I69" s="36" t="str">
        <f>IFERROR(_xlfn.FORECAST.LINEAR('BD_LeiturasHidrômetro_PRJ04'!$A69,G:G,A:A),"000000")</f>
        <v>000000</v>
      </c>
      <c r="J69" s="36" t="str">
        <f>IF('BD_LeiturasHidrômetro_PRJ04'!$G69&amp;'BD_LeiturasHidrômetro_PRJ04'!$H69="",'BD_LeiturasHidrômetro_PRJ04'!$I69,'BD_LeiturasHidrômetro_PRJ04'!$G69&amp;'BD_LeiturasHidrômetro_PRJ04'!$H69)</f>
        <v>000000</v>
      </c>
      <c r="K69" s="36" t="str">
        <f t="shared" si="1"/>
        <v>000000</v>
      </c>
      <c r="L69" s="15"/>
      <c r="M69" s="15"/>
      <c r="N69" s="17">
        <f t="shared" si="2"/>
        <v>0</v>
      </c>
      <c r="O69" s="15" t="s">
        <v>263</v>
      </c>
      <c r="R69" s="18"/>
      <c r="S69" s="19"/>
    </row>
    <row r="70" ht="15.75" customHeight="1">
      <c r="A70" s="10">
        <v>100.0</v>
      </c>
      <c r="B70" s="11" t="s">
        <v>109</v>
      </c>
      <c r="C70" s="12">
        <v>2.0</v>
      </c>
      <c r="D70" s="10" t="s">
        <v>108</v>
      </c>
      <c r="E70" s="10">
        <v>2025.0</v>
      </c>
      <c r="F70" s="10" t="s">
        <v>23</v>
      </c>
      <c r="G70" s="35"/>
      <c r="H70" s="35"/>
      <c r="I70" s="36" t="str">
        <f>IFERROR(_xlfn.FORECAST.LINEAR('BD_LeiturasHidrômetro_PRJ04'!$A70,G:G,A:A),"000000")</f>
        <v>000000</v>
      </c>
      <c r="J70" s="36" t="str">
        <f>IF('BD_LeiturasHidrômetro_PRJ04'!$G70&amp;'BD_LeiturasHidrômetro_PRJ04'!$H70="",'BD_LeiturasHidrômetro_PRJ04'!$I70,'BD_LeiturasHidrômetro_PRJ04'!$G70&amp;'BD_LeiturasHidrômetro_PRJ04'!$H70)</f>
        <v>000000</v>
      </c>
      <c r="K70" s="36" t="str">
        <f t="shared" si="1"/>
        <v>000000</v>
      </c>
      <c r="L70" s="15"/>
      <c r="M70" s="15"/>
      <c r="N70" s="17">
        <f t="shared" si="2"/>
        <v>0</v>
      </c>
      <c r="O70" s="15" t="s">
        <v>263</v>
      </c>
      <c r="R70" s="18"/>
      <c r="S70" s="19"/>
    </row>
    <row r="71" ht="15.75" customHeight="1">
      <c r="A71" s="10">
        <v>101.0</v>
      </c>
      <c r="B71" s="11" t="s">
        <v>110</v>
      </c>
      <c r="C71" s="12">
        <v>3.0</v>
      </c>
      <c r="D71" s="10" t="s">
        <v>108</v>
      </c>
      <c r="E71" s="10">
        <v>2025.0</v>
      </c>
      <c r="F71" s="10" t="s">
        <v>26</v>
      </c>
      <c r="G71" s="35"/>
      <c r="H71" s="35"/>
      <c r="I71" s="36" t="str">
        <f>IFERROR(_xlfn.FORECAST.LINEAR('BD_LeiturasHidrômetro_PRJ04'!$A71,G:G,A:A),"000000")</f>
        <v>000000</v>
      </c>
      <c r="J71" s="36" t="str">
        <f>IF('BD_LeiturasHidrômetro_PRJ04'!$G71&amp;'BD_LeiturasHidrômetro_PRJ04'!$H71="",'BD_LeiturasHidrômetro_PRJ04'!$I71,'BD_LeiturasHidrômetro_PRJ04'!$G71&amp;'BD_LeiturasHidrômetro_PRJ04'!$H71)</f>
        <v>000000</v>
      </c>
      <c r="K71" s="36" t="str">
        <f t="shared" si="1"/>
        <v>000000</v>
      </c>
      <c r="L71" s="15"/>
      <c r="M71" s="15"/>
      <c r="N71" s="17">
        <f t="shared" si="2"/>
        <v>0</v>
      </c>
      <c r="O71" s="15" t="s">
        <v>263</v>
      </c>
      <c r="R71" s="18"/>
      <c r="S71" s="19"/>
    </row>
    <row r="72" ht="15.75" customHeight="1">
      <c r="A72" s="10">
        <v>102.0</v>
      </c>
      <c r="B72" s="11" t="s">
        <v>111</v>
      </c>
      <c r="C72" s="12">
        <v>4.0</v>
      </c>
      <c r="D72" s="10" t="s">
        <v>108</v>
      </c>
      <c r="E72" s="10">
        <v>2025.0</v>
      </c>
      <c r="F72" s="10" t="s">
        <v>28</v>
      </c>
      <c r="G72" s="35"/>
      <c r="H72" s="35"/>
      <c r="I72" s="36" t="str">
        <f>IFERROR(_xlfn.FORECAST.LINEAR('BD_LeiturasHidrômetro_PRJ04'!$A72,G:G,A:A),"000000")</f>
        <v>000000</v>
      </c>
      <c r="J72" s="36" t="str">
        <f>IF('BD_LeiturasHidrômetro_PRJ04'!$G72&amp;'BD_LeiturasHidrômetro_PRJ04'!$H72="",'BD_LeiturasHidrômetro_PRJ04'!$I72,'BD_LeiturasHidrômetro_PRJ04'!$G72&amp;'BD_LeiturasHidrômetro_PRJ04'!$H72)</f>
        <v>000000</v>
      </c>
      <c r="K72" s="36" t="str">
        <f t="shared" si="1"/>
        <v>000000</v>
      </c>
      <c r="L72" s="15"/>
      <c r="M72" s="15"/>
      <c r="N72" s="17">
        <f t="shared" si="2"/>
        <v>0</v>
      </c>
      <c r="O72" s="15" t="s">
        <v>263</v>
      </c>
      <c r="R72" s="18"/>
      <c r="S72" s="19"/>
    </row>
    <row r="73" ht="15.75" customHeight="1">
      <c r="A73" s="10">
        <v>103.0</v>
      </c>
      <c r="B73" s="11" t="s">
        <v>112</v>
      </c>
      <c r="C73" s="12">
        <v>5.0</v>
      </c>
      <c r="D73" s="10" t="s">
        <v>108</v>
      </c>
      <c r="E73" s="10">
        <v>2025.0</v>
      </c>
      <c r="F73" s="10" t="s">
        <v>30</v>
      </c>
      <c r="G73" s="35"/>
      <c r="H73" s="35"/>
      <c r="I73" s="36" t="str">
        <f>IFERROR(_xlfn.FORECAST.LINEAR('BD_LeiturasHidrômetro_PRJ04'!$A73,G:G,A:A),"000000")</f>
        <v>000000</v>
      </c>
      <c r="J73" s="36" t="str">
        <f>IF('BD_LeiturasHidrômetro_PRJ04'!$G73&amp;'BD_LeiturasHidrômetro_PRJ04'!$H73="",'BD_LeiturasHidrômetro_PRJ04'!$I73,'BD_LeiturasHidrômetro_PRJ04'!$G73&amp;'BD_LeiturasHidrômetro_PRJ04'!$H73)</f>
        <v>000000</v>
      </c>
      <c r="K73" s="36" t="str">
        <f t="shared" si="1"/>
        <v>000000</v>
      </c>
      <c r="L73" s="15"/>
      <c r="M73" s="15"/>
      <c r="N73" s="17">
        <f t="shared" si="2"/>
        <v>0</v>
      </c>
      <c r="O73" s="15" t="s">
        <v>263</v>
      </c>
      <c r="R73" s="18"/>
      <c r="S73" s="19"/>
    </row>
    <row r="74" ht="15.75" customHeight="1">
      <c r="A74" s="10">
        <v>104.0</v>
      </c>
      <c r="B74" s="11" t="s">
        <v>113</v>
      </c>
      <c r="C74" s="12">
        <v>6.0</v>
      </c>
      <c r="D74" s="10" t="s">
        <v>108</v>
      </c>
      <c r="E74" s="10">
        <v>2025.0</v>
      </c>
      <c r="F74" s="10" t="s">
        <v>32</v>
      </c>
      <c r="G74" s="35"/>
      <c r="H74" s="35"/>
      <c r="I74" s="36" t="str">
        <f>IFERROR(_xlfn.FORECAST.LINEAR('BD_LeiturasHidrômetro_PRJ04'!$A74,G:G,A:A),"000000")</f>
        <v>000000</v>
      </c>
      <c r="J74" s="36" t="str">
        <f>IF('BD_LeiturasHidrômetro_PRJ04'!$G74&amp;'BD_LeiturasHidrômetro_PRJ04'!$H74="",'BD_LeiturasHidrômetro_PRJ04'!$I74,'BD_LeiturasHidrômetro_PRJ04'!$G74&amp;'BD_LeiturasHidrômetro_PRJ04'!$H74)</f>
        <v>000000</v>
      </c>
      <c r="K74" s="36" t="str">
        <f t="shared" si="1"/>
        <v>000000</v>
      </c>
      <c r="L74" s="15"/>
      <c r="M74" s="15"/>
      <c r="N74" s="17">
        <f t="shared" si="2"/>
        <v>0</v>
      </c>
      <c r="O74" s="15" t="s">
        <v>263</v>
      </c>
      <c r="R74" s="18"/>
      <c r="S74" s="19"/>
    </row>
    <row r="75" ht="15.75" customHeight="1">
      <c r="A75" s="10">
        <v>105.0</v>
      </c>
      <c r="B75" s="11" t="s">
        <v>114</v>
      </c>
      <c r="C75" s="12">
        <v>7.0</v>
      </c>
      <c r="D75" s="10" t="s">
        <v>108</v>
      </c>
      <c r="E75" s="10">
        <v>2025.0</v>
      </c>
      <c r="F75" s="10" t="s">
        <v>34</v>
      </c>
      <c r="G75" s="35"/>
      <c r="H75" s="35"/>
      <c r="I75" s="36" t="str">
        <f>IFERROR(_xlfn.FORECAST.LINEAR('BD_LeiturasHidrômetro_PRJ04'!$A75,G:G,A:A),"000000")</f>
        <v>000000</v>
      </c>
      <c r="J75" s="36" t="str">
        <f>IF('BD_LeiturasHidrômetro_PRJ04'!$G75&amp;'BD_LeiturasHidrômetro_PRJ04'!$H75="",'BD_LeiturasHidrômetro_PRJ04'!$I75,'BD_LeiturasHidrômetro_PRJ04'!$G75&amp;'BD_LeiturasHidrômetro_PRJ04'!$H75)</f>
        <v>000000</v>
      </c>
      <c r="K75" s="36" t="str">
        <f t="shared" si="1"/>
        <v>000000</v>
      </c>
      <c r="L75" s="15"/>
      <c r="M75" s="15"/>
      <c r="N75" s="17">
        <f t="shared" si="2"/>
        <v>0</v>
      </c>
      <c r="O75" s="15" t="s">
        <v>263</v>
      </c>
      <c r="R75" s="18"/>
      <c r="S75" s="19"/>
    </row>
    <row r="76" ht="15.75" customHeight="1">
      <c r="A76" s="10">
        <v>106.0</v>
      </c>
      <c r="B76" s="11" t="s">
        <v>115</v>
      </c>
      <c r="C76" s="12">
        <v>8.0</v>
      </c>
      <c r="D76" s="10" t="s">
        <v>108</v>
      </c>
      <c r="E76" s="10">
        <v>2025.0</v>
      </c>
      <c r="F76" s="10" t="s">
        <v>19</v>
      </c>
      <c r="G76" s="35"/>
      <c r="H76" s="35"/>
      <c r="I76" s="36" t="str">
        <f>IFERROR(_xlfn.FORECAST.LINEAR('BD_LeiturasHidrômetro_PRJ04'!$A76,G:G,A:A),"000000")</f>
        <v>000000</v>
      </c>
      <c r="J76" s="36" t="str">
        <f>IF('BD_LeiturasHidrômetro_PRJ04'!$G76&amp;'BD_LeiturasHidrômetro_PRJ04'!$H76="",'BD_LeiturasHidrômetro_PRJ04'!$I76,'BD_LeiturasHidrômetro_PRJ04'!$G76&amp;'BD_LeiturasHidrômetro_PRJ04'!$H76)</f>
        <v>000000</v>
      </c>
      <c r="K76" s="36" t="str">
        <f t="shared" si="1"/>
        <v>000000</v>
      </c>
      <c r="L76" s="15"/>
      <c r="M76" s="15"/>
      <c r="N76" s="17">
        <f t="shared" si="2"/>
        <v>0</v>
      </c>
      <c r="O76" s="15" t="s">
        <v>263</v>
      </c>
      <c r="R76" s="18"/>
      <c r="S76" s="19"/>
    </row>
    <row r="77" ht="15.75" customHeight="1">
      <c r="A77" s="10">
        <v>107.0</v>
      </c>
      <c r="B77" s="11" t="s">
        <v>116</v>
      </c>
      <c r="C77" s="12">
        <v>9.0</v>
      </c>
      <c r="D77" s="10" t="s">
        <v>108</v>
      </c>
      <c r="E77" s="10">
        <v>2025.0</v>
      </c>
      <c r="F77" s="10" t="s">
        <v>23</v>
      </c>
      <c r="G77" s="35"/>
      <c r="H77" s="35"/>
      <c r="I77" s="36" t="str">
        <f>IFERROR(_xlfn.FORECAST.LINEAR('BD_LeiturasHidrômetro_PRJ04'!$A77,G:G,A:A),"000000")</f>
        <v>000000</v>
      </c>
      <c r="J77" s="36" t="str">
        <f>IF('BD_LeiturasHidrômetro_PRJ04'!$G77&amp;'BD_LeiturasHidrômetro_PRJ04'!$H77="",'BD_LeiturasHidrômetro_PRJ04'!$I77,'BD_LeiturasHidrômetro_PRJ04'!$G77&amp;'BD_LeiturasHidrômetro_PRJ04'!$H77)</f>
        <v>000000</v>
      </c>
      <c r="K77" s="36" t="str">
        <f t="shared" si="1"/>
        <v>000000</v>
      </c>
      <c r="L77" s="15"/>
      <c r="M77" s="15"/>
      <c r="N77" s="17">
        <f t="shared" si="2"/>
        <v>0</v>
      </c>
      <c r="O77" s="15" t="s">
        <v>263</v>
      </c>
      <c r="R77" s="18"/>
      <c r="S77" s="19"/>
    </row>
    <row r="78" ht="15.75" customHeight="1">
      <c r="A78" s="10">
        <v>108.0</v>
      </c>
      <c r="B78" s="11" t="s">
        <v>117</v>
      </c>
      <c r="C78" s="12">
        <v>10.0</v>
      </c>
      <c r="D78" s="10" t="s">
        <v>108</v>
      </c>
      <c r="E78" s="10">
        <v>2025.0</v>
      </c>
      <c r="F78" s="10" t="s">
        <v>26</v>
      </c>
      <c r="G78" s="35"/>
      <c r="H78" s="35"/>
      <c r="I78" s="36" t="str">
        <f>IFERROR(_xlfn.FORECAST.LINEAR('BD_LeiturasHidrômetro_PRJ04'!$A78,G:G,A:A),"000000")</f>
        <v>000000</v>
      </c>
      <c r="J78" s="36" t="str">
        <f>IF('BD_LeiturasHidrômetro_PRJ04'!$G78&amp;'BD_LeiturasHidrômetro_PRJ04'!$H78="",'BD_LeiturasHidrômetro_PRJ04'!$I78,'BD_LeiturasHidrômetro_PRJ04'!$G78&amp;'BD_LeiturasHidrômetro_PRJ04'!$H78)</f>
        <v>000000</v>
      </c>
      <c r="K78" s="36" t="str">
        <f t="shared" si="1"/>
        <v>000000</v>
      </c>
      <c r="L78" s="15"/>
      <c r="M78" s="15"/>
      <c r="N78" s="17">
        <f t="shared" si="2"/>
        <v>0</v>
      </c>
      <c r="O78" s="15" t="s">
        <v>263</v>
      </c>
      <c r="R78" s="18"/>
      <c r="S78" s="19"/>
    </row>
    <row r="79" ht="15.75" customHeight="1">
      <c r="A79" s="10">
        <v>109.0</v>
      </c>
      <c r="B79" s="11" t="s">
        <v>118</v>
      </c>
      <c r="C79" s="12">
        <v>11.0</v>
      </c>
      <c r="D79" s="10" t="s">
        <v>108</v>
      </c>
      <c r="E79" s="10">
        <v>2025.0</v>
      </c>
      <c r="F79" s="10" t="s">
        <v>28</v>
      </c>
      <c r="G79" s="35"/>
      <c r="H79" s="35"/>
      <c r="I79" s="36" t="str">
        <f>IFERROR(_xlfn.FORECAST.LINEAR('BD_LeiturasHidrômetro_PRJ04'!$A79,G:G,A:A),"000000")</f>
        <v>000000</v>
      </c>
      <c r="J79" s="36" t="str">
        <f>IF('BD_LeiturasHidrômetro_PRJ04'!$G79&amp;'BD_LeiturasHidrômetro_PRJ04'!$H79="",'BD_LeiturasHidrômetro_PRJ04'!$I79,'BD_LeiturasHidrômetro_PRJ04'!$G79&amp;'BD_LeiturasHidrômetro_PRJ04'!$H79)</f>
        <v>000000</v>
      </c>
      <c r="K79" s="36" t="str">
        <f t="shared" si="1"/>
        <v>000000</v>
      </c>
      <c r="L79" s="15"/>
      <c r="M79" s="15"/>
      <c r="N79" s="17">
        <f t="shared" si="2"/>
        <v>0</v>
      </c>
      <c r="O79" s="15" t="s">
        <v>263</v>
      </c>
      <c r="R79" s="18"/>
      <c r="S79" s="19"/>
    </row>
    <row r="80" ht="15.75" customHeight="1">
      <c r="A80" s="10">
        <v>110.0</v>
      </c>
      <c r="B80" s="11" t="s">
        <v>119</v>
      </c>
      <c r="C80" s="12">
        <v>12.0</v>
      </c>
      <c r="D80" s="10" t="s">
        <v>108</v>
      </c>
      <c r="E80" s="10">
        <v>2025.0</v>
      </c>
      <c r="F80" s="10" t="s">
        <v>30</v>
      </c>
      <c r="G80" s="35"/>
      <c r="H80" s="35"/>
      <c r="I80" s="36" t="str">
        <f>IFERROR(_xlfn.FORECAST.LINEAR('BD_LeiturasHidrômetro_PRJ04'!$A80,G:G,A:A),"000000")</f>
        <v>000000</v>
      </c>
      <c r="J80" s="36" t="str">
        <f>IF('BD_LeiturasHidrômetro_PRJ04'!$G80&amp;'BD_LeiturasHidrômetro_PRJ04'!$H80="",'BD_LeiturasHidrômetro_PRJ04'!$I80,'BD_LeiturasHidrômetro_PRJ04'!$G80&amp;'BD_LeiturasHidrômetro_PRJ04'!$H80)</f>
        <v>000000</v>
      </c>
      <c r="K80" s="36" t="str">
        <f t="shared" si="1"/>
        <v>000000</v>
      </c>
      <c r="L80" s="15"/>
      <c r="M80" s="15"/>
      <c r="N80" s="17">
        <f t="shared" si="2"/>
        <v>0</v>
      </c>
      <c r="O80" s="15" t="s">
        <v>263</v>
      </c>
      <c r="R80" s="18"/>
      <c r="S80" s="19"/>
    </row>
    <row r="81" ht="15.75" customHeight="1">
      <c r="A81" s="10">
        <v>111.0</v>
      </c>
      <c r="B81" s="11" t="s">
        <v>120</v>
      </c>
      <c r="C81" s="12">
        <v>13.0</v>
      </c>
      <c r="D81" s="10" t="s">
        <v>108</v>
      </c>
      <c r="E81" s="10">
        <v>2025.0</v>
      </c>
      <c r="F81" s="10" t="s">
        <v>32</v>
      </c>
      <c r="G81" s="35"/>
      <c r="H81" s="35"/>
      <c r="I81" s="36" t="str">
        <f>IFERROR(_xlfn.FORECAST.LINEAR('BD_LeiturasHidrômetro_PRJ04'!$A81,G:G,A:A),"000000")</f>
        <v>000000</v>
      </c>
      <c r="J81" s="36" t="str">
        <f>IF('BD_LeiturasHidrômetro_PRJ04'!$G81&amp;'BD_LeiturasHidrômetro_PRJ04'!$H81="",'BD_LeiturasHidrômetro_PRJ04'!$I81,'BD_LeiturasHidrômetro_PRJ04'!$G81&amp;'BD_LeiturasHidrômetro_PRJ04'!$H81)</f>
        <v>000000</v>
      </c>
      <c r="K81" s="36" t="str">
        <f t="shared" si="1"/>
        <v>000000</v>
      </c>
      <c r="L81" s="15"/>
      <c r="M81" s="15"/>
      <c r="N81" s="17">
        <f t="shared" si="2"/>
        <v>0</v>
      </c>
      <c r="O81" s="15" t="s">
        <v>263</v>
      </c>
      <c r="R81" s="18"/>
      <c r="S81" s="19"/>
    </row>
    <row r="82" ht="15.75" customHeight="1">
      <c r="A82" s="10">
        <v>112.0</v>
      </c>
      <c r="B82" s="11" t="s">
        <v>121</v>
      </c>
      <c r="C82" s="12">
        <v>14.0</v>
      </c>
      <c r="D82" s="10" t="s">
        <v>108</v>
      </c>
      <c r="E82" s="10">
        <v>2025.0</v>
      </c>
      <c r="F82" s="10" t="s">
        <v>34</v>
      </c>
      <c r="G82" s="35"/>
      <c r="H82" s="35"/>
      <c r="I82" s="36" t="str">
        <f>IFERROR(_xlfn.FORECAST.LINEAR('BD_LeiturasHidrômetro_PRJ04'!$A82,G:G,A:A),"000000")</f>
        <v>000000</v>
      </c>
      <c r="J82" s="36" t="str">
        <f>IF('BD_LeiturasHidrômetro_PRJ04'!$G82&amp;'BD_LeiturasHidrômetro_PRJ04'!$H82="",'BD_LeiturasHidrômetro_PRJ04'!$I82,'BD_LeiturasHidrômetro_PRJ04'!$G82&amp;'BD_LeiturasHidrômetro_PRJ04'!$H82)</f>
        <v>000000</v>
      </c>
      <c r="K82" s="36" t="str">
        <f t="shared" si="1"/>
        <v>000000</v>
      </c>
      <c r="L82" s="15"/>
      <c r="M82" s="15"/>
      <c r="N82" s="17">
        <f t="shared" si="2"/>
        <v>0</v>
      </c>
      <c r="O82" s="15" t="s">
        <v>263</v>
      </c>
      <c r="R82" s="18"/>
      <c r="S82" s="19"/>
    </row>
    <row r="83" ht="15.75" customHeight="1">
      <c r="A83" s="10">
        <v>113.0</v>
      </c>
      <c r="B83" s="11" t="s">
        <v>122</v>
      </c>
      <c r="C83" s="12">
        <v>15.0</v>
      </c>
      <c r="D83" s="10" t="s">
        <v>108</v>
      </c>
      <c r="E83" s="10">
        <v>2025.0</v>
      </c>
      <c r="F83" s="10" t="s">
        <v>19</v>
      </c>
      <c r="G83" s="35"/>
      <c r="H83" s="35"/>
      <c r="I83" s="36" t="str">
        <f>IFERROR(_xlfn.FORECAST.LINEAR('BD_LeiturasHidrômetro_PRJ04'!$A83,G:G,A:A),"000000")</f>
        <v>000000</v>
      </c>
      <c r="J83" s="36" t="str">
        <f>IF('BD_LeiturasHidrômetro_PRJ04'!$G83&amp;'BD_LeiturasHidrômetro_PRJ04'!$H83="",'BD_LeiturasHidrômetro_PRJ04'!$I83,'BD_LeiturasHidrômetro_PRJ04'!$G83&amp;'BD_LeiturasHidrômetro_PRJ04'!$H83)</f>
        <v>000000</v>
      </c>
      <c r="K83" s="36" t="str">
        <f t="shared" si="1"/>
        <v>000000</v>
      </c>
      <c r="L83" s="15"/>
      <c r="M83" s="15"/>
      <c r="N83" s="17">
        <f t="shared" si="2"/>
        <v>0</v>
      </c>
      <c r="O83" s="15" t="s">
        <v>263</v>
      </c>
      <c r="R83" s="18"/>
      <c r="S83" s="19"/>
    </row>
    <row r="84" ht="15.75" customHeight="1">
      <c r="A84" s="10">
        <v>114.0</v>
      </c>
      <c r="B84" s="11" t="s">
        <v>123</v>
      </c>
      <c r="C84" s="12">
        <v>16.0</v>
      </c>
      <c r="D84" s="10" t="s">
        <v>108</v>
      </c>
      <c r="E84" s="10">
        <v>2025.0</v>
      </c>
      <c r="F84" s="10" t="s">
        <v>23</v>
      </c>
      <c r="G84" s="35"/>
      <c r="H84" s="35"/>
      <c r="I84" s="36" t="str">
        <f>IFERROR(_xlfn.FORECAST.LINEAR('BD_LeiturasHidrômetro_PRJ04'!$A84,G:G,A:A),"000000")</f>
        <v>000000</v>
      </c>
      <c r="J84" s="36" t="str">
        <f>IF('BD_LeiturasHidrômetro_PRJ04'!$G84&amp;'BD_LeiturasHidrômetro_PRJ04'!$H84="",'BD_LeiturasHidrômetro_PRJ04'!$I84,'BD_LeiturasHidrômetro_PRJ04'!$G84&amp;'BD_LeiturasHidrômetro_PRJ04'!$H84)</f>
        <v>000000</v>
      </c>
      <c r="K84" s="36" t="str">
        <f t="shared" si="1"/>
        <v>000000</v>
      </c>
      <c r="L84" s="15"/>
      <c r="M84" s="15"/>
      <c r="N84" s="17">
        <f t="shared" si="2"/>
        <v>0</v>
      </c>
      <c r="O84" s="15" t="s">
        <v>263</v>
      </c>
      <c r="R84" s="18"/>
      <c r="S84" s="19"/>
    </row>
    <row r="85" ht="15.75" customHeight="1">
      <c r="A85" s="10">
        <v>115.0</v>
      </c>
      <c r="B85" s="11" t="s">
        <v>124</v>
      </c>
      <c r="C85" s="12">
        <v>17.0</v>
      </c>
      <c r="D85" s="10" t="s">
        <v>108</v>
      </c>
      <c r="E85" s="10">
        <v>2025.0</v>
      </c>
      <c r="F85" s="10" t="s">
        <v>26</v>
      </c>
      <c r="G85" s="35"/>
      <c r="H85" s="35"/>
      <c r="I85" s="36" t="str">
        <f>IFERROR(_xlfn.FORECAST.LINEAR('BD_LeiturasHidrômetro_PRJ04'!$A85,G:G,A:A),"000000")</f>
        <v>000000</v>
      </c>
      <c r="J85" s="36" t="str">
        <f>IF('BD_LeiturasHidrômetro_PRJ04'!$G85&amp;'BD_LeiturasHidrômetro_PRJ04'!$H85="",'BD_LeiturasHidrômetro_PRJ04'!$I85,'BD_LeiturasHidrômetro_PRJ04'!$G85&amp;'BD_LeiturasHidrômetro_PRJ04'!$H85)</f>
        <v>000000</v>
      </c>
      <c r="K85" s="36" t="str">
        <f t="shared" si="1"/>
        <v>000000</v>
      </c>
      <c r="L85" s="15"/>
      <c r="M85" s="15"/>
      <c r="N85" s="17">
        <f t="shared" si="2"/>
        <v>0</v>
      </c>
      <c r="O85" s="15" t="s">
        <v>263</v>
      </c>
      <c r="R85" s="18"/>
      <c r="S85" s="19"/>
    </row>
    <row r="86" ht="15.75" customHeight="1">
      <c r="A86" s="10">
        <v>116.0</v>
      </c>
      <c r="B86" s="11" t="s">
        <v>125</v>
      </c>
      <c r="C86" s="12">
        <v>18.0</v>
      </c>
      <c r="D86" s="10" t="s">
        <v>108</v>
      </c>
      <c r="E86" s="10">
        <v>2025.0</v>
      </c>
      <c r="F86" s="10" t="s">
        <v>28</v>
      </c>
      <c r="G86" s="35"/>
      <c r="H86" s="35"/>
      <c r="I86" s="36" t="str">
        <f>IFERROR(_xlfn.FORECAST.LINEAR('BD_LeiturasHidrômetro_PRJ04'!$A86,G:G,A:A),"000000")</f>
        <v>000000</v>
      </c>
      <c r="J86" s="36" t="str">
        <f>IF('BD_LeiturasHidrômetro_PRJ04'!$G86&amp;'BD_LeiturasHidrômetro_PRJ04'!$H86="",'BD_LeiturasHidrômetro_PRJ04'!$I86,'BD_LeiturasHidrômetro_PRJ04'!$G86&amp;'BD_LeiturasHidrômetro_PRJ04'!$H86)</f>
        <v>000000</v>
      </c>
      <c r="K86" s="36" t="str">
        <f t="shared" si="1"/>
        <v>000000</v>
      </c>
      <c r="L86" s="15"/>
      <c r="M86" s="15"/>
      <c r="N86" s="17">
        <f t="shared" si="2"/>
        <v>0</v>
      </c>
      <c r="O86" s="15" t="s">
        <v>263</v>
      </c>
      <c r="R86" s="18"/>
      <c r="S86" s="19"/>
    </row>
    <row r="87" ht="15.75" customHeight="1">
      <c r="A87" s="10">
        <v>117.0</v>
      </c>
      <c r="B87" s="11" t="s">
        <v>126</v>
      </c>
      <c r="C87" s="12">
        <v>19.0</v>
      </c>
      <c r="D87" s="10" t="s">
        <v>108</v>
      </c>
      <c r="E87" s="10">
        <v>2025.0</v>
      </c>
      <c r="F87" s="10" t="s">
        <v>30</v>
      </c>
      <c r="G87" s="35"/>
      <c r="H87" s="35"/>
      <c r="I87" s="36" t="str">
        <f>IFERROR(_xlfn.FORECAST.LINEAR('BD_LeiturasHidrômetro_PRJ04'!$A87,G:G,A:A),"000000")</f>
        <v>000000</v>
      </c>
      <c r="J87" s="36" t="str">
        <f>IF('BD_LeiturasHidrômetro_PRJ04'!$G87&amp;'BD_LeiturasHidrômetro_PRJ04'!$H87="",'BD_LeiturasHidrômetro_PRJ04'!$I87,'BD_LeiturasHidrômetro_PRJ04'!$G87&amp;'BD_LeiturasHidrômetro_PRJ04'!$H87)</f>
        <v>000000</v>
      </c>
      <c r="K87" s="36" t="str">
        <f t="shared" si="1"/>
        <v>000000</v>
      </c>
      <c r="L87" s="15"/>
      <c r="M87" s="15"/>
      <c r="N87" s="17">
        <f t="shared" si="2"/>
        <v>0</v>
      </c>
      <c r="O87" s="15" t="s">
        <v>263</v>
      </c>
      <c r="R87" s="18"/>
      <c r="S87" s="19"/>
    </row>
    <row r="88" ht="15.75" customHeight="1">
      <c r="A88" s="10">
        <v>118.0</v>
      </c>
      <c r="B88" s="11" t="s">
        <v>127</v>
      </c>
      <c r="C88" s="12">
        <v>20.0</v>
      </c>
      <c r="D88" s="10" t="s">
        <v>108</v>
      </c>
      <c r="E88" s="10">
        <v>2025.0</v>
      </c>
      <c r="F88" s="10" t="s">
        <v>32</v>
      </c>
      <c r="G88" s="35"/>
      <c r="H88" s="35"/>
      <c r="I88" s="36" t="str">
        <f>IFERROR(_xlfn.FORECAST.LINEAR('BD_LeiturasHidrômetro_PRJ04'!$A88,G:G,A:A),"000000")</f>
        <v>000000</v>
      </c>
      <c r="J88" s="36" t="str">
        <f>IF('BD_LeiturasHidrômetro_PRJ04'!$G88&amp;'BD_LeiturasHidrômetro_PRJ04'!$H88="",'BD_LeiturasHidrômetro_PRJ04'!$I88,'BD_LeiturasHidrômetro_PRJ04'!$G88&amp;'BD_LeiturasHidrômetro_PRJ04'!$H88)</f>
        <v>000000</v>
      </c>
      <c r="K88" s="36" t="str">
        <f t="shared" si="1"/>
        <v>000000</v>
      </c>
      <c r="L88" s="15"/>
      <c r="M88" s="15"/>
      <c r="N88" s="17">
        <f t="shared" si="2"/>
        <v>0</v>
      </c>
      <c r="O88" s="15" t="s">
        <v>263</v>
      </c>
      <c r="R88" s="18"/>
      <c r="S88" s="19"/>
    </row>
    <row r="89" ht="15.75" customHeight="1">
      <c r="A89" s="10">
        <v>119.0</v>
      </c>
      <c r="B89" s="11" t="s">
        <v>128</v>
      </c>
      <c r="C89" s="12">
        <v>21.0</v>
      </c>
      <c r="D89" s="10" t="s">
        <v>108</v>
      </c>
      <c r="E89" s="10">
        <v>2025.0</v>
      </c>
      <c r="F89" s="10" t="s">
        <v>34</v>
      </c>
      <c r="G89" s="35"/>
      <c r="H89" s="35"/>
      <c r="I89" s="36" t="str">
        <f>IFERROR(_xlfn.FORECAST.LINEAR('BD_LeiturasHidrômetro_PRJ04'!$A89,G:G,A:A),"000000")</f>
        <v>000000</v>
      </c>
      <c r="J89" s="36" t="str">
        <f>IF('BD_LeiturasHidrômetro_PRJ04'!$G89&amp;'BD_LeiturasHidrômetro_PRJ04'!$H89="",'BD_LeiturasHidrômetro_PRJ04'!$I89,'BD_LeiturasHidrômetro_PRJ04'!$G89&amp;'BD_LeiturasHidrômetro_PRJ04'!$H89)</f>
        <v>000000</v>
      </c>
      <c r="K89" s="36" t="str">
        <f t="shared" si="1"/>
        <v>000000</v>
      </c>
      <c r="L89" s="15"/>
      <c r="M89" s="15"/>
      <c r="N89" s="17">
        <f t="shared" si="2"/>
        <v>0</v>
      </c>
      <c r="O89" s="15" t="s">
        <v>263</v>
      </c>
      <c r="R89" s="18"/>
      <c r="S89" s="19"/>
    </row>
    <row r="90" ht="15.75" customHeight="1">
      <c r="A90" s="10">
        <v>120.0</v>
      </c>
      <c r="B90" s="11" t="s">
        <v>129</v>
      </c>
      <c r="C90" s="12">
        <v>22.0</v>
      </c>
      <c r="D90" s="10" t="s">
        <v>108</v>
      </c>
      <c r="E90" s="10">
        <v>2025.0</v>
      </c>
      <c r="F90" s="10" t="s">
        <v>19</v>
      </c>
      <c r="G90" s="35"/>
      <c r="H90" s="35"/>
      <c r="I90" s="36" t="str">
        <f>IFERROR(_xlfn.FORECAST.LINEAR('BD_LeiturasHidrômetro_PRJ04'!$A90,G:G,A:A),"000000")</f>
        <v>000000</v>
      </c>
      <c r="J90" s="36" t="str">
        <f>IF('BD_LeiturasHidrômetro_PRJ04'!$G90&amp;'BD_LeiturasHidrômetro_PRJ04'!$H90="",'BD_LeiturasHidrômetro_PRJ04'!$I90,'BD_LeiturasHidrômetro_PRJ04'!$G90&amp;'BD_LeiturasHidrômetro_PRJ04'!$H90)</f>
        <v>000000</v>
      </c>
      <c r="K90" s="36" t="str">
        <f t="shared" si="1"/>
        <v>000000</v>
      </c>
      <c r="L90" s="15"/>
      <c r="M90" s="15"/>
      <c r="N90" s="17">
        <f t="shared" si="2"/>
        <v>0</v>
      </c>
      <c r="O90" s="15" t="s">
        <v>263</v>
      </c>
      <c r="R90" s="18"/>
      <c r="S90" s="19"/>
    </row>
    <row r="91" ht="15.75" customHeight="1">
      <c r="A91" s="10">
        <v>121.0</v>
      </c>
      <c r="B91" s="11" t="s">
        <v>130</v>
      </c>
      <c r="C91" s="12">
        <v>23.0</v>
      </c>
      <c r="D91" s="10" t="s">
        <v>108</v>
      </c>
      <c r="E91" s="10">
        <v>2025.0</v>
      </c>
      <c r="F91" s="10" t="s">
        <v>23</v>
      </c>
      <c r="G91" s="35"/>
      <c r="H91" s="35"/>
      <c r="I91" s="36" t="str">
        <f>IFERROR(_xlfn.FORECAST.LINEAR('BD_LeiturasHidrômetro_PRJ04'!$A91,G:G,A:A),"000000")</f>
        <v>000000</v>
      </c>
      <c r="J91" s="36" t="str">
        <f>IF('BD_LeiturasHidrômetro_PRJ04'!$G91&amp;'BD_LeiturasHidrômetro_PRJ04'!$H91="",'BD_LeiturasHidrômetro_PRJ04'!$I91,'BD_LeiturasHidrômetro_PRJ04'!$G91&amp;'BD_LeiturasHidrômetro_PRJ04'!$H91)</f>
        <v>000000</v>
      </c>
      <c r="K91" s="36" t="str">
        <f t="shared" si="1"/>
        <v>000000</v>
      </c>
      <c r="L91" s="15"/>
      <c r="M91" s="15"/>
      <c r="N91" s="17">
        <f t="shared" si="2"/>
        <v>0</v>
      </c>
      <c r="O91" s="15" t="s">
        <v>263</v>
      </c>
      <c r="S91" s="19"/>
    </row>
    <row r="92" ht="15.75" customHeight="1">
      <c r="A92" s="10">
        <v>122.0</v>
      </c>
      <c r="B92" s="11" t="s">
        <v>131</v>
      </c>
      <c r="C92" s="12">
        <v>24.0</v>
      </c>
      <c r="D92" s="10" t="s">
        <v>108</v>
      </c>
      <c r="E92" s="10">
        <v>2025.0</v>
      </c>
      <c r="F92" s="10" t="s">
        <v>26</v>
      </c>
      <c r="G92" s="35"/>
      <c r="H92" s="35"/>
      <c r="I92" s="36" t="str">
        <f>IFERROR(_xlfn.FORECAST.LINEAR('BD_LeiturasHidrômetro_PRJ04'!$A92,G:G,A:A),"000000")</f>
        <v>000000</v>
      </c>
      <c r="J92" s="36" t="str">
        <f>IF('BD_LeiturasHidrômetro_PRJ04'!$G92&amp;'BD_LeiturasHidrômetro_PRJ04'!$H92="",'BD_LeiturasHidrômetro_PRJ04'!$I92,'BD_LeiturasHidrômetro_PRJ04'!$G92&amp;'BD_LeiturasHidrômetro_PRJ04'!$H92)</f>
        <v>000000</v>
      </c>
      <c r="K92" s="36" t="str">
        <f t="shared" si="1"/>
        <v>000000</v>
      </c>
      <c r="L92" s="15"/>
      <c r="M92" s="15"/>
      <c r="N92" s="17">
        <f t="shared" si="2"/>
        <v>0</v>
      </c>
      <c r="O92" s="15" t="s">
        <v>263</v>
      </c>
      <c r="S92" s="19"/>
    </row>
    <row r="93" ht="15.75" customHeight="1">
      <c r="A93" s="10">
        <v>123.0</v>
      </c>
      <c r="B93" s="11" t="s">
        <v>132</v>
      </c>
      <c r="C93" s="12">
        <v>25.0</v>
      </c>
      <c r="D93" s="10" t="s">
        <v>108</v>
      </c>
      <c r="E93" s="10">
        <v>2025.0</v>
      </c>
      <c r="F93" s="10" t="s">
        <v>28</v>
      </c>
      <c r="G93" s="35"/>
      <c r="H93" s="35"/>
      <c r="I93" s="36" t="str">
        <f>IFERROR(_xlfn.FORECAST.LINEAR('BD_LeiturasHidrômetro_PRJ04'!$A93,G:G,A:A),"000000")</f>
        <v>000000</v>
      </c>
      <c r="J93" s="36" t="str">
        <f>IF('BD_LeiturasHidrômetro_PRJ04'!$G93&amp;'BD_LeiturasHidrômetro_PRJ04'!$H93="",'BD_LeiturasHidrômetro_PRJ04'!$I93,'BD_LeiturasHidrômetro_PRJ04'!$G93&amp;'BD_LeiturasHidrômetro_PRJ04'!$H93)</f>
        <v>000000</v>
      </c>
      <c r="K93" s="36" t="str">
        <f t="shared" si="1"/>
        <v>000000</v>
      </c>
      <c r="L93" s="15"/>
      <c r="M93" s="15"/>
      <c r="N93" s="17">
        <f t="shared" si="2"/>
        <v>0</v>
      </c>
      <c r="O93" s="15" t="s">
        <v>263</v>
      </c>
      <c r="S93" s="19"/>
    </row>
    <row r="94" ht="15.75" customHeight="1">
      <c r="A94" s="10">
        <v>124.0</v>
      </c>
      <c r="B94" s="11" t="s">
        <v>133</v>
      </c>
      <c r="C94" s="12">
        <v>26.0</v>
      </c>
      <c r="D94" s="10" t="s">
        <v>108</v>
      </c>
      <c r="E94" s="10">
        <v>2025.0</v>
      </c>
      <c r="F94" s="10" t="s">
        <v>30</v>
      </c>
      <c r="G94" s="35"/>
      <c r="H94" s="35"/>
      <c r="I94" s="36" t="str">
        <f>IFERROR(_xlfn.FORECAST.LINEAR('BD_LeiturasHidrômetro_PRJ04'!$A94,G:G,A:A),"000000")</f>
        <v>000000</v>
      </c>
      <c r="J94" s="36" t="str">
        <f>IF('BD_LeiturasHidrômetro_PRJ04'!$G94&amp;'BD_LeiturasHidrômetro_PRJ04'!$H94="",'BD_LeiturasHidrômetro_PRJ04'!$I94,'BD_LeiturasHidrômetro_PRJ04'!$G94&amp;'BD_LeiturasHidrômetro_PRJ04'!$H94)</f>
        <v>000000</v>
      </c>
      <c r="K94" s="36" t="str">
        <f t="shared" si="1"/>
        <v>000000</v>
      </c>
      <c r="L94" s="15"/>
      <c r="M94" s="15"/>
      <c r="N94" s="17">
        <f t="shared" si="2"/>
        <v>0</v>
      </c>
      <c r="O94" s="15" t="s">
        <v>263</v>
      </c>
      <c r="S94" s="19"/>
    </row>
    <row r="95" ht="15.75" customHeight="1">
      <c r="A95" s="10">
        <v>125.0</v>
      </c>
      <c r="B95" s="11" t="s">
        <v>134</v>
      </c>
      <c r="C95" s="12">
        <v>27.0</v>
      </c>
      <c r="D95" s="10" t="s">
        <v>108</v>
      </c>
      <c r="E95" s="10">
        <v>2025.0</v>
      </c>
      <c r="F95" s="10" t="s">
        <v>32</v>
      </c>
      <c r="G95" s="35"/>
      <c r="H95" s="35"/>
      <c r="I95" s="36" t="str">
        <f>IFERROR(_xlfn.FORECAST.LINEAR('BD_LeiturasHidrômetro_PRJ04'!$A95,G:G,A:A),"000000")</f>
        <v>000000</v>
      </c>
      <c r="J95" s="36" t="str">
        <f>IF('BD_LeiturasHidrômetro_PRJ04'!$G95&amp;'BD_LeiturasHidrômetro_PRJ04'!$H95="",'BD_LeiturasHidrômetro_PRJ04'!$I95,'BD_LeiturasHidrômetro_PRJ04'!$G95&amp;'BD_LeiturasHidrômetro_PRJ04'!$H95)</f>
        <v>000000</v>
      </c>
      <c r="K95" s="36" t="str">
        <f t="shared" si="1"/>
        <v>000000</v>
      </c>
      <c r="L95" s="15"/>
      <c r="M95" s="15"/>
      <c r="N95" s="17">
        <f t="shared" si="2"/>
        <v>0</v>
      </c>
      <c r="O95" s="15" t="s">
        <v>263</v>
      </c>
      <c r="S95" s="19"/>
    </row>
    <row r="96" ht="15.75" customHeight="1">
      <c r="A96" s="10">
        <v>126.0</v>
      </c>
      <c r="B96" s="11" t="s">
        <v>135</v>
      </c>
      <c r="C96" s="12">
        <v>28.0</v>
      </c>
      <c r="D96" s="10" t="s">
        <v>108</v>
      </c>
      <c r="E96" s="10">
        <v>2025.0</v>
      </c>
      <c r="F96" s="10" t="s">
        <v>34</v>
      </c>
      <c r="G96" s="35"/>
      <c r="H96" s="35"/>
      <c r="I96" s="36" t="str">
        <f>IFERROR(_xlfn.FORECAST.LINEAR('BD_LeiturasHidrômetro_PRJ04'!$A96,G:G,A:A),"000000")</f>
        <v>000000</v>
      </c>
      <c r="J96" s="36" t="str">
        <f>IF('BD_LeiturasHidrômetro_PRJ04'!$G96&amp;'BD_LeiturasHidrômetro_PRJ04'!$H96="",'BD_LeiturasHidrômetro_PRJ04'!$I96,'BD_LeiturasHidrômetro_PRJ04'!$G96&amp;'BD_LeiturasHidrômetro_PRJ04'!$H96)</f>
        <v>000000</v>
      </c>
      <c r="K96" s="36" t="str">
        <f t="shared" si="1"/>
        <v>000000</v>
      </c>
      <c r="L96" s="15"/>
      <c r="M96" s="15"/>
      <c r="N96" s="17">
        <f t="shared" si="2"/>
        <v>0</v>
      </c>
      <c r="O96" s="15" t="s">
        <v>263</v>
      </c>
      <c r="S96" s="19"/>
    </row>
    <row r="97" ht="15.75" customHeight="1">
      <c r="A97" s="10">
        <v>127.0</v>
      </c>
      <c r="B97" s="11" t="s">
        <v>136</v>
      </c>
      <c r="C97" s="12">
        <v>29.0</v>
      </c>
      <c r="D97" s="10" t="s">
        <v>108</v>
      </c>
      <c r="E97" s="10">
        <v>2025.0</v>
      </c>
      <c r="F97" s="10" t="s">
        <v>19</v>
      </c>
      <c r="G97" s="35"/>
      <c r="H97" s="35"/>
      <c r="I97" s="36" t="str">
        <f>IFERROR(_xlfn.FORECAST.LINEAR('BD_LeiturasHidrômetro_PRJ04'!$A97,G:G,A:A),"000000")</f>
        <v>000000</v>
      </c>
      <c r="J97" s="36" t="str">
        <f>IF('BD_LeiturasHidrômetro_PRJ04'!$G97&amp;'BD_LeiturasHidrômetro_PRJ04'!$H97="",'BD_LeiturasHidrômetro_PRJ04'!$I97,'BD_LeiturasHidrômetro_PRJ04'!$G97&amp;'BD_LeiturasHidrômetro_PRJ04'!$H97)</f>
        <v>000000</v>
      </c>
      <c r="K97" s="36" t="str">
        <f t="shared" si="1"/>
        <v>000000</v>
      </c>
      <c r="L97" s="15"/>
      <c r="M97" s="15"/>
      <c r="N97" s="17">
        <f t="shared" si="2"/>
        <v>0</v>
      </c>
      <c r="O97" s="15" t="s">
        <v>263</v>
      </c>
      <c r="S97" s="19"/>
    </row>
    <row r="98" ht="15.75" customHeight="1">
      <c r="A98" s="10">
        <v>128.0</v>
      </c>
      <c r="B98" s="11" t="s">
        <v>137</v>
      </c>
      <c r="C98" s="12">
        <v>30.0</v>
      </c>
      <c r="D98" s="10" t="s">
        <v>108</v>
      </c>
      <c r="E98" s="10">
        <v>2025.0</v>
      </c>
      <c r="F98" s="10" t="s">
        <v>23</v>
      </c>
      <c r="G98" s="35"/>
      <c r="H98" s="35"/>
      <c r="I98" s="36" t="str">
        <f>IFERROR(_xlfn.FORECAST.LINEAR('BD_LeiturasHidrômetro_PRJ04'!$A98,G:G,A:A),"000000")</f>
        <v>000000</v>
      </c>
      <c r="J98" s="36" t="str">
        <f>IF('BD_LeiturasHidrômetro_PRJ04'!$G98&amp;'BD_LeiturasHidrômetro_PRJ04'!$H98="",'BD_LeiturasHidrômetro_PRJ04'!$I98,'BD_LeiturasHidrômetro_PRJ04'!$G98&amp;'BD_LeiturasHidrômetro_PRJ04'!$H98)</f>
        <v>000000</v>
      </c>
      <c r="K98" s="36" t="str">
        <f t="shared" si="1"/>
        <v>000000</v>
      </c>
      <c r="L98" s="15"/>
      <c r="M98" s="15"/>
      <c r="N98" s="17">
        <f t="shared" si="2"/>
        <v>0</v>
      </c>
      <c r="O98" s="15" t="s">
        <v>263</v>
      </c>
      <c r="S98" s="19"/>
    </row>
    <row r="99" ht="15.75" customHeight="1">
      <c r="A99" s="10">
        <v>129.0</v>
      </c>
      <c r="B99" s="11" t="s">
        <v>138</v>
      </c>
      <c r="C99" s="12">
        <v>1.0</v>
      </c>
      <c r="D99" s="10" t="s">
        <v>139</v>
      </c>
      <c r="E99" s="10">
        <v>2025.0</v>
      </c>
      <c r="F99" s="10" t="s">
        <v>26</v>
      </c>
      <c r="G99" s="35"/>
      <c r="H99" s="35"/>
      <c r="I99" s="36" t="str">
        <f>IFERROR(_xlfn.FORECAST.LINEAR('BD_LeiturasHidrômetro_PRJ04'!$A99,G:G,A:A),"000000")</f>
        <v>000000</v>
      </c>
      <c r="J99" s="36" t="str">
        <f>IF('BD_LeiturasHidrômetro_PRJ04'!$G99&amp;'BD_LeiturasHidrômetro_PRJ04'!$H99="",'BD_LeiturasHidrômetro_PRJ04'!$I99,'BD_LeiturasHidrômetro_PRJ04'!$G99&amp;'BD_LeiturasHidrômetro_PRJ04'!$H99)</f>
        <v>000000</v>
      </c>
      <c r="K99" s="36" t="str">
        <f t="shared" si="1"/>
        <v>000000</v>
      </c>
      <c r="L99" s="15"/>
      <c r="M99" s="15"/>
      <c r="N99" s="17">
        <f t="shared" si="2"/>
        <v>0</v>
      </c>
      <c r="O99" s="15" t="s">
        <v>263</v>
      </c>
      <c r="S99" s="19"/>
    </row>
    <row r="100" ht="15.75" customHeight="1">
      <c r="A100" s="10">
        <v>130.0</v>
      </c>
      <c r="B100" s="11" t="s">
        <v>140</v>
      </c>
      <c r="C100" s="12">
        <v>2.0</v>
      </c>
      <c r="D100" s="10" t="s">
        <v>139</v>
      </c>
      <c r="E100" s="10">
        <v>2025.0</v>
      </c>
      <c r="F100" s="10" t="s">
        <v>28</v>
      </c>
      <c r="G100" s="35"/>
      <c r="H100" s="35"/>
      <c r="I100" s="36" t="str">
        <f>IFERROR(_xlfn.FORECAST.LINEAR('BD_LeiturasHidrômetro_PRJ04'!$A100,G:G,A:A),"000000")</f>
        <v>000000</v>
      </c>
      <c r="J100" s="36" t="str">
        <f>IF('BD_LeiturasHidrômetro_PRJ04'!$G100&amp;'BD_LeiturasHidrômetro_PRJ04'!$H100="",'BD_LeiturasHidrômetro_PRJ04'!$I100,'BD_LeiturasHidrômetro_PRJ04'!$G100&amp;'BD_LeiturasHidrômetro_PRJ04'!$H100)</f>
        <v>000000</v>
      </c>
      <c r="K100" s="36" t="str">
        <f t="shared" si="1"/>
        <v>000000</v>
      </c>
      <c r="L100" s="15"/>
      <c r="M100" s="15"/>
      <c r="N100" s="17">
        <f t="shared" si="2"/>
        <v>0</v>
      </c>
      <c r="O100" s="15" t="s">
        <v>263</v>
      </c>
      <c r="S100" s="19"/>
    </row>
    <row r="101" ht="15.75" customHeight="1">
      <c r="A101" s="10">
        <v>131.0</v>
      </c>
      <c r="B101" s="11" t="s">
        <v>141</v>
      </c>
      <c r="C101" s="12">
        <v>3.0</v>
      </c>
      <c r="D101" s="10" t="s">
        <v>139</v>
      </c>
      <c r="E101" s="10">
        <v>2025.0</v>
      </c>
      <c r="F101" s="10" t="s">
        <v>30</v>
      </c>
      <c r="G101" s="35"/>
      <c r="H101" s="35"/>
      <c r="I101" s="36" t="str">
        <f>IFERROR(_xlfn.FORECAST.LINEAR('BD_LeiturasHidrômetro_PRJ04'!$A101,G:G,A:A),"000000")</f>
        <v>000000</v>
      </c>
      <c r="J101" s="36" t="str">
        <f>IF('BD_LeiturasHidrômetro_PRJ04'!$G101&amp;'BD_LeiturasHidrômetro_PRJ04'!$H101="",'BD_LeiturasHidrômetro_PRJ04'!$I101,'BD_LeiturasHidrômetro_PRJ04'!$G101&amp;'BD_LeiturasHidrômetro_PRJ04'!$H101)</f>
        <v>000000</v>
      </c>
      <c r="K101" s="36" t="str">
        <f t="shared" si="1"/>
        <v>000000</v>
      </c>
      <c r="L101" s="15"/>
      <c r="M101" s="15"/>
      <c r="N101" s="17">
        <f t="shared" si="2"/>
        <v>0</v>
      </c>
      <c r="O101" s="15" t="s">
        <v>263</v>
      </c>
      <c r="S101" s="19"/>
    </row>
    <row r="102" ht="15.75" customHeight="1">
      <c r="A102" s="10">
        <v>132.0</v>
      </c>
      <c r="B102" s="11" t="s">
        <v>142</v>
      </c>
      <c r="C102" s="12">
        <v>4.0</v>
      </c>
      <c r="D102" s="10" t="s">
        <v>139</v>
      </c>
      <c r="E102" s="10">
        <v>2025.0</v>
      </c>
      <c r="F102" s="10" t="s">
        <v>32</v>
      </c>
      <c r="G102" s="35"/>
      <c r="H102" s="35"/>
      <c r="I102" s="36" t="str">
        <f>IFERROR(_xlfn.FORECAST.LINEAR('BD_LeiturasHidrômetro_PRJ04'!$A102,G:G,A:A),"000000")</f>
        <v>000000</v>
      </c>
      <c r="J102" s="36" t="str">
        <f>IF('BD_LeiturasHidrômetro_PRJ04'!$G102&amp;'BD_LeiturasHidrômetro_PRJ04'!$H102="",'BD_LeiturasHidrômetro_PRJ04'!$I102,'BD_LeiturasHidrômetro_PRJ04'!$G102&amp;'BD_LeiturasHidrômetro_PRJ04'!$H102)</f>
        <v>000000</v>
      </c>
      <c r="K102" s="36" t="str">
        <f t="shared" si="1"/>
        <v>000000</v>
      </c>
      <c r="L102" s="15"/>
      <c r="M102" s="15"/>
      <c r="N102" s="17">
        <f t="shared" si="2"/>
        <v>0</v>
      </c>
      <c r="O102" s="15" t="s">
        <v>263</v>
      </c>
      <c r="S102" s="19"/>
    </row>
    <row r="103" ht="15.75" customHeight="1">
      <c r="A103" s="10">
        <v>133.0</v>
      </c>
      <c r="B103" s="11" t="s">
        <v>143</v>
      </c>
      <c r="C103" s="12">
        <v>5.0</v>
      </c>
      <c r="D103" s="10" t="s">
        <v>139</v>
      </c>
      <c r="E103" s="10">
        <v>2025.0</v>
      </c>
      <c r="F103" s="10" t="s">
        <v>34</v>
      </c>
      <c r="G103" s="35"/>
      <c r="H103" s="35"/>
      <c r="I103" s="36" t="str">
        <f>IFERROR(_xlfn.FORECAST.LINEAR('BD_LeiturasHidrômetro_PRJ04'!$A103,G:G,A:A),"000000")</f>
        <v>000000</v>
      </c>
      <c r="J103" s="36" t="str">
        <f>IF('BD_LeiturasHidrômetro_PRJ04'!$G103&amp;'BD_LeiturasHidrômetro_PRJ04'!$H103="",'BD_LeiturasHidrômetro_PRJ04'!$I103,'BD_LeiturasHidrômetro_PRJ04'!$G103&amp;'BD_LeiturasHidrômetro_PRJ04'!$H103)</f>
        <v>000000</v>
      </c>
      <c r="K103" s="36" t="str">
        <f t="shared" si="1"/>
        <v>000000</v>
      </c>
      <c r="L103" s="15"/>
      <c r="M103" s="15"/>
      <c r="N103" s="17">
        <f t="shared" si="2"/>
        <v>0</v>
      </c>
      <c r="O103" s="15" t="s">
        <v>263</v>
      </c>
      <c r="S103" s="19"/>
    </row>
    <row r="104" ht="15.75" customHeight="1">
      <c r="A104" s="10">
        <v>134.0</v>
      </c>
      <c r="B104" s="11" t="s">
        <v>144</v>
      </c>
      <c r="C104" s="12">
        <v>6.0</v>
      </c>
      <c r="D104" s="10" t="s">
        <v>139</v>
      </c>
      <c r="E104" s="10">
        <v>2025.0</v>
      </c>
      <c r="F104" s="10" t="s">
        <v>19</v>
      </c>
      <c r="G104" s="35"/>
      <c r="H104" s="35"/>
      <c r="I104" s="36" t="str">
        <f>IFERROR(_xlfn.FORECAST.LINEAR('BD_LeiturasHidrômetro_PRJ04'!$A104,G:G,A:A),"000000")</f>
        <v>000000</v>
      </c>
      <c r="J104" s="36" t="str">
        <f>IF('BD_LeiturasHidrômetro_PRJ04'!$G104&amp;'BD_LeiturasHidrômetro_PRJ04'!$H104="",'BD_LeiturasHidrômetro_PRJ04'!$I104,'BD_LeiturasHidrômetro_PRJ04'!$G104&amp;'BD_LeiturasHidrômetro_PRJ04'!$H104)</f>
        <v>000000</v>
      </c>
      <c r="K104" s="36" t="str">
        <f t="shared" si="1"/>
        <v>000000</v>
      </c>
      <c r="L104" s="15"/>
      <c r="M104" s="15"/>
      <c r="N104" s="17">
        <f t="shared" si="2"/>
        <v>0</v>
      </c>
      <c r="O104" s="15" t="s">
        <v>263</v>
      </c>
      <c r="S104" s="19"/>
    </row>
    <row r="105" ht="15.75" customHeight="1">
      <c r="A105" s="10">
        <v>135.0</v>
      </c>
      <c r="B105" s="11" t="s">
        <v>145</v>
      </c>
      <c r="C105" s="12">
        <v>7.0</v>
      </c>
      <c r="D105" s="10" t="s">
        <v>139</v>
      </c>
      <c r="E105" s="10">
        <v>2025.0</v>
      </c>
      <c r="F105" s="10" t="s">
        <v>23</v>
      </c>
      <c r="G105" s="35"/>
      <c r="H105" s="35"/>
      <c r="I105" s="36" t="str">
        <f>IFERROR(_xlfn.FORECAST.LINEAR('BD_LeiturasHidrômetro_PRJ04'!$A105,G:G,A:A),"000000")</f>
        <v>000000</v>
      </c>
      <c r="J105" s="36" t="str">
        <f>IF('BD_LeiturasHidrômetro_PRJ04'!$G105&amp;'BD_LeiturasHidrômetro_PRJ04'!$H105="",'BD_LeiturasHidrômetro_PRJ04'!$I105,'BD_LeiturasHidrômetro_PRJ04'!$G105&amp;'BD_LeiturasHidrômetro_PRJ04'!$H105)</f>
        <v>000000</v>
      </c>
      <c r="K105" s="36" t="str">
        <f t="shared" si="1"/>
        <v>000000</v>
      </c>
      <c r="L105" s="15"/>
      <c r="M105" s="15"/>
      <c r="N105" s="17">
        <f t="shared" si="2"/>
        <v>0</v>
      </c>
      <c r="O105" s="15" t="s">
        <v>263</v>
      </c>
      <c r="S105" s="19"/>
    </row>
    <row r="106" ht="15.75" customHeight="1">
      <c r="A106" s="10">
        <v>136.0</v>
      </c>
      <c r="B106" s="11" t="s">
        <v>146</v>
      </c>
      <c r="C106" s="12">
        <v>8.0</v>
      </c>
      <c r="D106" s="10" t="s">
        <v>139</v>
      </c>
      <c r="E106" s="10">
        <v>2025.0</v>
      </c>
      <c r="F106" s="10" t="s">
        <v>26</v>
      </c>
      <c r="G106" s="35"/>
      <c r="H106" s="35"/>
      <c r="I106" s="36" t="str">
        <f>IFERROR(_xlfn.FORECAST.LINEAR('BD_LeiturasHidrômetro_PRJ04'!$A106,G:G,A:A),"000000")</f>
        <v>000000</v>
      </c>
      <c r="J106" s="36" t="str">
        <f>IF('BD_LeiturasHidrômetro_PRJ04'!$G106&amp;'BD_LeiturasHidrômetro_PRJ04'!$H106="",'BD_LeiturasHidrômetro_PRJ04'!$I106,'BD_LeiturasHidrômetro_PRJ04'!$G106&amp;'BD_LeiturasHidrômetro_PRJ04'!$H106)</f>
        <v>000000</v>
      </c>
      <c r="K106" s="36" t="str">
        <f t="shared" si="1"/>
        <v>000000</v>
      </c>
      <c r="L106" s="15"/>
      <c r="M106" s="15"/>
      <c r="N106" s="17">
        <f t="shared" si="2"/>
        <v>0</v>
      </c>
      <c r="O106" s="15" t="s">
        <v>263</v>
      </c>
      <c r="S106" s="19"/>
    </row>
    <row r="107" ht="15.75" customHeight="1">
      <c r="A107" s="10">
        <v>137.0</v>
      </c>
      <c r="B107" s="11" t="s">
        <v>147</v>
      </c>
      <c r="C107" s="12">
        <v>9.0</v>
      </c>
      <c r="D107" s="10" t="s">
        <v>139</v>
      </c>
      <c r="E107" s="10">
        <v>2025.0</v>
      </c>
      <c r="F107" s="10" t="s">
        <v>28</v>
      </c>
      <c r="G107" s="35"/>
      <c r="H107" s="35"/>
      <c r="I107" s="36" t="str">
        <f>IFERROR(_xlfn.FORECAST.LINEAR('BD_LeiturasHidrômetro_PRJ04'!$A107,G:G,A:A),"000000")</f>
        <v>000000</v>
      </c>
      <c r="J107" s="36" t="str">
        <f>IF('BD_LeiturasHidrômetro_PRJ04'!$G107&amp;'BD_LeiturasHidrômetro_PRJ04'!$H107="",'BD_LeiturasHidrômetro_PRJ04'!$I107,'BD_LeiturasHidrômetro_PRJ04'!$G107&amp;'BD_LeiturasHidrômetro_PRJ04'!$H107)</f>
        <v>000000</v>
      </c>
      <c r="K107" s="36" t="str">
        <f t="shared" si="1"/>
        <v>000000</v>
      </c>
      <c r="L107" s="15"/>
      <c r="M107" s="15"/>
      <c r="N107" s="17">
        <f t="shared" si="2"/>
        <v>0</v>
      </c>
      <c r="O107" s="15" t="s">
        <v>263</v>
      </c>
      <c r="S107" s="19"/>
    </row>
    <row r="108" ht="15.75" customHeight="1">
      <c r="A108" s="10">
        <v>138.0</v>
      </c>
      <c r="B108" s="11" t="s">
        <v>148</v>
      </c>
      <c r="C108" s="12">
        <v>10.0</v>
      </c>
      <c r="D108" s="10" t="s">
        <v>139</v>
      </c>
      <c r="E108" s="10">
        <v>2025.0</v>
      </c>
      <c r="F108" s="10" t="s">
        <v>30</v>
      </c>
      <c r="G108" s="35"/>
      <c r="H108" s="35"/>
      <c r="I108" s="36" t="str">
        <f>IFERROR(_xlfn.FORECAST.LINEAR('BD_LeiturasHidrômetro_PRJ04'!$A108,G:G,A:A),"000000")</f>
        <v>000000</v>
      </c>
      <c r="J108" s="36" t="str">
        <f>IF('BD_LeiturasHidrômetro_PRJ04'!$G108&amp;'BD_LeiturasHidrômetro_PRJ04'!$H108="",'BD_LeiturasHidrômetro_PRJ04'!$I108,'BD_LeiturasHidrômetro_PRJ04'!$G108&amp;'BD_LeiturasHidrômetro_PRJ04'!$H108)</f>
        <v>000000</v>
      </c>
      <c r="K108" s="36" t="str">
        <f t="shared" si="1"/>
        <v>000000</v>
      </c>
      <c r="L108" s="15"/>
      <c r="M108" s="15"/>
      <c r="N108" s="17">
        <f t="shared" si="2"/>
        <v>0</v>
      </c>
      <c r="O108" s="15" t="s">
        <v>263</v>
      </c>
      <c r="S108" s="19"/>
    </row>
    <row r="109" ht="15.75" customHeight="1">
      <c r="A109" s="10">
        <v>139.0</v>
      </c>
      <c r="B109" s="11" t="s">
        <v>149</v>
      </c>
      <c r="C109" s="12">
        <v>11.0</v>
      </c>
      <c r="D109" s="10" t="s">
        <v>139</v>
      </c>
      <c r="E109" s="10">
        <v>2025.0</v>
      </c>
      <c r="F109" s="10" t="s">
        <v>32</v>
      </c>
      <c r="G109" s="35"/>
      <c r="H109" s="35"/>
      <c r="I109" s="36" t="str">
        <f>IFERROR(_xlfn.FORECAST.LINEAR('BD_LeiturasHidrômetro_PRJ04'!$A109,G:G,A:A),"000000")</f>
        <v>000000</v>
      </c>
      <c r="J109" s="36" t="str">
        <f>IF('BD_LeiturasHidrômetro_PRJ04'!$G109&amp;'BD_LeiturasHidrômetro_PRJ04'!$H109="",'BD_LeiturasHidrômetro_PRJ04'!$I109,'BD_LeiturasHidrômetro_PRJ04'!$G109&amp;'BD_LeiturasHidrômetro_PRJ04'!$H109)</f>
        <v>000000</v>
      </c>
      <c r="K109" s="36" t="str">
        <f t="shared" si="1"/>
        <v>000000</v>
      </c>
      <c r="L109" s="15"/>
      <c r="M109" s="15"/>
      <c r="N109" s="17">
        <f t="shared" si="2"/>
        <v>0</v>
      </c>
      <c r="O109" s="15" t="s">
        <v>263</v>
      </c>
      <c r="S109" s="19"/>
    </row>
    <row r="110" ht="15.75" customHeight="1">
      <c r="A110" s="10">
        <v>140.0</v>
      </c>
      <c r="B110" s="11" t="s">
        <v>150</v>
      </c>
      <c r="C110" s="12">
        <v>12.0</v>
      </c>
      <c r="D110" s="10" t="s">
        <v>139</v>
      </c>
      <c r="E110" s="10">
        <v>2025.0</v>
      </c>
      <c r="F110" s="10" t="s">
        <v>34</v>
      </c>
      <c r="G110" s="35"/>
      <c r="H110" s="35"/>
      <c r="I110" s="36" t="str">
        <f>IFERROR(_xlfn.FORECAST.LINEAR('BD_LeiturasHidrômetro_PRJ04'!$A110,G:G,A:A),"000000")</f>
        <v>000000</v>
      </c>
      <c r="J110" s="36" t="str">
        <f>IF('BD_LeiturasHidrômetro_PRJ04'!$G110&amp;'BD_LeiturasHidrômetro_PRJ04'!$H110="",'BD_LeiturasHidrômetro_PRJ04'!$I110,'BD_LeiturasHidrômetro_PRJ04'!$G110&amp;'BD_LeiturasHidrômetro_PRJ04'!$H110)</f>
        <v>000000</v>
      </c>
      <c r="K110" s="36" t="str">
        <f t="shared" si="1"/>
        <v>000000</v>
      </c>
      <c r="L110" s="15"/>
      <c r="M110" s="15"/>
      <c r="N110" s="17">
        <f t="shared" si="2"/>
        <v>0</v>
      </c>
      <c r="O110" s="15" t="s">
        <v>263</v>
      </c>
      <c r="S110" s="19"/>
    </row>
    <row r="111" ht="15.75" customHeight="1">
      <c r="A111" s="10">
        <v>141.0</v>
      </c>
      <c r="B111" s="11" t="s">
        <v>151</v>
      </c>
      <c r="C111" s="12">
        <v>13.0</v>
      </c>
      <c r="D111" s="10" t="s">
        <v>139</v>
      </c>
      <c r="E111" s="10">
        <v>2025.0</v>
      </c>
      <c r="F111" s="10" t="s">
        <v>19</v>
      </c>
      <c r="G111" s="35"/>
      <c r="H111" s="35"/>
      <c r="I111" s="36" t="str">
        <f>IFERROR(_xlfn.FORECAST.LINEAR('BD_LeiturasHidrômetro_PRJ04'!$A111,G:G,A:A),"000000")</f>
        <v>000000</v>
      </c>
      <c r="J111" s="36" t="str">
        <f>IF('BD_LeiturasHidrômetro_PRJ04'!$G111&amp;'BD_LeiturasHidrômetro_PRJ04'!$H111="",'BD_LeiturasHidrômetro_PRJ04'!$I111,'BD_LeiturasHidrômetro_PRJ04'!$G111&amp;'BD_LeiturasHidrômetro_PRJ04'!$H111)</f>
        <v>000000</v>
      </c>
      <c r="K111" s="36" t="str">
        <f t="shared" si="1"/>
        <v>000000</v>
      </c>
      <c r="L111" s="15"/>
      <c r="M111" s="15"/>
      <c r="N111" s="17">
        <f t="shared" si="2"/>
        <v>0</v>
      </c>
      <c r="O111" s="15" t="s">
        <v>263</v>
      </c>
      <c r="S111" s="19"/>
    </row>
    <row r="112" ht="15.75" customHeight="1">
      <c r="A112" s="10">
        <v>142.0</v>
      </c>
      <c r="B112" s="11" t="s">
        <v>152</v>
      </c>
      <c r="C112" s="12">
        <v>14.0</v>
      </c>
      <c r="D112" s="10" t="s">
        <v>139</v>
      </c>
      <c r="E112" s="10">
        <v>2025.0</v>
      </c>
      <c r="F112" s="10" t="s">
        <v>23</v>
      </c>
      <c r="G112" s="35"/>
      <c r="H112" s="35"/>
      <c r="I112" s="36" t="str">
        <f>IFERROR(_xlfn.FORECAST.LINEAR('BD_LeiturasHidrômetro_PRJ04'!$A112,G:G,A:A),"000000")</f>
        <v>000000</v>
      </c>
      <c r="J112" s="36" t="str">
        <f>IF('BD_LeiturasHidrômetro_PRJ04'!$G112&amp;'BD_LeiturasHidrômetro_PRJ04'!$H112="",'BD_LeiturasHidrômetro_PRJ04'!$I112,'BD_LeiturasHidrômetro_PRJ04'!$G112&amp;'BD_LeiturasHidrômetro_PRJ04'!$H112)</f>
        <v>000000</v>
      </c>
      <c r="K112" s="36" t="str">
        <f t="shared" si="1"/>
        <v>000000</v>
      </c>
      <c r="L112" s="15"/>
      <c r="M112" s="15"/>
      <c r="N112" s="17">
        <f t="shared" si="2"/>
        <v>0</v>
      </c>
      <c r="O112" s="15" t="s">
        <v>263</v>
      </c>
      <c r="S112" s="19"/>
    </row>
    <row r="113" ht="15.75" customHeight="1">
      <c r="A113" s="10">
        <v>143.0</v>
      </c>
      <c r="B113" s="11" t="s">
        <v>153</v>
      </c>
      <c r="C113" s="12">
        <v>15.0</v>
      </c>
      <c r="D113" s="10" t="s">
        <v>139</v>
      </c>
      <c r="E113" s="10">
        <v>2025.0</v>
      </c>
      <c r="F113" s="10" t="s">
        <v>26</v>
      </c>
      <c r="G113" s="35"/>
      <c r="H113" s="35"/>
      <c r="I113" s="36" t="str">
        <f>IFERROR(_xlfn.FORECAST.LINEAR('BD_LeiturasHidrômetro_PRJ04'!$A113,G:G,A:A),"000000")</f>
        <v>000000</v>
      </c>
      <c r="J113" s="36" t="str">
        <f>IF('BD_LeiturasHidrômetro_PRJ04'!$G113&amp;'BD_LeiturasHidrômetro_PRJ04'!$H113="",'BD_LeiturasHidrômetro_PRJ04'!$I113,'BD_LeiturasHidrômetro_PRJ04'!$G113&amp;'BD_LeiturasHidrômetro_PRJ04'!$H113)</f>
        <v>000000</v>
      </c>
      <c r="K113" s="36" t="str">
        <f t="shared" si="1"/>
        <v>000000</v>
      </c>
      <c r="L113" s="15"/>
      <c r="M113" s="15"/>
      <c r="N113" s="17">
        <f t="shared" si="2"/>
        <v>0</v>
      </c>
      <c r="O113" s="15" t="s">
        <v>263</v>
      </c>
      <c r="S113" s="19"/>
    </row>
    <row r="114" ht="15.75" customHeight="1">
      <c r="A114" s="10">
        <v>144.0</v>
      </c>
      <c r="B114" s="11" t="s">
        <v>154</v>
      </c>
      <c r="C114" s="12">
        <v>16.0</v>
      </c>
      <c r="D114" s="10" t="s">
        <v>139</v>
      </c>
      <c r="E114" s="10">
        <v>2025.0</v>
      </c>
      <c r="F114" s="10" t="s">
        <v>28</v>
      </c>
      <c r="G114" s="35"/>
      <c r="H114" s="35"/>
      <c r="I114" s="36" t="str">
        <f>IFERROR(_xlfn.FORECAST.LINEAR('BD_LeiturasHidrômetro_PRJ04'!$A114,G:G,A:A),"000000")</f>
        <v>000000</v>
      </c>
      <c r="J114" s="36" t="str">
        <f>IF('BD_LeiturasHidrômetro_PRJ04'!$G114&amp;'BD_LeiturasHidrômetro_PRJ04'!$H114="",'BD_LeiturasHidrômetro_PRJ04'!$I114,'BD_LeiturasHidrômetro_PRJ04'!$G114&amp;'BD_LeiturasHidrômetro_PRJ04'!$H114)</f>
        <v>000000</v>
      </c>
      <c r="K114" s="36" t="str">
        <f t="shared" si="1"/>
        <v>000000</v>
      </c>
      <c r="L114" s="15"/>
      <c r="M114" s="15"/>
      <c r="N114" s="17">
        <f t="shared" si="2"/>
        <v>0</v>
      </c>
      <c r="O114" s="15" t="s">
        <v>263</v>
      </c>
      <c r="S114" s="19"/>
    </row>
    <row r="115" ht="15.75" customHeight="1">
      <c r="A115" s="10">
        <v>145.0</v>
      </c>
      <c r="B115" s="11" t="s">
        <v>155</v>
      </c>
      <c r="C115" s="12">
        <v>17.0</v>
      </c>
      <c r="D115" s="10" t="s">
        <v>139</v>
      </c>
      <c r="E115" s="10">
        <v>2025.0</v>
      </c>
      <c r="F115" s="10" t="s">
        <v>30</v>
      </c>
      <c r="G115" s="35"/>
      <c r="H115" s="35"/>
      <c r="I115" s="36" t="str">
        <f>IFERROR(_xlfn.FORECAST.LINEAR('BD_LeiturasHidrômetro_PRJ04'!$A115,G:G,A:A),"000000")</f>
        <v>000000</v>
      </c>
      <c r="J115" s="36" t="str">
        <f>IF('BD_LeiturasHidrômetro_PRJ04'!$G115&amp;'BD_LeiturasHidrômetro_PRJ04'!$H115="",'BD_LeiturasHidrômetro_PRJ04'!$I115,'BD_LeiturasHidrômetro_PRJ04'!$G115&amp;'BD_LeiturasHidrômetro_PRJ04'!$H115)</f>
        <v>000000</v>
      </c>
      <c r="K115" s="36" t="str">
        <f t="shared" si="1"/>
        <v>000000</v>
      </c>
      <c r="L115" s="15"/>
      <c r="M115" s="15"/>
      <c r="N115" s="17">
        <f t="shared" si="2"/>
        <v>0</v>
      </c>
      <c r="O115" s="15" t="s">
        <v>263</v>
      </c>
      <c r="S115" s="19"/>
    </row>
    <row r="116" ht="15.75" customHeight="1">
      <c r="A116" s="10">
        <v>146.0</v>
      </c>
      <c r="B116" s="11" t="s">
        <v>156</v>
      </c>
      <c r="C116" s="12">
        <v>18.0</v>
      </c>
      <c r="D116" s="10" t="s">
        <v>139</v>
      </c>
      <c r="E116" s="10">
        <v>2025.0</v>
      </c>
      <c r="F116" s="10" t="s">
        <v>32</v>
      </c>
      <c r="G116" s="35"/>
      <c r="H116" s="35"/>
      <c r="I116" s="36" t="str">
        <f>IFERROR(_xlfn.FORECAST.LINEAR('BD_LeiturasHidrômetro_PRJ04'!$A116,G:G,A:A),"000000")</f>
        <v>000000</v>
      </c>
      <c r="J116" s="36" t="str">
        <f>IF('BD_LeiturasHidrômetro_PRJ04'!$G116&amp;'BD_LeiturasHidrômetro_PRJ04'!$H116="",'BD_LeiturasHidrômetro_PRJ04'!$I116,'BD_LeiturasHidrômetro_PRJ04'!$G116&amp;'BD_LeiturasHidrômetro_PRJ04'!$H116)</f>
        <v>000000</v>
      </c>
      <c r="K116" s="36" t="str">
        <f t="shared" si="1"/>
        <v>000000</v>
      </c>
      <c r="L116" s="15"/>
      <c r="M116" s="15"/>
      <c r="N116" s="17">
        <f t="shared" si="2"/>
        <v>0</v>
      </c>
      <c r="O116" s="15" t="s">
        <v>263</v>
      </c>
      <c r="S116" s="19"/>
    </row>
    <row r="117" ht="15.75" customHeight="1">
      <c r="A117" s="10">
        <v>147.0</v>
      </c>
      <c r="B117" s="11" t="s">
        <v>157</v>
      </c>
      <c r="C117" s="12">
        <v>19.0</v>
      </c>
      <c r="D117" s="10" t="s">
        <v>139</v>
      </c>
      <c r="E117" s="10">
        <v>2025.0</v>
      </c>
      <c r="F117" s="10" t="s">
        <v>34</v>
      </c>
      <c r="G117" s="35"/>
      <c r="H117" s="35"/>
      <c r="I117" s="36" t="str">
        <f>IFERROR(_xlfn.FORECAST.LINEAR('BD_LeiturasHidrômetro_PRJ04'!$A117,G:G,A:A),"000000")</f>
        <v>000000</v>
      </c>
      <c r="J117" s="36" t="str">
        <f>IF('BD_LeiturasHidrômetro_PRJ04'!$G117&amp;'BD_LeiturasHidrômetro_PRJ04'!$H117="",'BD_LeiturasHidrômetro_PRJ04'!$I117,'BD_LeiturasHidrômetro_PRJ04'!$G117&amp;'BD_LeiturasHidrômetro_PRJ04'!$H117)</f>
        <v>000000</v>
      </c>
      <c r="K117" s="36" t="str">
        <f t="shared" si="1"/>
        <v>000000</v>
      </c>
      <c r="L117" s="15"/>
      <c r="M117" s="15"/>
      <c r="N117" s="17">
        <f t="shared" si="2"/>
        <v>0</v>
      </c>
      <c r="O117" s="15" t="s">
        <v>263</v>
      </c>
      <c r="S117" s="19"/>
    </row>
    <row r="118" ht="15.75" customHeight="1">
      <c r="A118" s="10">
        <v>148.0</v>
      </c>
      <c r="B118" s="11" t="s">
        <v>158</v>
      </c>
      <c r="C118" s="12">
        <v>20.0</v>
      </c>
      <c r="D118" s="10" t="s">
        <v>139</v>
      </c>
      <c r="E118" s="10">
        <v>2025.0</v>
      </c>
      <c r="F118" s="10" t="s">
        <v>19</v>
      </c>
      <c r="G118" s="35"/>
      <c r="H118" s="35"/>
      <c r="I118" s="36" t="str">
        <f>IFERROR(_xlfn.FORECAST.LINEAR('BD_LeiturasHidrômetro_PRJ04'!$A118,G:G,A:A),"000000")</f>
        <v>000000</v>
      </c>
      <c r="J118" s="36" t="str">
        <f>IF('BD_LeiturasHidrômetro_PRJ04'!$G118&amp;'BD_LeiturasHidrômetro_PRJ04'!$H118="",'BD_LeiturasHidrômetro_PRJ04'!$I118,'BD_LeiturasHidrômetro_PRJ04'!$G118&amp;'BD_LeiturasHidrômetro_PRJ04'!$H118)</f>
        <v>000000</v>
      </c>
      <c r="K118" s="36" t="str">
        <f t="shared" si="1"/>
        <v>000000</v>
      </c>
      <c r="L118" s="15"/>
      <c r="M118" s="15"/>
      <c r="N118" s="17">
        <f t="shared" si="2"/>
        <v>0</v>
      </c>
      <c r="O118" s="15" t="s">
        <v>263</v>
      </c>
      <c r="S118" s="19"/>
    </row>
    <row r="119" ht="15.75" customHeight="1">
      <c r="A119" s="10">
        <v>149.0</v>
      </c>
      <c r="B119" s="11" t="s">
        <v>159</v>
      </c>
      <c r="C119" s="12">
        <v>21.0</v>
      </c>
      <c r="D119" s="10" t="s">
        <v>139</v>
      </c>
      <c r="E119" s="10">
        <v>2025.0</v>
      </c>
      <c r="F119" s="10" t="s">
        <v>23</v>
      </c>
      <c r="G119" s="35"/>
      <c r="H119" s="35"/>
      <c r="I119" s="36" t="str">
        <f>IFERROR(_xlfn.FORECAST.LINEAR('BD_LeiturasHidrômetro_PRJ04'!$A119,G:G,A:A),"000000")</f>
        <v>000000</v>
      </c>
      <c r="J119" s="36" t="str">
        <f>IF('BD_LeiturasHidrômetro_PRJ04'!$G119&amp;'BD_LeiturasHidrômetro_PRJ04'!$H119="",'BD_LeiturasHidrômetro_PRJ04'!$I119,'BD_LeiturasHidrômetro_PRJ04'!$G119&amp;'BD_LeiturasHidrômetro_PRJ04'!$H119)</f>
        <v>000000</v>
      </c>
      <c r="K119" s="36" t="str">
        <f t="shared" si="1"/>
        <v>000000</v>
      </c>
      <c r="L119" s="15"/>
      <c r="M119" s="15"/>
      <c r="N119" s="17">
        <f t="shared" si="2"/>
        <v>0</v>
      </c>
      <c r="O119" s="15" t="s">
        <v>263</v>
      </c>
      <c r="S119" s="19"/>
    </row>
    <row r="120" ht="15.75" customHeight="1">
      <c r="A120" s="10">
        <v>150.0</v>
      </c>
      <c r="B120" s="11" t="s">
        <v>160</v>
      </c>
      <c r="C120" s="12">
        <v>22.0</v>
      </c>
      <c r="D120" s="10" t="s">
        <v>139</v>
      </c>
      <c r="E120" s="10">
        <v>2025.0</v>
      </c>
      <c r="F120" s="10" t="s">
        <v>26</v>
      </c>
      <c r="G120" s="35"/>
      <c r="H120" s="35"/>
      <c r="I120" s="36" t="str">
        <f>IFERROR(_xlfn.FORECAST.LINEAR('BD_LeiturasHidrômetro_PRJ04'!$A120,G:G,A:A),"000000")</f>
        <v>000000</v>
      </c>
      <c r="J120" s="36" t="str">
        <f>IF('BD_LeiturasHidrômetro_PRJ04'!$G120&amp;'BD_LeiturasHidrômetro_PRJ04'!$H120="",'BD_LeiturasHidrômetro_PRJ04'!$I120,'BD_LeiturasHidrômetro_PRJ04'!$G120&amp;'BD_LeiturasHidrômetro_PRJ04'!$H120)</f>
        <v>000000</v>
      </c>
      <c r="K120" s="36" t="str">
        <f t="shared" si="1"/>
        <v>000000</v>
      </c>
      <c r="L120" s="15"/>
      <c r="M120" s="15"/>
      <c r="N120" s="17">
        <f t="shared" si="2"/>
        <v>0</v>
      </c>
      <c r="O120" s="15" t="s">
        <v>263</v>
      </c>
      <c r="S120" s="19"/>
    </row>
    <row r="121" ht="15.75" customHeight="1">
      <c r="A121" s="10">
        <v>151.0</v>
      </c>
      <c r="B121" s="11" t="s">
        <v>161</v>
      </c>
      <c r="C121" s="12">
        <v>23.0</v>
      </c>
      <c r="D121" s="10" t="s">
        <v>139</v>
      </c>
      <c r="E121" s="10">
        <v>2025.0</v>
      </c>
      <c r="F121" s="10" t="s">
        <v>28</v>
      </c>
      <c r="G121" s="35"/>
      <c r="H121" s="35"/>
      <c r="I121" s="36" t="str">
        <f>IFERROR(_xlfn.FORECAST.LINEAR('BD_LeiturasHidrômetro_PRJ04'!$A121,G:G,A:A),"000000")</f>
        <v>000000</v>
      </c>
      <c r="J121" s="36" t="str">
        <f>IF('BD_LeiturasHidrômetro_PRJ04'!$G121&amp;'BD_LeiturasHidrômetro_PRJ04'!$H121="",'BD_LeiturasHidrômetro_PRJ04'!$I121,'BD_LeiturasHidrômetro_PRJ04'!$G121&amp;'BD_LeiturasHidrômetro_PRJ04'!$H121)</f>
        <v>000000</v>
      </c>
      <c r="K121" s="36" t="str">
        <f t="shared" si="1"/>
        <v>000000</v>
      </c>
      <c r="L121" s="15"/>
      <c r="M121" s="15"/>
      <c r="N121" s="17">
        <f t="shared" si="2"/>
        <v>0</v>
      </c>
      <c r="O121" s="15" t="s">
        <v>263</v>
      </c>
      <c r="S121" s="19"/>
    </row>
    <row r="122" ht="15.75" customHeight="1">
      <c r="A122" s="10">
        <v>152.0</v>
      </c>
      <c r="B122" s="11" t="s">
        <v>162</v>
      </c>
      <c r="C122" s="12">
        <v>24.0</v>
      </c>
      <c r="D122" s="10" t="s">
        <v>139</v>
      </c>
      <c r="E122" s="10">
        <v>2025.0</v>
      </c>
      <c r="F122" s="10" t="s">
        <v>30</v>
      </c>
      <c r="G122" s="35"/>
      <c r="H122" s="35"/>
      <c r="I122" s="36" t="str">
        <f>IFERROR(_xlfn.FORECAST.LINEAR('BD_LeiturasHidrômetro_PRJ04'!$A122,G:G,A:A),"000000")</f>
        <v>000000</v>
      </c>
      <c r="J122" s="36" t="str">
        <f>IF('BD_LeiturasHidrômetro_PRJ04'!$G122&amp;'BD_LeiturasHidrômetro_PRJ04'!$H122="",'BD_LeiturasHidrômetro_PRJ04'!$I122,'BD_LeiturasHidrômetro_PRJ04'!$G122&amp;'BD_LeiturasHidrômetro_PRJ04'!$H122)</f>
        <v>000000</v>
      </c>
      <c r="K122" s="36" t="str">
        <f t="shared" si="1"/>
        <v>000000</v>
      </c>
      <c r="L122" s="15"/>
      <c r="M122" s="15"/>
      <c r="N122" s="17">
        <f t="shared" si="2"/>
        <v>0</v>
      </c>
      <c r="O122" s="15" t="s">
        <v>263</v>
      </c>
      <c r="S122" s="19"/>
    </row>
    <row r="123" ht="15.75" customHeight="1">
      <c r="A123" s="10">
        <v>153.0</v>
      </c>
      <c r="B123" s="11" t="s">
        <v>163</v>
      </c>
      <c r="C123" s="12">
        <v>25.0</v>
      </c>
      <c r="D123" s="10" t="s">
        <v>139</v>
      </c>
      <c r="E123" s="10">
        <v>2025.0</v>
      </c>
      <c r="F123" s="10" t="s">
        <v>32</v>
      </c>
      <c r="G123" s="35"/>
      <c r="H123" s="35"/>
      <c r="I123" s="36" t="str">
        <f>IFERROR(_xlfn.FORECAST.LINEAR('BD_LeiturasHidrômetro_PRJ04'!$A123,G:G,A:A),"000000")</f>
        <v>000000</v>
      </c>
      <c r="J123" s="36" t="str">
        <f>IF('BD_LeiturasHidrômetro_PRJ04'!$G123&amp;'BD_LeiturasHidrômetro_PRJ04'!$H123="",'BD_LeiturasHidrômetro_PRJ04'!$I123,'BD_LeiturasHidrômetro_PRJ04'!$G123&amp;'BD_LeiturasHidrômetro_PRJ04'!$H123)</f>
        <v>000000</v>
      </c>
      <c r="K123" s="36" t="str">
        <f t="shared" si="1"/>
        <v>000000</v>
      </c>
      <c r="L123" s="15"/>
      <c r="M123" s="15"/>
      <c r="N123" s="17">
        <f t="shared" si="2"/>
        <v>0</v>
      </c>
      <c r="O123" s="15" t="s">
        <v>263</v>
      </c>
      <c r="S123" s="19"/>
    </row>
    <row r="124" ht="15.75" customHeight="1">
      <c r="A124" s="10">
        <v>154.0</v>
      </c>
      <c r="B124" s="11" t="s">
        <v>164</v>
      </c>
      <c r="C124" s="12">
        <v>26.0</v>
      </c>
      <c r="D124" s="10" t="s">
        <v>139</v>
      </c>
      <c r="E124" s="10">
        <v>2025.0</v>
      </c>
      <c r="F124" s="10" t="s">
        <v>34</v>
      </c>
      <c r="G124" s="35"/>
      <c r="H124" s="35"/>
      <c r="I124" s="36" t="str">
        <f>IFERROR(_xlfn.FORECAST.LINEAR('BD_LeiturasHidrômetro_PRJ04'!$A124,G:G,A:A),"000000")</f>
        <v>000000</v>
      </c>
      <c r="J124" s="36" t="str">
        <f>IF('BD_LeiturasHidrômetro_PRJ04'!$G124&amp;'BD_LeiturasHidrômetro_PRJ04'!$H124="",'BD_LeiturasHidrômetro_PRJ04'!$I124,'BD_LeiturasHidrômetro_PRJ04'!$G124&amp;'BD_LeiturasHidrômetro_PRJ04'!$H124)</f>
        <v>000000</v>
      </c>
      <c r="K124" s="36" t="str">
        <f t="shared" si="1"/>
        <v>000000</v>
      </c>
      <c r="L124" s="15"/>
      <c r="M124" s="15"/>
      <c r="N124" s="17">
        <f t="shared" si="2"/>
        <v>0</v>
      </c>
      <c r="O124" s="15" t="s">
        <v>263</v>
      </c>
      <c r="S124" s="19"/>
    </row>
    <row r="125" ht="15.75" customHeight="1">
      <c r="A125" s="10">
        <v>155.0</v>
      </c>
      <c r="B125" s="11" t="s">
        <v>165</v>
      </c>
      <c r="C125" s="12">
        <v>27.0</v>
      </c>
      <c r="D125" s="10" t="s">
        <v>139</v>
      </c>
      <c r="E125" s="10">
        <v>2025.0</v>
      </c>
      <c r="F125" s="10" t="s">
        <v>19</v>
      </c>
      <c r="G125" s="35"/>
      <c r="H125" s="35"/>
      <c r="I125" s="36" t="str">
        <f>IFERROR(_xlfn.FORECAST.LINEAR('BD_LeiturasHidrômetro_PRJ04'!$A125,G:G,A:A),"000000")</f>
        <v>000000</v>
      </c>
      <c r="J125" s="36" t="str">
        <f>IF('BD_LeiturasHidrômetro_PRJ04'!$G125&amp;'BD_LeiturasHidrômetro_PRJ04'!$H125="",'BD_LeiturasHidrômetro_PRJ04'!$I125,'BD_LeiturasHidrômetro_PRJ04'!$G125&amp;'BD_LeiturasHidrômetro_PRJ04'!$H125)</f>
        <v>000000</v>
      </c>
      <c r="K125" s="36" t="str">
        <f t="shared" si="1"/>
        <v>000000</v>
      </c>
      <c r="L125" s="15"/>
      <c r="M125" s="15"/>
      <c r="N125" s="17">
        <f t="shared" si="2"/>
        <v>0</v>
      </c>
      <c r="O125" s="15" t="s">
        <v>263</v>
      </c>
      <c r="S125" s="19"/>
    </row>
    <row r="126" ht="15.75" customHeight="1">
      <c r="A126" s="10">
        <v>156.0</v>
      </c>
      <c r="B126" s="11" t="s">
        <v>166</v>
      </c>
      <c r="C126" s="12">
        <v>28.0</v>
      </c>
      <c r="D126" s="10" t="s">
        <v>139</v>
      </c>
      <c r="E126" s="10">
        <v>2025.0</v>
      </c>
      <c r="F126" s="10" t="s">
        <v>23</v>
      </c>
      <c r="G126" s="35"/>
      <c r="H126" s="35"/>
      <c r="I126" s="36" t="str">
        <f>IFERROR(_xlfn.FORECAST.LINEAR('BD_LeiturasHidrômetro_PRJ04'!$A126,G:G,A:A),"000000")</f>
        <v>000000</v>
      </c>
      <c r="J126" s="36" t="str">
        <f>IF('BD_LeiturasHidrômetro_PRJ04'!$G126&amp;'BD_LeiturasHidrômetro_PRJ04'!$H126="",'BD_LeiturasHidrômetro_PRJ04'!$I126,'BD_LeiturasHidrômetro_PRJ04'!$G126&amp;'BD_LeiturasHidrômetro_PRJ04'!$H126)</f>
        <v>000000</v>
      </c>
      <c r="K126" s="36" t="str">
        <f t="shared" si="1"/>
        <v>000000</v>
      </c>
      <c r="L126" s="15"/>
      <c r="M126" s="15"/>
      <c r="N126" s="17">
        <f t="shared" si="2"/>
        <v>0</v>
      </c>
      <c r="O126" s="15" t="s">
        <v>263</v>
      </c>
      <c r="S126" s="19"/>
    </row>
    <row r="127" ht="15.75" customHeight="1">
      <c r="A127" s="10">
        <v>157.0</v>
      </c>
      <c r="B127" s="11" t="s">
        <v>167</v>
      </c>
      <c r="C127" s="12">
        <v>29.0</v>
      </c>
      <c r="D127" s="10" t="s">
        <v>139</v>
      </c>
      <c r="E127" s="10">
        <v>2025.0</v>
      </c>
      <c r="F127" s="10" t="s">
        <v>26</v>
      </c>
      <c r="G127" s="35"/>
      <c r="H127" s="35"/>
      <c r="I127" s="36" t="str">
        <f>IFERROR(_xlfn.FORECAST.LINEAR('BD_LeiturasHidrômetro_PRJ04'!$A127,G:G,A:A),"000000")</f>
        <v>000000</v>
      </c>
      <c r="J127" s="36" t="str">
        <f>IF('BD_LeiturasHidrômetro_PRJ04'!$G127&amp;'BD_LeiturasHidrômetro_PRJ04'!$H127="",'BD_LeiturasHidrômetro_PRJ04'!$I127,'BD_LeiturasHidrômetro_PRJ04'!$G127&amp;'BD_LeiturasHidrômetro_PRJ04'!$H127)</f>
        <v>000000</v>
      </c>
      <c r="K127" s="36" t="str">
        <f t="shared" si="1"/>
        <v>000000</v>
      </c>
      <c r="L127" s="15"/>
      <c r="M127" s="15"/>
      <c r="N127" s="17">
        <f t="shared" si="2"/>
        <v>0</v>
      </c>
      <c r="O127" s="15" t="s">
        <v>263</v>
      </c>
      <c r="S127" s="19"/>
    </row>
    <row r="128" ht="15.75" customHeight="1">
      <c r="A128" s="10">
        <v>158.0</v>
      </c>
      <c r="B128" s="11" t="s">
        <v>168</v>
      </c>
      <c r="C128" s="12">
        <v>30.0</v>
      </c>
      <c r="D128" s="10" t="s">
        <v>139</v>
      </c>
      <c r="E128" s="10">
        <v>2025.0</v>
      </c>
      <c r="F128" s="10" t="s">
        <v>28</v>
      </c>
      <c r="G128" s="35"/>
      <c r="H128" s="35"/>
      <c r="I128" s="36" t="str">
        <f>IFERROR(_xlfn.FORECAST.LINEAR('BD_LeiturasHidrômetro_PRJ04'!$A128,G:G,A:A),"000000")</f>
        <v>000000</v>
      </c>
      <c r="J128" s="36" t="str">
        <f>IF('BD_LeiturasHidrômetro_PRJ04'!$G128&amp;'BD_LeiturasHidrômetro_PRJ04'!$H128="",'BD_LeiturasHidrômetro_PRJ04'!$I128,'BD_LeiturasHidrômetro_PRJ04'!$G128&amp;'BD_LeiturasHidrômetro_PRJ04'!$H128)</f>
        <v>000000</v>
      </c>
      <c r="K128" s="36" t="str">
        <f t="shared" si="1"/>
        <v>000000</v>
      </c>
      <c r="L128" s="15"/>
      <c r="M128" s="15"/>
      <c r="N128" s="17">
        <f t="shared" si="2"/>
        <v>0</v>
      </c>
      <c r="O128" s="15" t="s">
        <v>263</v>
      </c>
      <c r="S128" s="19"/>
    </row>
    <row r="129" ht="15.75" customHeight="1">
      <c r="A129" s="10">
        <v>159.0</v>
      </c>
      <c r="B129" s="11" t="s">
        <v>169</v>
      </c>
      <c r="C129" s="12">
        <v>31.0</v>
      </c>
      <c r="D129" s="10" t="s">
        <v>139</v>
      </c>
      <c r="E129" s="10">
        <v>2025.0</v>
      </c>
      <c r="F129" s="10" t="s">
        <v>30</v>
      </c>
      <c r="G129" s="35"/>
      <c r="H129" s="35"/>
      <c r="I129" s="36" t="str">
        <f>IFERROR(_xlfn.FORECAST.LINEAR('BD_LeiturasHidrômetro_PRJ04'!$A129,G:G,A:A),"000000")</f>
        <v>000000</v>
      </c>
      <c r="J129" s="36" t="str">
        <f>IF('BD_LeiturasHidrômetro_PRJ04'!$G129&amp;'BD_LeiturasHidrômetro_PRJ04'!$H129="",'BD_LeiturasHidrômetro_PRJ04'!$I129,'BD_LeiturasHidrômetro_PRJ04'!$G129&amp;'BD_LeiturasHidrômetro_PRJ04'!$H129)</f>
        <v>000000</v>
      </c>
      <c r="K129" s="36" t="str">
        <f t="shared" si="1"/>
        <v>000000</v>
      </c>
      <c r="L129" s="15"/>
      <c r="M129" s="15"/>
      <c r="N129" s="17">
        <f t="shared" si="2"/>
        <v>0</v>
      </c>
      <c r="O129" s="15" t="s">
        <v>263</v>
      </c>
      <c r="S129" s="19"/>
    </row>
    <row r="130" ht="15.75" customHeight="1">
      <c r="A130" s="10">
        <v>160.0</v>
      </c>
      <c r="B130" s="11" t="s">
        <v>170</v>
      </c>
      <c r="C130" s="12">
        <v>1.0</v>
      </c>
      <c r="D130" s="10" t="s">
        <v>171</v>
      </c>
      <c r="E130" s="10">
        <v>2025.0</v>
      </c>
      <c r="F130" s="10" t="s">
        <v>32</v>
      </c>
      <c r="G130" s="35"/>
      <c r="H130" s="35"/>
      <c r="I130" s="36" t="str">
        <f>IFERROR(_xlfn.FORECAST.LINEAR('BD_LeiturasHidrômetro_PRJ04'!$A130,G:G,A:A),"000000")</f>
        <v>000000</v>
      </c>
      <c r="J130" s="36" t="str">
        <f>IF('BD_LeiturasHidrômetro_PRJ04'!$G130&amp;'BD_LeiturasHidrômetro_PRJ04'!$H130="",'BD_LeiturasHidrômetro_PRJ04'!$I130,'BD_LeiturasHidrômetro_PRJ04'!$G130&amp;'BD_LeiturasHidrômetro_PRJ04'!$H130)</f>
        <v>000000</v>
      </c>
      <c r="K130" s="36" t="str">
        <f t="shared" si="1"/>
        <v>000000</v>
      </c>
      <c r="L130" s="15"/>
      <c r="M130" s="15"/>
      <c r="N130" s="17">
        <f t="shared" si="2"/>
        <v>0</v>
      </c>
      <c r="O130" s="15" t="s">
        <v>263</v>
      </c>
      <c r="S130" s="19"/>
    </row>
    <row r="131" ht="15.75" customHeight="1">
      <c r="A131" s="10">
        <v>161.0</v>
      </c>
      <c r="B131" s="11" t="s">
        <v>172</v>
      </c>
      <c r="C131" s="12">
        <v>2.0</v>
      </c>
      <c r="D131" s="10" t="s">
        <v>171</v>
      </c>
      <c r="E131" s="10">
        <v>2025.0</v>
      </c>
      <c r="F131" s="10" t="s">
        <v>34</v>
      </c>
      <c r="G131" s="35"/>
      <c r="H131" s="35"/>
      <c r="I131" s="36" t="str">
        <f>IFERROR(_xlfn.FORECAST.LINEAR('BD_LeiturasHidrômetro_PRJ04'!$A131,G:G,A:A),"000000")</f>
        <v>000000</v>
      </c>
      <c r="J131" s="36" t="str">
        <f>IF('BD_LeiturasHidrômetro_PRJ04'!$G131&amp;'BD_LeiturasHidrômetro_PRJ04'!$H131="",'BD_LeiturasHidrômetro_PRJ04'!$I131,'BD_LeiturasHidrômetro_PRJ04'!$G131&amp;'BD_LeiturasHidrômetro_PRJ04'!$H131)</f>
        <v>000000</v>
      </c>
      <c r="K131" s="36" t="str">
        <f t="shared" si="1"/>
        <v>000000</v>
      </c>
      <c r="L131" s="15"/>
      <c r="M131" s="15"/>
      <c r="N131" s="17">
        <f t="shared" si="2"/>
        <v>0</v>
      </c>
      <c r="O131" s="15" t="s">
        <v>263</v>
      </c>
      <c r="S131" s="19"/>
    </row>
    <row r="132" ht="15.75" customHeight="1">
      <c r="A132" s="10">
        <v>162.0</v>
      </c>
      <c r="B132" s="11" t="s">
        <v>173</v>
      </c>
      <c r="C132" s="12">
        <v>3.0</v>
      </c>
      <c r="D132" s="10" t="s">
        <v>171</v>
      </c>
      <c r="E132" s="10">
        <v>2025.0</v>
      </c>
      <c r="F132" s="10" t="s">
        <v>19</v>
      </c>
      <c r="G132" s="35"/>
      <c r="H132" s="35"/>
      <c r="I132" s="36" t="str">
        <f>IFERROR(_xlfn.FORECAST.LINEAR('BD_LeiturasHidrômetro_PRJ04'!$A132,G:G,A:A),"000000")</f>
        <v>000000</v>
      </c>
      <c r="J132" s="36" t="str">
        <f>IF('BD_LeiturasHidrômetro_PRJ04'!$G132&amp;'BD_LeiturasHidrômetro_PRJ04'!$H132="",'BD_LeiturasHidrômetro_PRJ04'!$I132,'BD_LeiturasHidrômetro_PRJ04'!$G132&amp;'BD_LeiturasHidrômetro_PRJ04'!$H132)</f>
        <v>000000</v>
      </c>
      <c r="K132" s="36" t="str">
        <f t="shared" si="1"/>
        <v>000000</v>
      </c>
      <c r="L132" s="15"/>
      <c r="M132" s="15"/>
      <c r="N132" s="17">
        <f t="shared" si="2"/>
        <v>0</v>
      </c>
      <c r="O132" s="15" t="s">
        <v>263</v>
      </c>
      <c r="S132" s="19"/>
    </row>
    <row r="133" ht="15.75" customHeight="1">
      <c r="A133" s="10">
        <v>163.0</v>
      </c>
      <c r="B133" s="11" t="s">
        <v>174</v>
      </c>
      <c r="C133" s="12">
        <v>4.0</v>
      </c>
      <c r="D133" s="10" t="s">
        <v>171</v>
      </c>
      <c r="E133" s="10">
        <v>2025.0</v>
      </c>
      <c r="F133" s="10" t="s">
        <v>23</v>
      </c>
      <c r="G133" s="35"/>
      <c r="H133" s="35"/>
      <c r="I133" s="36" t="str">
        <f>IFERROR(_xlfn.FORECAST.LINEAR('BD_LeiturasHidrômetro_PRJ04'!$A133,G:G,A:A),"000000")</f>
        <v>000000</v>
      </c>
      <c r="J133" s="36" t="str">
        <f>IF('BD_LeiturasHidrômetro_PRJ04'!$G133&amp;'BD_LeiturasHidrômetro_PRJ04'!$H133="",'BD_LeiturasHidrômetro_PRJ04'!$I133,'BD_LeiturasHidrômetro_PRJ04'!$G133&amp;'BD_LeiturasHidrômetro_PRJ04'!$H133)</f>
        <v>000000</v>
      </c>
      <c r="K133" s="36" t="str">
        <f t="shared" si="1"/>
        <v>000000</v>
      </c>
      <c r="L133" s="15"/>
      <c r="M133" s="15"/>
      <c r="N133" s="17">
        <f t="shared" si="2"/>
        <v>0</v>
      </c>
      <c r="O133" s="15" t="s">
        <v>263</v>
      </c>
      <c r="S133" s="19"/>
    </row>
    <row r="134" ht="15.75" customHeight="1">
      <c r="A134" s="10">
        <v>164.0</v>
      </c>
      <c r="B134" s="11" t="s">
        <v>175</v>
      </c>
      <c r="C134" s="12">
        <v>5.0</v>
      </c>
      <c r="D134" s="10" t="s">
        <v>171</v>
      </c>
      <c r="E134" s="10">
        <v>2025.0</v>
      </c>
      <c r="F134" s="10" t="s">
        <v>26</v>
      </c>
      <c r="G134" s="35"/>
      <c r="H134" s="35"/>
      <c r="I134" s="36" t="str">
        <f>IFERROR(_xlfn.FORECAST.LINEAR('BD_LeiturasHidrômetro_PRJ04'!$A134,G:G,A:A),"000000")</f>
        <v>000000</v>
      </c>
      <c r="J134" s="36" t="str">
        <f>IF('BD_LeiturasHidrômetro_PRJ04'!$G134&amp;'BD_LeiturasHidrômetro_PRJ04'!$H134="",'BD_LeiturasHidrômetro_PRJ04'!$I134,'BD_LeiturasHidrômetro_PRJ04'!$G134&amp;'BD_LeiturasHidrômetro_PRJ04'!$H134)</f>
        <v>000000</v>
      </c>
      <c r="K134" s="36" t="str">
        <f t="shared" si="1"/>
        <v>000000</v>
      </c>
      <c r="L134" s="15"/>
      <c r="M134" s="15"/>
      <c r="N134" s="17">
        <f t="shared" si="2"/>
        <v>0</v>
      </c>
      <c r="O134" s="15" t="s">
        <v>263</v>
      </c>
      <c r="S134" s="19"/>
    </row>
    <row r="135" ht="15.75" customHeight="1">
      <c r="A135" s="10">
        <v>165.0</v>
      </c>
      <c r="B135" s="11" t="s">
        <v>176</v>
      </c>
      <c r="C135" s="12">
        <v>6.0</v>
      </c>
      <c r="D135" s="10" t="s">
        <v>171</v>
      </c>
      <c r="E135" s="10">
        <v>2025.0</v>
      </c>
      <c r="F135" s="10" t="s">
        <v>28</v>
      </c>
      <c r="G135" s="35"/>
      <c r="H135" s="35"/>
      <c r="I135" s="36" t="str">
        <f>IFERROR(_xlfn.FORECAST.LINEAR('BD_LeiturasHidrômetro_PRJ04'!$A135,G:G,A:A),"000000")</f>
        <v>000000</v>
      </c>
      <c r="J135" s="36" t="str">
        <f>IF('BD_LeiturasHidrômetro_PRJ04'!$G135&amp;'BD_LeiturasHidrômetro_PRJ04'!$H135="",'BD_LeiturasHidrômetro_PRJ04'!$I135,'BD_LeiturasHidrômetro_PRJ04'!$G135&amp;'BD_LeiturasHidrômetro_PRJ04'!$H135)</f>
        <v>000000</v>
      </c>
      <c r="K135" s="36" t="str">
        <f t="shared" si="1"/>
        <v>000000</v>
      </c>
      <c r="L135" s="15"/>
      <c r="M135" s="15"/>
      <c r="N135" s="17">
        <f t="shared" si="2"/>
        <v>0</v>
      </c>
      <c r="O135" s="15" t="s">
        <v>263</v>
      </c>
      <c r="S135" s="19"/>
    </row>
    <row r="136" ht="15.75" customHeight="1">
      <c r="A136" s="10">
        <v>166.0</v>
      </c>
      <c r="B136" s="11" t="s">
        <v>177</v>
      </c>
      <c r="C136" s="12">
        <v>7.0</v>
      </c>
      <c r="D136" s="10" t="s">
        <v>171</v>
      </c>
      <c r="E136" s="10">
        <v>2025.0</v>
      </c>
      <c r="F136" s="10" t="s">
        <v>30</v>
      </c>
      <c r="G136" s="35"/>
      <c r="H136" s="35"/>
      <c r="I136" s="36" t="str">
        <f>IFERROR(_xlfn.FORECAST.LINEAR('BD_LeiturasHidrômetro_PRJ04'!$A136,G:G,A:A),"000000")</f>
        <v>000000</v>
      </c>
      <c r="J136" s="36" t="str">
        <f>IF('BD_LeiturasHidrômetro_PRJ04'!$G136&amp;'BD_LeiturasHidrômetro_PRJ04'!$H136="",'BD_LeiturasHidrômetro_PRJ04'!$I136,'BD_LeiturasHidrômetro_PRJ04'!$G136&amp;'BD_LeiturasHidrômetro_PRJ04'!$H136)</f>
        <v>000000</v>
      </c>
      <c r="K136" s="36" t="str">
        <f t="shared" si="1"/>
        <v>000000</v>
      </c>
      <c r="L136" s="15"/>
      <c r="M136" s="15"/>
      <c r="N136" s="17">
        <f t="shared" si="2"/>
        <v>0</v>
      </c>
      <c r="O136" s="15" t="s">
        <v>263</v>
      </c>
      <c r="S136" s="19"/>
    </row>
    <row r="137" ht="15.75" customHeight="1">
      <c r="A137" s="10">
        <v>167.0</v>
      </c>
      <c r="B137" s="11" t="s">
        <v>178</v>
      </c>
      <c r="C137" s="12">
        <v>8.0</v>
      </c>
      <c r="D137" s="10" t="s">
        <v>171</v>
      </c>
      <c r="E137" s="10">
        <v>2025.0</v>
      </c>
      <c r="F137" s="10" t="s">
        <v>32</v>
      </c>
      <c r="G137" s="35"/>
      <c r="H137" s="35"/>
      <c r="I137" s="36" t="str">
        <f>IFERROR(_xlfn.FORECAST.LINEAR('BD_LeiturasHidrômetro_PRJ04'!$A137,G:G,A:A),"000000")</f>
        <v>000000</v>
      </c>
      <c r="J137" s="36" t="str">
        <f>IF('BD_LeiturasHidrômetro_PRJ04'!$G137&amp;'BD_LeiturasHidrômetro_PRJ04'!$H137="",'BD_LeiturasHidrômetro_PRJ04'!$I137,'BD_LeiturasHidrômetro_PRJ04'!$G137&amp;'BD_LeiturasHidrômetro_PRJ04'!$H137)</f>
        <v>000000</v>
      </c>
      <c r="K137" s="36" t="str">
        <f t="shared" si="1"/>
        <v>000000</v>
      </c>
      <c r="L137" s="15"/>
      <c r="M137" s="15"/>
      <c r="N137" s="17">
        <f t="shared" si="2"/>
        <v>0</v>
      </c>
      <c r="O137" s="15" t="s">
        <v>263</v>
      </c>
      <c r="S137" s="19"/>
    </row>
    <row r="138" ht="15.75" customHeight="1">
      <c r="A138" s="10">
        <v>168.0</v>
      </c>
      <c r="B138" s="11" t="s">
        <v>179</v>
      </c>
      <c r="C138" s="12">
        <v>9.0</v>
      </c>
      <c r="D138" s="10" t="s">
        <v>171</v>
      </c>
      <c r="E138" s="10">
        <v>2025.0</v>
      </c>
      <c r="F138" s="10" t="s">
        <v>34</v>
      </c>
      <c r="G138" s="35"/>
      <c r="H138" s="35"/>
      <c r="I138" s="36" t="str">
        <f>IFERROR(_xlfn.FORECAST.LINEAR('BD_LeiturasHidrômetro_PRJ04'!$A138,G:G,A:A),"000000")</f>
        <v>000000</v>
      </c>
      <c r="J138" s="36" t="str">
        <f>IF('BD_LeiturasHidrômetro_PRJ04'!$G138&amp;'BD_LeiturasHidrômetro_PRJ04'!$H138="",'BD_LeiturasHidrômetro_PRJ04'!$I138,'BD_LeiturasHidrômetro_PRJ04'!$G138&amp;'BD_LeiturasHidrômetro_PRJ04'!$H138)</f>
        <v>000000</v>
      </c>
      <c r="K138" s="36" t="str">
        <f t="shared" si="1"/>
        <v>000000</v>
      </c>
      <c r="L138" s="15"/>
      <c r="M138" s="15"/>
      <c r="N138" s="17">
        <f t="shared" si="2"/>
        <v>0</v>
      </c>
      <c r="O138" s="15" t="s">
        <v>263</v>
      </c>
      <c r="S138" s="19"/>
    </row>
    <row r="139" ht="15.75" customHeight="1">
      <c r="A139" s="10">
        <v>169.0</v>
      </c>
      <c r="B139" s="11" t="s">
        <v>180</v>
      </c>
      <c r="C139" s="12">
        <v>10.0</v>
      </c>
      <c r="D139" s="10" t="s">
        <v>171</v>
      </c>
      <c r="E139" s="10">
        <v>2025.0</v>
      </c>
      <c r="F139" s="10" t="s">
        <v>19</v>
      </c>
      <c r="G139" s="35"/>
      <c r="H139" s="35"/>
      <c r="I139" s="36" t="str">
        <f>IFERROR(_xlfn.FORECAST.LINEAR('BD_LeiturasHidrômetro_PRJ04'!$A139,G:G,A:A),"000000")</f>
        <v>000000</v>
      </c>
      <c r="J139" s="36" t="str">
        <f>IF('BD_LeiturasHidrômetro_PRJ04'!$G139&amp;'BD_LeiturasHidrômetro_PRJ04'!$H139="",'BD_LeiturasHidrômetro_PRJ04'!$I139,'BD_LeiturasHidrômetro_PRJ04'!$G139&amp;'BD_LeiturasHidrômetro_PRJ04'!$H139)</f>
        <v>000000</v>
      </c>
      <c r="K139" s="36" t="str">
        <f t="shared" si="1"/>
        <v>000000</v>
      </c>
      <c r="L139" s="15"/>
      <c r="M139" s="15"/>
      <c r="N139" s="17">
        <f t="shared" si="2"/>
        <v>0</v>
      </c>
      <c r="O139" s="15" t="s">
        <v>263</v>
      </c>
      <c r="S139" s="19"/>
    </row>
    <row r="140" ht="15.75" customHeight="1">
      <c r="A140" s="10">
        <v>170.0</v>
      </c>
      <c r="B140" s="11" t="s">
        <v>181</v>
      </c>
      <c r="C140" s="12">
        <v>11.0</v>
      </c>
      <c r="D140" s="10" t="s">
        <v>171</v>
      </c>
      <c r="E140" s="10">
        <v>2025.0</v>
      </c>
      <c r="F140" s="10" t="s">
        <v>23</v>
      </c>
      <c r="G140" s="35"/>
      <c r="H140" s="35"/>
      <c r="I140" s="36" t="str">
        <f>IFERROR(_xlfn.FORECAST.LINEAR('BD_LeiturasHidrômetro_PRJ04'!$A140,G:G,A:A),"000000")</f>
        <v>000000</v>
      </c>
      <c r="J140" s="36" t="str">
        <f>IF('BD_LeiturasHidrômetro_PRJ04'!$G140&amp;'BD_LeiturasHidrômetro_PRJ04'!$H140="",'BD_LeiturasHidrômetro_PRJ04'!$I140,'BD_LeiturasHidrômetro_PRJ04'!$G140&amp;'BD_LeiturasHidrômetro_PRJ04'!$H140)</f>
        <v>000000</v>
      </c>
      <c r="K140" s="36" t="str">
        <f t="shared" si="1"/>
        <v>000000</v>
      </c>
      <c r="L140" s="15"/>
      <c r="M140" s="15"/>
      <c r="N140" s="17">
        <f t="shared" si="2"/>
        <v>0</v>
      </c>
      <c r="O140" s="15" t="s">
        <v>263</v>
      </c>
      <c r="S140" s="19"/>
    </row>
    <row r="141" ht="15.75" customHeight="1">
      <c r="A141" s="10">
        <v>171.0</v>
      </c>
      <c r="B141" s="11" t="s">
        <v>182</v>
      </c>
      <c r="C141" s="12">
        <v>12.0</v>
      </c>
      <c r="D141" s="10" t="s">
        <v>171</v>
      </c>
      <c r="E141" s="10">
        <v>2025.0</v>
      </c>
      <c r="F141" s="10" t="s">
        <v>26</v>
      </c>
      <c r="G141" s="35"/>
      <c r="H141" s="35"/>
      <c r="I141" s="36" t="str">
        <f>IFERROR(_xlfn.FORECAST.LINEAR('BD_LeiturasHidrômetro_PRJ04'!$A141,G:G,A:A),"000000")</f>
        <v>000000</v>
      </c>
      <c r="J141" s="36" t="str">
        <f>IF('BD_LeiturasHidrômetro_PRJ04'!$G141&amp;'BD_LeiturasHidrômetro_PRJ04'!$H141="",'BD_LeiturasHidrômetro_PRJ04'!$I141,'BD_LeiturasHidrômetro_PRJ04'!$G141&amp;'BD_LeiturasHidrômetro_PRJ04'!$H141)</f>
        <v>000000</v>
      </c>
      <c r="K141" s="36" t="str">
        <f t="shared" si="1"/>
        <v>000000</v>
      </c>
      <c r="L141" s="15"/>
      <c r="M141" s="15"/>
      <c r="N141" s="17">
        <f t="shared" si="2"/>
        <v>0</v>
      </c>
      <c r="O141" s="15" t="s">
        <v>263</v>
      </c>
      <c r="S141" s="19"/>
    </row>
    <row r="142" ht="15.75" customHeight="1">
      <c r="A142" s="10">
        <v>172.0</v>
      </c>
      <c r="B142" s="11" t="s">
        <v>183</v>
      </c>
      <c r="C142" s="12">
        <v>13.0</v>
      </c>
      <c r="D142" s="10" t="s">
        <v>171</v>
      </c>
      <c r="E142" s="10">
        <v>2025.0</v>
      </c>
      <c r="F142" s="10" t="s">
        <v>28</v>
      </c>
      <c r="G142" s="35"/>
      <c r="H142" s="35"/>
      <c r="I142" s="36" t="str">
        <f>IFERROR(_xlfn.FORECAST.LINEAR('BD_LeiturasHidrômetro_PRJ04'!$A142,G:G,A:A),"000000")</f>
        <v>000000</v>
      </c>
      <c r="J142" s="36" t="str">
        <f>IF('BD_LeiturasHidrômetro_PRJ04'!$G142&amp;'BD_LeiturasHidrômetro_PRJ04'!$H142="",'BD_LeiturasHidrômetro_PRJ04'!$I142,'BD_LeiturasHidrômetro_PRJ04'!$G142&amp;'BD_LeiturasHidrômetro_PRJ04'!$H142)</f>
        <v>000000</v>
      </c>
      <c r="K142" s="36" t="str">
        <f t="shared" si="1"/>
        <v>000000</v>
      </c>
      <c r="L142" s="15"/>
      <c r="M142" s="15"/>
      <c r="N142" s="17">
        <f t="shared" si="2"/>
        <v>0</v>
      </c>
      <c r="O142" s="15" t="s">
        <v>263</v>
      </c>
      <c r="S142" s="19"/>
    </row>
    <row r="143" ht="15.75" customHeight="1">
      <c r="A143" s="10">
        <v>173.0</v>
      </c>
      <c r="B143" s="11" t="s">
        <v>184</v>
      </c>
      <c r="C143" s="12">
        <v>14.0</v>
      </c>
      <c r="D143" s="10" t="s">
        <v>171</v>
      </c>
      <c r="E143" s="10">
        <v>2025.0</v>
      </c>
      <c r="F143" s="10" t="s">
        <v>30</v>
      </c>
      <c r="G143" s="35"/>
      <c r="H143" s="35"/>
      <c r="I143" s="36" t="str">
        <f>IFERROR(_xlfn.FORECAST.LINEAR('BD_LeiturasHidrômetro_PRJ04'!$A143,G:G,A:A),"000000")</f>
        <v>000000</v>
      </c>
      <c r="J143" s="36" t="str">
        <f>IF('BD_LeiturasHidrômetro_PRJ04'!$G143&amp;'BD_LeiturasHidrômetro_PRJ04'!$H143="",'BD_LeiturasHidrômetro_PRJ04'!$I143,'BD_LeiturasHidrômetro_PRJ04'!$G143&amp;'BD_LeiturasHidrômetro_PRJ04'!$H143)</f>
        <v>000000</v>
      </c>
      <c r="K143" s="36" t="str">
        <f t="shared" si="1"/>
        <v>000000</v>
      </c>
      <c r="L143" s="15"/>
      <c r="M143" s="15"/>
      <c r="N143" s="17">
        <f t="shared" si="2"/>
        <v>0</v>
      </c>
      <c r="O143" s="15" t="s">
        <v>263</v>
      </c>
      <c r="S143" s="19"/>
    </row>
    <row r="144" ht="15.75" customHeight="1">
      <c r="A144" s="10">
        <v>174.0</v>
      </c>
      <c r="B144" s="11" t="s">
        <v>185</v>
      </c>
      <c r="C144" s="12">
        <v>15.0</v>
      </c>
      <c r="D144" s="10" t="s">
        <v>171</v>
      </c>
      <c r="E144" s="10">
        <v>2025.0</v>
      </c>
      <c r="F144" s="10" t="s">
        <v>32</v>
      </c>
      <c r="G144" s="35"/>
      <c r="H144" s="35"/>
      <c r="I144" s="36" t="str">
        <f>IFERROR(_xlfn.FORECAST.LINEAR('BD_LeiturasHidrômetro_PRJ04'!$A144,G:G,A:A),"000000")</f>
        <v>000000</v>
      </c>
      <c r="J144" s="36" t="str">
        <f>IF('BD_LeiturasHidrômetro_PRJ04'!$G144&amp;'BD_LeiturasHidrômetro_PRJ04'!$H144="",'BD_LeiturasHidrômetro_PRJ04'!$I144,'BD_LeiturasHidrômetro_PRJ04'!$G144&amp;'BD_LeiturasHidrômetro_PRJ04'!$H144)</f>
        <v>000000</v>
      </c>
      <c r="K144" s="36" t="str">
        <f t="shared" si="1"/>
        <v>000000</v>
      </c>
      <c r="L144" s="15"/>
      <c r="M144" s="15"/>
      <c r="N144" s="17">
        <f t="shared" si="2"/>
        <v>0</v>
      </c>
      <c r="O144" s="15" t="s">
        <v>263</v>
      </c>
      <c r="S144" s="19"/>
    </row>
    <row r="145" ht="15.75" customHeight="1">
      <c r="A145" s="10">
        <v>175.0</v>
      </c>
      <c r="B145" s="11" t="s">
        <v>186</v>
      </c>
      <c r="C145" s="12">
        <v>16.0</v>
      </c>
      <c r="D145" s="10" t="s">
        <v>171</v>
      </c>
      <c r="E145" s="10">
        <v>2025.0</v>
      </c>
      <c r="F145" s="10" t="s">
        <v>34</v>
      </c>
      <c r="G145" s="35"/>
      <c r="H145" s="35"/>
      <c r="I145" s="36" t="str">
        <f>IFERROR(_xlfn.FORECAST.LINEAR('BD_LeiturasHidrômetro_PRJ04'!$A145,G:G,A:A),"000000")</f>
        <v>000000</v>
      </c>
      <c r="J145" s="36" t="str">
        <f>IF('BD_LeiturasHidrômetro_PRJ04'!$G145&amp;'BD_LeiturasHidrômetro_PRJ04'!$H145="",'BD_LeiturasHidrômetro_PRJ04'!$I145,'BD_LeiturasHidrômetro_PRJ04'!$G145&amp;'BD_LeiturasHidrômetro_PRJ04'!$H145)</f>
        <v>000000</v>
      </c>
      <c r="K145" s="36" t="str">
        <f t="shared" si="1"/>
        <v>000000</v>
      </c>
      <c r="L145" s="15"/>
      <c r="M145" s="15"/>
      <c r="N145" s="17">
        <f t="shared" si="2"/>
        <v>0</v>
      </c>
      <c r="O145" s="15" t="s">
        <v>263</v>
      </c>
      <c r="S145" s="19"/>
    </row>
    <row r="146" ht="15.75" customHeight="1">
      <c r="A146" s="10">
        <v>176.0</v>
      </c>
      <c r="B146" s="11" t="s">
        <v>187</v>
      </c>
      <c r="C146" s="12">
        <v>17.0</v>
      </c>
      <c r="D146" s="10" t="s">
        <v>171</v>
      </c>
      <c r="E146" s="10">
        <v>2025.0</v>
      </c>
      <c r="F146" s="10" t="s">
        <v>19</v>
      </c>
      <c r="G146" s="35"/>
      <c r="H146" s="35"/>
      <c r="I146" s="36" t="str">
        <f>IFERROR(_xlfn.FORECAST.LINEAR('BD_LeiturasHidrômetro_PRJ04'!$A146,G:G,A:A),"000000")</f>
        <v>000000</v>
      </c>
      <c r="J146" s="36" t="str">
        <f>IF('BD_LeiturasHidrômetro_PRJ04'!$G146&amp;'BD_LeiturasHidrômetro_PRJ04'!$H146="",'BD_LeiturasHidrômetro_PRJ04'!$I146,'BD_LeiturasHidrômetro_PRJ04'!$G146&amp;'BD_LeiturasHidrômetro_PRJ04'!$H146)</f>
        <v>000000</v>
      </c>
      <c r="K146" s="36" t="str">
        <f t="shared" si="1"/>
        <v>000000</v>
      </c>
      <c r="L146" s="15"/>
      <c r="M146" s="15"/>
      <c r="N146" s="17">
        <f t="shared" si="2"/>
        <v>0</v>
      </c>
      <c r="O146" s="15" t="s">
        <v>263</v>
      </c>
      <c r="S146" s="19"/>
    </row>
    <row r="147" ht="15.75" customHeight="1">
      <c r="A147" s="10">
        <v>177.0</v>
      </c>
      <c r="B147" s="11" t="s">
        <v>188</v>
      </c>
      <c r="C147" s="12">
        <v>18.0</v>
      </c>
      <c r="D147" s="10" t="s">
        <v>171</v>
      </c>
      <c r="E147" s="10">
        <v>2025.0</v>
      </c>
      <c r="F147" s="10" t="s">
        <v>23</v>
      </c>
      <c r="G147" s="35"/>
      <c r="H147" s="35"/>
      <c r="I147" s="36" t="str">
        <f>IFERROR(_xlfn.FORECAST.LINEAR('BD_LeiturasHidrômetro_PRJ04'!$A147,G:G,A:A),"000000")</f>
        <v>000000</v>
      </c>
      <c r="J147" s="36" t="str">
        <f>IF('BD_LeiturasHidrômetro_PRJ04'!$G147&amp;'BD_LeiturasHidrômetro_PRJ04'!$H147="",'BD_LeiturasHidrômetro_PRJ04'!$I147,'BD_LeiturasHidrômetro_PRJ04'!$G147&amp;'BD_LeiturasHidrômetro_PRJ04'!$H147)</f>
        <v>000000</v>
      </c>
      <c r="K147" s="36" t="str">
        <f t="shared" si="1"/>
        <v>000000</v>
      </c>
      <c r="L147" s="15"/>
      <c r="M147" s="15"/>
      <c r="N147" s="17">
        <f t="shared" si="2"/>
        <v>0</v>
      </c>
      <c r="O147" s="15" t="s">
        <v>263</v>
      </c>
      <c r="S147" s="19"/>
    </row>
    <row r="148" ht="15.75" customHeight="1">
      <c r="A148" s="10">
        <v>178.0</v>
      </c>
      <c r="B148" s="11" t="s">
        <v>189</v>
      </c>
      <c r="C148" s="12">
        <v>19.0</v>
      </c>
      <c r="D148" s="10" t="s">
        <v>171</v>
      </c>
      <c r="E148" s="10">
        <v>2025.0</v>
      </c>
      <c r="F148" s="10" t="s">
        <v>26</v>
      </c>
      <c r="G148" s="35"/>
      <c r="H148" s="35"/>
      <c r="I148" s="36" t="str">
        <f>IFERROR(_xlfn.FORECAST.LINEAR('BD_LeiturasHidrômetro_PRJ04'!$A148,G:G,A:A),"000000")</f>
        <v>000000</v>
      </c>
      <c r="J148" s="36" t="str">
        <f>IF('BD_LeiturasHidrômetro_PRJ04'!$G148&amp;'BD_LeiturasHidrômetro_PRJ04'!$H148="",'BD_LeiturasHidrômetro_PRJ04'!$I148,'BD_LeiturasHidrômetro_PRJ04'!$G148&amp;'BD_LeiturasHidrômetro_PRJ04'!$H148)</f>
        <v>000000</v>
      </c>
      <c r="K148" s="36" t="str">
        <f t="shared" si="1"/>
        <v>000000</v>
      </c>
      <c r="L148" s="15"/>
      <c r="M148" s="15"/>
      <c r="N148" s="17">
        <f t="shared" si="2"/>
        <v>0</v>
      </c>
      <c r="O148" s="15" t="s">
        <v>263</v>
      </c>
      <c r="S148" s="19"/>
    </row>
    <row r="149" ht="15.75" customHeight="1">
      <c r="A149" s="10">
        <v>179.0</v>
      </c>
      <c r="B149" s="11" t="s">
        <v>190</v>
      </c>
      <c r="C149" s="12">
        <v>20.0</v>
      </c>
      <c r="D149" s="10" t="s">
        <v>171</v>
      </c>
      <c r="E149" s="10">
        <v>2025.0</v>
      </c>
      <c r="F149" s="10" t="s">
        <v>28</v>
      </c>
      <c r="G149" s="35"/>
      <c r="H149" s="35"/>
      <c r="I149" s="36" t="str">
        <f>IFERROR(_xlfn.FORECAST.LINEAR('BD_LeiturasHidrômetro_PRJ04'!$A149,G:G,A:A),"000000")</f>
        <v>000000</v>
      </c>
      <c r="J149" s="36" t="str">
        <f>IF('BD_LeiturasHidrômetro_PRJ04'!$G149&amp;'BD_LeiturasHidrômetro_PRJ04'!$H149="",'BD_LeiturasHidrômetro_PRJ04'!$I149,'BD_LeiturasHidrômetro_PRJ04'!$G149&amp;'BD_LeiturasHidrômetro_PRJ04'!$H149)</f>
        <v>000000</v>
      </c>
      <c r="K149" s="36" t="str">
        <f t="shared" si="1"/>
        <v>000000</v>
      </c>
      <c r="L149" s="15"/>
      <c r="M149" s="15"/>
      <c r="N149" s="17">
        <f t="shared" si="2"/>
        <v>0</v>
      </c>
      <c r="O149" s="15" t="s">
        <v>263</v>
      </c>
      <c r="S149" s="19"/>
    </row>
    <row r="150" ht="15.75" customHeight="1">
      <c r="A150" s="10">
        <v>180.0</v>
      </c>
      <c r="B150" s="11" t="s">
        <v>191</v>
      </c>
      <c r="C150" s="12">
        <v>21.0</v>
      </c>
      <c r="D150" s="10" t="s">
        <v>171</v>
      </c>
      <c r="E150" s="10">
        <v>2025.0</v>
      </c>
      <c r="F150" s="10" t="s">
        <v>30</v>
      </c>
      <c r="G150" s="35"/>
      <c r="H150" s="35"/>
      <c r="I150" s="36" t="str">
        <f>IFERROR(_xlfn.FORECAST.LINEAR('BD_LeiturasHidrômetro_PRJ04'!$A150,G:G,A:A),"000000")</f>
        <v>000000</v>
      </c>
      <c r="J150" s="36" t="str">
        <f>IF('BD_LeiturasHidrômetro_PRJ04'!$G150&amp;'BD_LeiturasHidrômetro_PRJ04'!$H150="",'BD_LeiturasHidrômetro_PRJ04'!$I150,'BD_LeiturasHidrômetro_PRJ04'!$G150&amp;'BD_LeiturasHidrômetro_PRJ04'!$H150)</f>
        <v>000000</v>
      </c>
      <c r="K150" s="36" t="str">
        <f t="shared" si="1"/>
        <v>000000</v>
      </c>
      <c r="L150" s="15"/>
      <c r="M150" s="15"/>
      <c r="N150" s="17">
        <f t="shared" si="2"/>
        <v>0</v>
      </c>
      <c r="O150" s="15" t="s">
        <v>263</v>
      </c>
      <c r="S150" s="19"/>
    </row>
    <row r="151" ht="15.75" customHeight="1">
      <c r="A151" s="10">
        <v>181.0</v>
      </c>
      <c r="B151" s="11" t="s">
        <v>192</v>
      </c>
      <c r="C151" s="12">
        <v>22.0</v>
      </c>
      <c r="D151" s="10" t="s">
        <v>171</v>
      </c>
      <c r="E151" s="10">
        <v>2025.0</v>
      </c>
      <c r="F151" s="10" t="s">
        <v>32</v>
      </c>
      <c r="G151" s="35"/>
      <c r="H151" s="35"/>
      <c r="I151" s="36" t="str">
        <f>IFERROR(_xlfn.FORECAST.LINEAR('BD_LeiturasHidrômetro_PRJ04'!$A151,G:G,A:A),"000000")</f>
        <v>000000</v>
      </c>
      <c r="J151" s="36" t="str">
        <f>IF('BD_LeiturasHidrômetro_PRJ04'!$G151&amp;'BD_LeiturasHidrômetro_PRJ04'!$H151="",'BD_LeiturasHidrômetro_PRJ04'!$I151,'BD_LeiturasHidrômetro_PRJ04'!$G151&amp;'BD_LeiturasHidrômetro_PRJ04'!$H151)</f>
        <v>000000</v>
      </c>
      <c r="K151" s="36" t="str">
        <f t="shared" si="1"/>
        <v>000000</v>
      </c>
      <c r="L151" s="15"/>
      <c r="M151" s="15"/>
      <c r="N151" s="17">
        <f t="shared" si="2"/>
        <v>0</v>
      </c>
      <c r="O151" s="15" t="s">
        <v>263</v>
      </c>
      <c r="S151" s="19"/>
    </row>
    <row r="152" ht="15.75" customHeight="1">
      <c r="A152" s="10">
        <v>182.0</v>
      </c>
      <c r="B152" s="11" t="s">
        <v>193</v>
      </c>
      <c r="C152" s="12">
        <v>23.0</v>
      </c>
      <c r="D152" s="10" t="s">
        <v>171</v>
      </c>
      <c r="E152" s="10">
        <v>2025.0</v>
      </c>
      <c r="F152" s="10" t="s">
        <v>34</v>
      </c>
      <c r="G152" s="35"/>
      <c r="H152" s="35"/>
      <c r="I152" s="36" t="str">
        <f>IFERROR(_xlfn.FORECAST.LINEAR('BD_LeiturasHidrômetro_PRJ04'!$A152,G:G,A:A),"000000")</f>
        <v>000000</v>
      </c>
      <c r="J152" s="36" t="str">
        <f>IF('BD_LeiturasHidrômetro_PRJ04'!$G152&amp;'BD_LeiturasHidrômetro_PRJ04'!$H152="",'BD_LeiturasHidrômetro_PRJ04'!$I152,'BD_LeiturasHidrômetro_PRJ04'!$G152&amp;'BD_LeiturasHidrômetro_PRJ04'!$H152)</f>
        <v>000000</v>
      </c>
      <c r="K152" s="36" t="str">
        <f t="shared" si="1"/>
        <v>000000</v>
      </c>
      <c r="L152" s="15"/>
      <c r="M152" s="15"/>
      <c r="N152" s="17">
        <f t="shared" si="2"/>
        <v>0</v>
      </c>
      <c r="O152" s="15" t="s">
        <v>263</v>
      </c>
      <c r="S152" s="19"/>
    </row>
    <row r="153" ht="15.75" customHeight="1">
      <c r="A153" s="10">
        <v>183.0</v>
      </c>
      <c r="B153" s="11" t="s">
        <v>194</v>
      </c>
      <c r="C153" s="12">
        <v>24.0</v>
      </c>
      <c r="D153" s="10" t="s">
        <v>171</v>
      </c>
      <c r="E153" s="10">
        <v>2025.0</v>
      </c>
      <c r="F153" s="10" t="s">
        <v>19</v>
      </c>
      <c r="G153" s="35"/>
      <c r="H153" s="35"/>
      <c r="I153" s="36" t="str">
        <f>IFERROR(_xlfn.FORECAST.LINEAR('BD_LeiturasHidrômetro_PRJ04'!$A153,G:G,A:A),"000000")</f>
        <v>000000</v>
      </c>
      <c r="J153" s="36" t="str">
        <f>IF('BD_LeiturasHidrômetro_PRJ04'!$G153&amp;'BD_LeiturasHidrômetro_PRJ04'!$H153="",'BD_LeiturasHidrômetro_PRJ04'!$I153,'BD_LeiturasHidrômetro_PRJ04'!$G153&amp;'BD_LeiturasHidrômetro_PRJ04'!$H153)</f>
        <v>000000</v>
      </c>
      <c r="K153" s="36" t="str">
        <f t="shared" si="1"/>
        <v>000000</v>
      </c>
      <c r="L153" s="15"/>
      <c r="M153" s="15"/>
      <c r="N153" s="17">
        <f t="shared" si="2"/>
        <v>0</v>
      </c>
      <c r="O153" s="15" t="s">
        <v>263</v>
      </c>
      <c r="S153" s="19"/>
    </row>
    <row r="154" ht="15.75" customHeight="1">
      <c r="A154" s="10">
        <v>184.0</v>
      </c>
      <c r="B154" s="11" t="s">
        <v>195</v>
      </c>
      <c r="C154" s="12">
        <v>25.0</v>
      </c>
      <c r="D154" s="10" t="s">
        <v>171</v>
      </c>
      <c r="E154" s="10">
        <v>2025.0</v>
      </c>
      <c r="F154" s="10" t="s">
        <v>23</v>
      </c>
      <c r="G154" s="35"/>
      <c r="H154" s="35"/>
      <c r="I154" s="36" t="str">
        <f>IFERROR(_xlfn.FORECAST.LINEAR('BD_LeiturasHidrômetro_PRJ04'!$A154,G:G,A:A),"000000")</f>
        <v>000000</v>
      </c>
      <c r="J154" s="36" t="str">
        <f>IF('BD_LeiturasHidrômetro_PRJ04'!$G154&amp;'BD_LeiturasHidrômetro_PRJ04'!$H154="",'BD_LeiturasHidrômetro_PRJ04'!$I154,'BD_LeiturasHidrômetro_PRJ04'!$G154&amp;'BD_LeiturasHidrômetro_PRJ04'!$H154)</f>
        <v>000000</v>
      </c>
      <c r="K154" s="36" t="str">
        <f t="shared" si="1"/>
        <v>000000</v>
      </c>
      <c r="L154" s="15"/>
      <c r="M154" s="15"/>
      <c r="N154" s="17">
        <f t="shared" si="2"/>
        <v>0</v>
      </c>
      <c r="O154" s="15" t="s">
        <v>263</v>
      </c>
      <c r="S154" s="19"/>
    </row>
    <row r="155" ht="15.75" customHeight="1">
      <c r="A155" s="10">
        <v>185.0</v>
      </c>
      <c r="B155" s="11" t="s">
        <v>196</v>
      </c>
      <c r="C155" s="12">
        <v>26.0</v>
      </c>
      <c r="D155" s="10" t="s">
        <v>171</v>
      </c>
      <c r="E155" s="10">
        <v>2025.0</v>
      </c>
      <c r="F155" s="10" t="s">
        <v>26</v>
      </c>
      <c r="G155" s="35"/>
      <c r="H155" s="35"/>
      <c r="I155" s="36" t="str">
        <f>IFERROR(_xlfn.FORECAST.LINEAR('BD_LeiturasHidrômetro_PRJ04'!$A155,G:G,A:A),"000000")</f>
        <v>000000</v>
      </c>
      <c r="J155" s="36" t="str">
        <f>IF('BD_LeiturasHidrômetro_PRJ04'!$G155&amp;'BD_LeiturasHidrômetro_PRJ04'!$H155="",'BD_LeiturasHidrômetro_PRJ04'!$I155,'BD_LeiturasHidrômetro_PRJ04'!$G155&amp;'BD_LeiturasHidrômetro_PRJ04'!$H155)</f>
        <v>000000</v>
      </c>
      <c r="K155" s="36" t="str">
        <f t="shared" si="1"/>
        <v>000000</v>
      </c>
      <c r="L155" s="15"/>
      <c r="M155" s="15"/>
      <c r="N155" s="17">
        <f t="shared" si="2"/>
        <v>0</v>
      </c>
      <c r="O155" s="15" t="s">
        <v>263</v>
      </c>
      <c r="S155" s="19"/>
    </row>
    <row r="156" ht="15.75" customHeight="1">
      <c r="A156" s="10">
        <v>186.0</v>
      </c>
      <c r="B156" s="11" t="s">
        <v>197</v>
      </c>
      <c r="C156" s="12">
        <v>27.0</v>
      </c>
      <c r="D156" s="10" t="s">
        <v>171</v>
      </c>
      <c r="E156" s="10">
        <v>2025.0</v>
      </c>
      <c r="F156" s="10" t="s">
        <v>28</v>
      </c>
      <c r="G156" s="35"/>
      <c r="H156" s="35"/>
      <c r="I156" s="36" t="str">
        <f>IFERROR(_xlfn.FORECAST.LINEAR('BD_LeiturasHidrômetro_PRJ04'!$A156,G:G,A:A),"000000")</f>
        <v>000000</v>
      </c>
      <c r="J156" s="36" t="str">
        <f>IF('BD_LeiturasHidrômetro_PRJ04'!$G156&amp;'BD_LeiturasHidrômetro_PRJ04'!$H156="",'BD_LeiturasHidrômetro_PRJ04'!$I156,'BD_LeiturasHidrômetro_PRJ04'!$G156&amp;'BD_LeiturasHidrômetro_PRJ04'!$H156)</f>
        <v>000000</v>
      </c>
      <c r="K156" s="36" t="str">
        <f t="shared" si="1"/>
        <v>000000</v>
      </c>
      <c r="L156" s="15"/>
      <c r="M156" s="15"/>
      <c r="N156" s="17">
        <f t="shared" si="2"/>
        <v>0</v>
      </c>
      <c r="O156" s="15" t="s">
        <v>263</v>
      </c>
      <c r="S156" s="19"/>
    </row>
    <row r="157" ht="15.75" customHeight="1">
      <c r="A157" s="10">
        <v>187.0</v>
      </c>
      <c r="B157" s="11" t="s">
        <v>198</v>
      </c>
      <c r="C157" s="12">
        <v>28.0</v>
      </c>
      <c r="D157" s="10" t="s">
        <v>171</v>
      </c>
      <c r="E157" s="10">
        <v>2025.0</v>
      </c>
      <c r="F157" s="10" t="s">
        <v>30</v>
      </c>
      <c r="G157" s="35"/>
      <c r="H157" s="35"/>
      <c r="I157" s="36" t="str">
        <f>IFERROR(_xlfn.FORECAST.LINEAR('BD_LeiturasHidrômetro_PRJ04'!$A157,G:G,A:A),"000000")</f>
        <v>000000</v>
      </c>
      <c r="J157" s="36" t="str">
        <f>IF('BD_LeiturasHidrômetro_PRJ04'!$G157&amp;'BD_LeiturasHidrômetro_PRJ04'!$H157="",'BD_LeiturasHidrômetro_PRJ04'!$I157,'BD_LeiturasHidrômetro_PRJ04'!$G157&amp;'BD_LeiturasHidrômetro_PRJ04'!$H157)</f>
        <v>000000</v>
      </c>
      <c r="K157" s="36" t="str">
        <f t="shared" si="1"/>
        <v>000000</v>
      </c>
      <c r="L157" s="15"/>
      <c r="M157" s="15"/>
      <c r="N157" s="17">
        <f t="shared" si="2"/>
        <v>0</v>
      </c>
      <c r="O157" s="15" t="s">
        <v>263</v>
      </c>
      <c r="S157" s="19"/>
    </row>
    <row r="158" ht="15.75" customHeight="1">
      <c r="A158" s="10">
        <v>188.0</v>
      </c>
      <c r="B158" s="11" t="s">
        <v>199</v>
      </c>
      <c r="C158" s="12">
        <v>29.0</v>
      </c>
      <c r="D158" s="10" t="s">
        <v>171</v>
      </c>
      <c r="E158" s="10">
        <v>2025.0</v>
      </c>
      <c r="F158" s="10" t="s">
        <v>32</v>
      </c>
      <c r="G158" s="35"/>
      <c r="H158" s="35"/>
      <c r="I158" s="36" t="str">
        <f>IFERROR(_xlfn.FORECAST.LINEAR('BD_LeiturasHidrômetro_PRJ04'!$A158,G:G,A:A),"000000")</f>
        <v>000000</v>
      </c>
      <c r="J158" s="36" t="str">
        <f>IF('BD_LeiturasHidrômetro_PRJ04'!$G158&amp;'BD_LeiturasHidrômetro_PRJ04'!$H158="",'BD_LeiturasHidrômetro_PRJ04'!$I158,'BD_LeiturasHidrômetro_PRJ04'!$G158&amp;'BD_LeiturasHidrômetro_PRJ04'!$H158)</f>
        <v>000000</v>
      </c>
      <c r="K158" s="36" t="str">
        <f t="shared" si="1"/>
        <v>000000</v>
      </c>
      <c r="L158" s="15"/>
      <c r="M158" s="15"/>
      <c r="N158" s="17">
        <f t="shared" si="2"/>
        <v>0</v>
      </c>
      <c r="O158" s="15" t="s">
        <v>263</v>
      </c>
      <c r="S158" s="19"/>
    </row>
    <row r="159" ht="15.75" customHeight="1">
      <c r="A159" s="10">
        <v>189.0</v>
      </c>
      <c r="B159" s="11" t="s">
        <v>200</v>
      </c>
      <c r="C159" s="12">
        <v>30.0</v>
      </c>
      <c r="D159" s="10" t="s">
        <v>171</v>
      </c>
      <c r="E159" s="10">
        <v>2025.0</v>
      </c>
      <c r="F159" s="10" t="s">
        <v>34</v>
      </c>
      <c r="G159" s="35"/>
      <c r="H159" s="35"/>
      <c r="I159" s="36" t="str">
        <f>IFERROR(_xlfn.FORECAST.LINEAR('BD_LeiturasHidrômetro_PRJ04'!$A159,G:G,A:A),"000000")</f>
        <v>000000</v>
      </c>
      <c r="J159" s="36" t="str">
        <f>IF('BD_LeiturasHidrômetro_PRJ04'!$G159&amp;'BD_LeiturasHidrômetro_PRJ04'!$H159="",'BD_LeiturasHidrômetro_PRJ04'!$I159,'BD_LeiturasHidrômetro_PRJ04'!$G159&amp;'BD_LeiturasHidrômetro_PRJ04'!$H159)</f>
        <v>000000</v>
      </c>
      <c r="K159" s="36" t="str">
        <f t="shared" si="1"/>
        <v>000000</v>
      </c>
      <c r="L159" s="15"/>
      <c r="M159" s="15"/>
      <c r="N159" s="17">
        <f t="shared" si="2"/>
        <v>0</v>
      </c>
      <c r="O159" s="15" t="s">
        <v>263</v>
      </c>
      <c r="S159" s="19"/>
    </row>
    <row r="160" ht="15.75" customHeight="1">
      <c r="A160" s="10">
        <v>190.0</v>
      </c>
      <c r="B160" s="11" t="s">
        <v>201</v>
      </c>
      <c r="C160" s="12">
        <v>1.0</v>
      </c>
      <c r="D160" s="10" t="s">
        <v>202</v>
      </c>
      <c r="E160" s="10">
        <v>2025.0</v>
      </c>
      <c r="F160" s="10" t="s">
        <v>19</v>
      </c>
      <c r="G160" s="35"/>
      <c r="H160" s="35"/>
      <c r="I160" s="36" t="str">
        <f>IFERROR(_xlfn.FORECAST.LINEAR('BD_LeiturasHidrômetro_PRJ04'!$A160,G:G,A:A),"000000")</f>
        <v>000000</v>
      </c>
      <c r="J160" s="36" t="str">
        <f>IF('BD_LeiturasHidrômetro_PRJ04'!$G160&amp;'BD_LeiturasHidrômetro_PRJ04'!$H160="",'BD_LeiturasHidrômetro_PRJ04'!$I160,'BD_LeiturasHidrômetro_PRJ04'!$G160&amp;'BD_LeiturasHidrômetro_PRJ04'!$H160)</f>
        <v>000000</v>
      </c>
      <c r="K160" s="36" t="str">
        <f t="shared" si="1"/>
        <v>000000</v>
      </c>
      <c r="L160" s="15"/>
      <c r="M160" s="15"/>
      <c r="N160" s="17">
        <f t="shared" si="2"/>
        <v>0</v>
      </c>
      <c r="O160" s="15" t="s">
        <v>263</v>
      </c>
      <c r="S160" s="19"/>
    </row>
    <row r="161" ht="15.75" customHeight="1">
      <c r="A161" s="10">
        <v>191.0</v>
      </c>
      <c r="B161" s="11" t="s">
        <v>203</v>
      </c>
      <c r="C161" s="12">
        <v>2.0</v>
      </c>
      <c r="D161" s="10" t="s">
        <v>202</v>
      </c>
      <c r="E161" s="10">
        <v>2025.0</v>
      </c>
      <c r="F161" s="10" t="s">
        <v>23</v>
      </c>
      <c r="G161" s="35"/>
      <c r="H161" s="35"/>
      <c r="I161" s="36" t="str">
        <f>IFERROR(_xlfn.FORECAST.LINEAR('BD_LeiturasHidrômetro_PRJ04'!$A161,G:G,A:A),"000000")</f>
        <v>000000</v>
      </c>
      <c r="J161" s="36" t="str">
        <f>IF('BD_LeiturasHidrômetro_PRJ04'!$G161&amp;'BD_LeiturasHidrômetro_PRJ04'!$H161="",'BD_LeiturasHidrômetro_PRJ04'!$I161,'BD_LeiturasHidrômetro_PRJ04'!$G161&amp;'BD_LeiturasHidrômetro_PRJ04'!$H161)</f>
        <v>000000</v>
      </c>
      <c r="K161" s="36" t="str">
        <f t="shared" si="1"/>
        <v>000000</v>
      </c>
      <c r="L161" s="15"/>
      <c r="M161" s="15"/>
      <c r="N161" s="17">
        <f t="shared" si="2"/>
        <v>0</v>
      </c>
      <c r="O161" s="15" t="s">
        <v>263</v>
      </c>
      <c r="S161" s="19"/>
    </row>
    <row r="162" ht="15.75" customHeight="1">
      <c r="A162" s="10">
        <v>192.0</v>
      </c>
      <c r="B162" s="11" t="s">
        <v>204</v>
      </c>
      <c r="C162" s="12">
        <v>3.0</v>
      </c>
      <c r="D162" s="10" t="s">
        <v>202</v>
      </c>
      <c r="E162" s="10">
        <v>2025.0</v>
      </c>
      <c r="F162" s="10" t="s">
        <v>26</v>
      </c>
      <c r="G162" s="35"/>
      <c r="H162" s="35"/>
      <c r="I162" s="36" t="str">
        <f>IFERROR(_xlfn.FORECAST.LINEAR('BD_LeiturasHidrômetro_PRJ04'!$A162,G:G,A:A),"000000")</f>
        <v>000000</v>
      </c>
      <c r="J162" s="36" t="str">
        <f>IF('BD_LeiturasHidrômetro_PRJ04'!$G162&amp;'BD_LeiturasHidrômetro_PRJ04'!$H162="",'BD_LeiturasHidrômetro_PRJ04'!$I162,'BD_LeiturasHidrômetro_PRJ04'!$G162&amp;'BD_LeiturasHidrômetro_PRJ04'!$H162)</f>
        <v>000000</v>
      </c>
      <c r="K162" s="36" t="str">
        <f t="shared" si="1"/>
        <v>000000</v>
      </c>
      <c r="L162" s="15"/>
      <c r="M162" s="15"/>
      <c r="N162" s="17">
        <f t="shared" si="2"/>
        <v>0</v>
      </c>
      <c r="O162" s="15" t="s">
        <v>263</v>
      </c>
      <c r="S162" s="19"/>
    </row>
    <row r="163" ht="15.75" customHeight="1">
      <c r="A163" s="10">
        <v>193.0</v>
      </c>
      <c r="B163" s="11" t="s">
        <v>205</v>
      </c>
      <c r="C163" s="12">
        <v>4.0</v>
      </c>
      <c r="D163" s="10" t="s">
        <v>202</v>
      </c>
      <c r="E163" s="10">
        <v>2025.0</v>
      </c>
      <c r="F163" s="10" t="s">
        <v>28</v>
      </c>
      <c r="G163" s="35"/>
      <c r="H163" s="35"/>
      <c r="I163" s="36" t="str">
        <f>IFERROR(_xlfn.FORECAST.LINEAR('BD_LeiturasHidrômetro_PRJ04'!$A163,G:G,A:A),"000000")</f>
        <v>000000</v>
      </c>
      <c r="J163" s="36" t="str">
        <f>IF('BD_LeiturasHidrômetro_PRJ04'!$G163&amp;'BD_LeiturasHidrômetro_PRJ04'!$H163="",'BD_LeiturasHidrômetro_PRJ04'!$I163,'BD_LeiturasHidrômetro_PRJ04'!$G163&amp;'BD_LeiturasHidrômetro_PRJ04'!$H163)</f>
        <v>000000</v>
      </c>
      <c r="K163" s="36" t="str">
        <f t="shared" si="1"/>
        <v>000000</v>
      </c>
      <c r="L163" s="15"/>
      <c r="M163" s="15"/>
      <c r="N163" s="17">
        <f t="shared" si="2"/>
        <v>0</v>
      </c>
      <c r="O163" s="15" t="s">
        <v>263</v>
      </c>
      <c r="S163" s="19"/>
    </row>
    <row r="164" ht="15.75" customHeight="1">
      <c r="A164" s="10">
        <v>194.0</v>
      </c>
      <c r="B164" s="11" t="s">
        <v>206</v>
      </c>
      <c r="C164" s="12">
        <v>5.0</v>
      </c>
      <c r="D164" s="10" t="s">
        <v>202</v>
      </c>
      <c r="E164" s="10">
        <v>2025.0</v>
      </c>
      <c r="F164" s="10" t="s">
        <v>30</v>
      </c>
      <c r="G164" s="35"/>
      <c r="H164" s="35"/>
      <c r="I164" s="36" t="str">
        <f>IFERROR(_xlfn.FORECAST.LINEAR('BD_LeiturasHidrômetro_PRJ04'!$A164,G:G,A:A),"000000")</f>
        <v>000000</v>
      </c>
      <c r="J164" s="36" t="str">
        <f>IF('BD_LeiturasHidrômetro_PRJ04'!$G164&amp;'BD_LeiturasHidrômetro_PRJ04'!$H164="",'BD_LeiturasHidrômetro_PRJ04'!$I164,'BD_LeiturasHidrômetro_PRJ04'!$G164&amp;'BD_LeiturasHidrômetro_PRJ04'!$H164)</f>
        <v>000000</v>
      </c>
      <c r="K164" s="36" t="str">
        <f t="shared" si="1"/>
        <v>000000</v>
      </c>
      <c r="L164" s="15"/>
      <c r="M164" s="15"/>
      <c r="N164" s="17">
        <f t="shared" si="2"/>
        <v>0</v>
      </c>
      <c r="O164" s="15" t="s">
        <v>263</v>
      </c>
      <c r="S164" s="19"/>
    </row>
    <row r="165" ht="15.75" customHeight="1">
      <c r="A165" s="10">
        <v>195.0</v>
      </c>
      <c r="B165" s="11" t="s">
        <v>207</v>
      </c>
      <c r="C165" s="12">
        <v>6.0</v>
      </c>
      <c r="D165" s="10" t="s">
        <v>202</v>
      </c>
      <c r="E165" s="10">
        <v>2025.0</v>
      </c>
      <c r="F165" s="10" t="s">
        <v>32</v>
      </c>
      <c r="G165" s="35"/>
      <c r="H165" s="35"/>
      <c r="I165" s="36" t="str">
        <f>IFERROR(_xlfn.FORECAST.LINEAR('BD_LeiturasHidrômetro_PRJ04'!$A165,G:G,A:A),"000000")</f>
        <v>000000</v>
      </c>
      <c r="J165" s="36" t="str">
        <f>IF('BD_LeiturasHidrômetro_PRJ04'!$G165&amp;'BD_LeiturasHidrômetro_PRJ04'!$H165="",'BD_LeiturasHidrômetro_PRJ04'!$I165,'BD_LeiturasHidrômetro_PRJ04'!$G165&amp;'BD_LeiturasHidrômetro_PRJ04'!$H165)</f>
        <v>000000</v>
      </c>
      <c r="K165" s="36" t="str">
        <f t="shared" si="1"/>
        <v>000000</v>
      </c>
      <c r="L165" s="15"/>
      <c r="M165" s="15"/>
      <c r="N165" s="17">
        <f t="shared" si="2"/>
        <v>0</v>
      </c>
      <c r="O165" s="15" t="s">
        <v>263</v>
      </c>
      <c r="S165" s="19"/>
    </row>
    <row r="166" ht="15.75" customHeight="1">
      <c r="A166" s="10">
        <v>196.0</v>
      </c>
      <c r="B166" s="11" t="s">
        <v>208</v>
      </c>
      <c r="C166" s="12">
        <v>7.0</v>
      </c>
      <c r="D166" s="10" t="s">
        <v>202</v>
      </c>
      <c r="E166" s="10">
        <v>2025.0</v>
      </c>
      <c r="F166" s="10" t="s">
        <v>34</v>
      </c>
      <c r="G166" s="35"/>
      <c r="H166" s="35"/>
      <c r="I166" s="36" t="str">
        <f>IFERROR(_xlfn.FORECAST.LINEAR('BD_LeiturasHidrômetro_PRJ04'!$A166,G:G,A:A),"000000")</f>
        <v>000000</v>
      </c>
      <c r="J166" s="36" t="str">
        <f>IF('BD_LeiturasHidrômetro_PRJ04'!$G166&amp;'BD_LeiturasHidrômetro_PRJ04'!$H166="",'BD_LeiturasHidrômetro_PRJ04'!$I166,'BD_LeiturasHidrômetro_PRJ04'!$G166&amp;'BD_LeiturasHidrômetro_PRJ04'!$H166)</f>
        <v>000000</v>
      </c>
      <c r="K166" s="36" t="str">
        <f t="shared" si="1"/>
        <v>000000</v>
      </c>
      <c r="L166" s="15"/>
      <c r="M166" s="15"/>
      <c r="N166" s="17">
        <f t="shared" si="2"/>
        <v>0</v>
      </c>
      <c r="O166" s="15" t="s">
        <v>263</v>
      </c>
      <c r="S166" s="19"/>
    </row>
    <row r="167" ht="15.75" customHeight="1">
      <c r="A167" s="10">
        <v>197.0</v>
      </c>
      <c r="B167" s="11" t="s">
        <v>209</v>
      </c>
      <c r="C167" s="12">
        <v>8.0</v>
      </c>
      <c r="D167" s="10" t="s">
        <v>202</v>
      </c>
      <c r="E167" s="10">
        <v>2025.0</v>
      </c>
      <c r="F167" s="10" t="s">
        <v>19</v>
      </c>
      <c r="G167" s="35"/>
      <c r="H167" s="35"/>
      <c r="I167" s="36" t="str">
        <f>IFERROR(_xlfn.FORECAST.LINEAR('BD_LeiturasHidrômetro_PRJ04'!$A167,G:G,A:A),"000000")</f>
        <v>000000</v>
      </c>
      <c r="J167" s="36" t="str">
        <f>IF('BD_LeiturasHidrômetro_PRJ04'!$G167&amp;'BD_LeiturasHidrômetro_PRJ04'!$H167="",'BD_LeiturasHidrômetro_PRJ04'!$I167,'BD_LeiturasHidrômetro_PRJ04'!$G167&amp;'BD_LeiturasHidrômetro_PRJ04'!$H167)</f>
        <v>000000</v>
      </c>
      <c r="K167" s="36" t="str">
        <f t="shared" si="1"/>
        <v>000000</v>
      </c>
      <c r="L167" s="15"/>
      <c r="M167" s="15"/>
      <c r="N167" s="17">
        <f t="shared" si="2"/>
        <v>0</v>
      </c>
      <c r="O167" s="15" t="s">
        <v>263</v>
      </c>
      <c r="S167" s="19"/>
    </row>
    <row r="168" ht="15.75" customHeight="1">
      <c r="A168" s="10">
        <v>198.0</v>
      </c>
      <c r="B168" s="11" t="s">
        <v>210</v>
      </c>
      <c r="C168" s="12">
        <v>9.0</v>
      </c>
      <c r="D168" s="10" t="s">
        <v>202</v>
      </c>
      <c r="E168" s="10">
        <v>2025.0</v>
      </c>
      <c r="F168" s="10" t="s">
        <v>23</v>
      </c>
      <c r="G168" s="35"/>
      <c r="H168" s="35"/>
      <c r="I168" s="36" t="str">
        <f>IFERROR(_xlfn.FORECAST.LINEAR('BD_LeiturasHidrômetro_PRJ04'!$A168,G:G,A:A),"000000")</f>
        <v>000000</v>
      </c>
      <c r="J168" s="36" t="str">
        <f>IF('BD_LeiturasHidrômetro_PRJ04'!$G168&amp;'BD_LeiturasHidrômetro_PRJ04'!$H168="",'BD_LeiturasHidrômetro_PRJ04'!$I168,'BD_LeiturasHidrômetro_PRJ04'!$G168&amp;'BD_LeiturasHidrômetro_PRJ04'!$H168)</f>
        <v>000000</v>
      </c>
      <c r="K168" s="36" t="str">
        <f t="shared" si="1"/>
        <v>000000</v>
      </c>
      <c r="L168" s="15"/>
      <c r="M168" s="15"/>
      <c r="N168" s="17">
        <f t="shared" si="2"/>
        <v>0</v>
      </c>
      <c r="O168" s="15" t="s">
        <v>263</v>
      </c>
      <c r="S168" s="19"/>
    </row>
    <row r="169" ht="15.75" customHeight="1">
      <c r="A169" s="10">
        <v>199.0</v>
      </c>
      <c r="B169" s="11" t="s">
        <v>211</v>
      </c>
      <c r="C169" s="12">
        <v>10.0</v>
      </c>
      <c r="D169" s="10" t="s">
        <v>202</v>
      </c>
      <c r="E169" s="10">
        <v>2025.0</v>
      </c>
      <c r="F169" s="10" t="s">
        <v>26</v>
      </c>
      <c r="G169" s="35"/>
      <c r="H169" s="35"/>
      <c r="I169" s="36" t="str">
        <f>IFERROR(_xlfn.FORECAST.LINEAR('BD_LeiturasHidrômetro_PRJ04'!$A169,G:G,A:A),"000000")</f>
        <v>000000</v>
      </c>
      <c r="J169" s="36" t="str">
        <f>IF('BD_LeiturasHidrômetro_PRJ04'!$G169&amp;'BD_LeiturasHidrômetro_PRJ04'!$H169="",'BD_LeiturasHidrômetro_PRJ04'!$I169,'BD_LeiturasHidrômetro_PRJ04'!$G169&amp;'BD_LeiturasHidrômetro_PRJ04'!$H169)</f>
        <v>000000</v>
      </c>
      <c r="K169" s="36" t="str">
        <f t="shared" si="1"/>
        <v>000000</v>
      </c>
      <c r="L169" s="15"/>
      <c r="M169" s="15"/>
      <c r="N169" s="17">
        <f t="shared" si="2"/>
        <v>0</v>
      </c>
      <c r="O169" s="15" t="s">
        <v>263</v>
      </c>
      <c r="S169" s="19"/>
    </row>
    <row r="170" ht="15.75" customHeight="1">
      <c r="A170" s="10">
        <v>200.0</v>
      </c>
      <c r="B170" s="11" t="s">
        <v>212</v>
      </c>
      <c r="C170" s="12">
        <v>11.0</v>
      </c>
      <c r="D170" s="10" t="s">
        <v>202</v>
      </c>
      <c r="E170" s="10">
        <v>2025.0</v>
      </c>
      <c r="F170" s="10" t="s">
        <v>28</v>
      </c>
      <c r="G170" s="35"/>
      <c r="H170" s="35"/>
      <c r="I170" s="36" t="str">
        <f>IFERROR(_xlfn.FORECAST.LINEAR('BD_LeiturasHidrômetro_PRJ04'!$A170,G:G,A:A),"000000")</f>
        <v>000000</v>
      </c>
      <c r="J170" s="36" t="str">
        <f>IF('BD_LeiturasHidrômetro_PRJ04'!$G170&amp;'BD_LeiturasHidrômetro_PRJ04'!$H170="",'BD_LeiturasHidrômetro_PRJ04'!$I170,'BD_LeiturasHidrômetro_PRJ04'!$G170&amp;'BD_LeiturasHidrômetro_PRJ04'!$H170)</f>
        <v>000000</v>
      </c>
      <c r="K170" s="36" t="str">
        <f t="shared" si="1"/>
        <v>000000</v>
      </c>
      <c r="L170" s="15"/>
      <c r="M170" s="15"/>
      <c r="N170" s="17">
        <f t="shared" si="2"/>
        <v>0</v>
      </c>
      <c r="O170" s="15" t="s">
        <v>263</v>
      </c>
      <c r="S170" s="19"/>
    </row>
    <row r="171" ht="15.75" customHeight="1">
      <c r="A171" s="10">
        <v>201.0</v>
      </c>
      <c r="B171" s="11" t="s">
        <v>213</v>
      </c>
      <c r="C171" s="12">
        <v>12.0</v>
      </c>
      <c r="D171" s="10" t="s">
        <v>202</v>
      </c>
      <c r="E171" s="10">
        <v>2025.0</v>
      </c>
      <c r="F171" s="10" t="s">
        <v>30</v>
      </c>
      <c r="G171" s="35"/>
      <c r="H171" s="35"/>
      <c r="I171" s="36" t="str">
        <f>IFERROR(_xlfn.FORECAST.LINEAR('BD_LeiturasHidrômetro_PRJ04'!$A171,G:G,A:A),"000000")</f>
        <v>000000</v>
      </c>
      <c r="J171" s="36" t="str">
        <f>IF('BD_LeiturasHidrômetro_PRJ04'!$G171&amp;'BD_LeiturasHidrômetro_PRJ04'!$H171="",'BD_LeiturasHidrômetro_PRJ04'!$I171,'BD_LeiturasHidrômetro_PRJ04'!$G171&amp;'BD_LeiturasHidrômetro_PRJ04'!$H171)</f>
        <v>000000</v>
      </c>
      <c r="K171" s="36" t="str">
        <f t="shared" si="1"/>
        <v>000000</v>
      </c>
      <c r="L171" s="15"/>
      <c r="M171" s="15"/>
      <c r="N171" s="17">
        <f t="shared" si="2"/>
        <v>0</v>
      </c>
      <c r="O171" s="15" t="s">
        <v>263</v>
      </c>
      <c r="S171" s="19"/>
    </row>
    <row r="172" ht="15.75" customHeight="1">
      <c r="A172" s="10">
        <v>202.0</v>
      </c>
      <c r="B172" s="11" t="s">
        <v>214</v>
      </c>
      <c r="C172" s="12">
        <v>13.0</v>
      </c>
      <c r="D172" s="10" t="s">
        <v>202</v>
      </c>
      <c r="E172" s="10">
        <v>2025.0</v>
      </c>
      <c r="F172" s="10" t="s">
        <v>32</v>
      </c>
      <c r="G172" s="35"/>
      <c r="H172" s="35"/>
      <c r="I172" s="36" t="str">
        <f>IFERROR(_xlfn.FORECAST.LINEAR('BD_LeiturasHidrômetro_PRJ04'!$A172,G:G,A:A),"000000")</f>
        <v>000000</v>
      </c>
      <c r="J172" s="36" t="str">
        <f>IF('BD_LeiturasHidrômetro_PRJ04'!$G172&amp;'BD_LeiturasHidrômetro_PRJ04'!$H172="",'BD_LeiturasHidrômetro_PRJ04'!$I172,'BD_LeiturasHidrômetro_PRJ04'!$G172&amp;'BD_LeiturasHidrômetro_PRJ04'!$H172)</f>
        <v>000000</v>
      </c>
      <c r="K172" s="36" t="str">
        <f t="shared" si="1"/>
        <v>000000</v>
      </c>
      <c r="L172" s="15"/>
      <c r="M172" s="15"/>
      <c r="N172" s="17">
        <f t="shared" si="2"/>
        <v>0</v>
      </c>
      <c r="O172" s="15" t="s">
        <v>263</v>
      </c>
      <c r="S172" s="19"/>
    </row>
    <row r="173" ht="15.75" customHeight="1">
      <c r="A173" s="10">
        <v>203.0</v>
      </c>
      <c r="B173" s="11" t="s">
        <v>215</v>
      </c>
      <c r="C173" s="12">
        <v>14.0</v>
      </c>
      <c r="D173" s="10" t="s">
        <v>202</v>
      </c>
      <c r="E173" s="10">
        <v>2025.0</v>
      </c>
      <c r="F173" s="10" t="s">
        <v>34</v>
      </c>
      <c r="G173" s="35"/>
      <c r="H173" s="35"/>
      <c r="I173" s="36" t="str">
        <f>IFERROR(_xlfn.FORECAST.LINEAR('BD_LeiturasHidrômetro_PRJ04'!$A173,G:G,A:A),"000000")</f>
        <v>000000</v>
      </c>
      <c r="J173" s="36" t="str">
        <f>IF('BD_LeiturasHidrômetro_PRJ04'!$G173&amp;'BD_LeiturasHidrômetro_PRJ04'!$H173="",'BD_LeiturasHidrômetro_PRJ04'!$I173,'BD_LeiturasHidrômetro_PRJ04'!$G173&amp;'BD_LeiturasHidrômetro_PRJ04'!$H173)</f>
        <v>000000</v>
      </c>
      <c r="K173" s="36" t="str">
        <f t="shared" si="1"/>
        <v>000000</v>
      </c>
      <c r="L173" s="15"/>
      <c r="M173" s="15"/>
      <c r="N173" s="17">
        <f t="shared" si="2"/>
        <v>0</v>
      </c>
      <c r="O173" s="15" t="s">
        <v>263</v>
      </c>
      <c r="S173" s="19"/>
    </row>
    <row r="174" ht="15.75" customHeight="1">
      <c r="A174" s="10">
        <v>204.0</v>
      </c>
      <c r="B174" s="11" t="s">
        <v>216</v>
      </c>
      <c r="C174" s="12">
        <v>15.0</v>
      </c>
      <c r="D174" s="10" t="s">
        <v>202</v>
      </c>
      <c r="E174" s="10">
        <v>2025.0</v>
      </c>
      <c r="F174" s="10" t="s">
        <v>19</v>
      </c>
      <c r="G174" s="35"/>
      <c r="H174" s="35"/>
      <c r="I174" s="36" t="str">
        <f>IFERROR(_xlfn.FORECAST.LINEAR('BD_LeiturasHidrômetro_PRJ04'!$A174,G:G,A:A),"000000")</f>
        <v>000000</v>
      </c>
      <c r="J174" s="36" t="str">
        <f>IF('BD_LeiturasHidrômetro_PRJ04'!$G174&amp;'BD_LeiturasHidrômetro_PRJ04'!$H174="",'BD_LeiturasHidrômetro_PRJ04'!$I174,'BD_LeiturasHidrômetro_PRJ04'!$G174&amp;'BD_LeiturasHidrômetro_PRJ04'!$H174)</f>
        <v>000000</v>
      </c>
      <c r="K174" s="36" t="str">
        <f t="shared" si="1"/>
        <v>000000</v>
      </c>
      <c r="L174" s="15"/>
      <c r="M174" s="15"/>
      <c r="N174" s="17">
        <f t="shared" si="2"/>
        <v>0</v>
      </c>
      <c r="O174" s="15" t="s">
        <v>263</v>
      </c>
      <c r="S174" s="19"/>
    </row>
    <row r="175" ht="15.75" customHeight="1">
      <c r="A175" s="10">
        <v>205.0</v>
      </c>
      <c r="B175" s="11" t="s">
        <v>217</v>
      </c>
      <c r="C175" s="12">
        <v>16.0</v>
      </c>
      <c r="D175" s="10" t="s">
        <v>202</v>
      </c>
      <c r="E175" s="10">
        <v>2025.0</v>
      </c>
      <c r="F175" s="10" t="s">
        <v>23</v>
      </c>
      <c r="G175" s="35"/>
      <c r="H175" s="35"/>
      <c r="I175" s="36" t="str">
        <f>IFERROR(_xlfn.FORECAST.LINEAR('BD_LeiturasHidrômetro_PRJ04'!$A175,G:G,A:A),"000000")</f>
        <v>000000</v>
      </c>
      <c r="J175" s="36" t="str">
        <f>IF('BD_LeiturasHidrômetro_PRJ04'!$G175&amp;'BD_LeiturasHidrômetro_PRJ04'!$H175="",'BD_LeiturasHidrômetro_PRJ04'!$I175,'BD_LeiturasHidrômetro_PRJ04'!$G175&amp;'BD_LeiturasHidrômetro_PRJ04'!$H175)</f>
        <v>000000</v>
      </c>
      <c r="K175" s="36" t="str">
        <f t="shared" si="1"/>
        <v>000000</v>
      </c>
      <c r="L175" s="15"/>
      <c r="M175" s="15"/>
      <c r="N175" s="17">
        <f t="shared" si="2"/>
        <v>0</v>
      </c>
      <c r="O175" s="15" t="s">
        <v>263</v>
      </c>
      <c r="S175" s="19"/>
    </row>
    <row r="176" ht="15.75" customHeight="1">
      <c r="A176" s="10">
        <v>206.0</v>
      </c>
      <c r="B176" s="11" t="s">
        <v>218</v>
      </c>
      <c r="C176" s="12">
        <v>17.0</v>
      </c>
      <c r="D176" s="10" t="s">
        <v>202</v>
      </c>
      <c r="E176" s="10">
        <v>2025.0</v>
      </c>
      <c r="F176" s="10" t="s">
        <v>26</v>
      </c>
      <c r="G176" s="35"/>
      <c r="H176" s="35"/>
      <c r="I176" s="36" t="str">
        <f>IFERROR(_xlfn.FORECAST.LINEAR('BD_LeiturasHidrômetro_PRJ04'!$A176,G:G,A:A),"000000")</f>
        <v>000000</v>
      </c>
      <c r="J176" s="36" t="str">
        <f>IF('BD_LeiturasHidrômetro_PRJ04'!$G176&amp;'BD_LeiturasHidrômetro_PRJ04'!$H176="",'BD_LeiturasHidrômetro_PRJ04'!$I176,'BD_LeiturasHidrômetro_PRJ04'!$G176&amp;'BD_LeiturasHidrômetro_PRJ04'!$H176)</f>
        <v>000000</v>
      </c>
      <c r="K176" s="36" t="str">
        <f t="shared" si="1"/>
        <v>000000</v>
      </c>
      <c r="L176" s="15"/>
      <c r="M176" s="15"/>
      <c r="N176" s="17">
        <f t="shared" si="2"/>
        <v>0</v>
      </c>
      <c r="O176" s="15" t="s">
        <v>263</v>
      </c>
      <c r="S176" s="19"/>
    </row>
    <row r="177" ht="15.75" customHeight="1">
      <c r="A177" s="10">
        <v>207.0</v>
      </c>
      <c r="B177" s="11" t="s">
        <v>219</v>
      </c>
      <c r="C177" s="12">
        <v>18.0</v>
      </c>
      <c r="D177" s="10" t="s">
        <v>202</v>
      </c>
      <c r="E177" s="10">
        <v>2025.0</v>
      </c>
      <c r="F177" s="10" t="s">
        <v>28</v>
      </c>
      <c r="G177" s="35"/>
      <c r="H177" s="35"/>
      <c r="I177" s="36" t="str">
        <f>IFERROR(_xlfn.FORECAST.LINEAR('BD_LeiturasHidrômetro_PRJ04'!$A177,G:G,A:A),"000000")</f>
        <v>000000</v>
      </c>
      <c r="J177" s="36" t="str">
        <f>IF('BD_LeiturasHidrômetro_PRJ04'!$G177&amp;'BD_LeiturasHidrômetro_PRJ04'!$H177="",'BD_LeiturasHidrômetro_PRJ04'!$I177,'BD_LeiturasHidrômetro_PRJ04'!$G177&amp;'BD_LeiturasHidrômetro_PRJ04'!$H177)</f>
        <v>000000</v>
      </c>
      <c r="K177" s="36" t="str">
        <f t="shared" si="1"/>
        <v>000000</v>
      </c>
      <c r="L177" s="15"/>
      <c r="M177" s="15"/>
      <c r="N177" s="17">
        <f t="shared" si="2"/>
        <v>0</v>
      </c>
      <c r="O177" s="15" t="s">
        <v>263</v>
      </c>
      <c r="S177" s="19"/>
    </row>
    <row r="178" ht="15.75" customHeight="1">
      <c r="A178" s="10">
        <v>208.0</v>
      </c>
      <c r="B178" s="11" t="s">
        <v>220</v>
      </c>
      <c r="C178" s="12">
        <v>19.0</v>
      </c>
      <c r="D178" s="10" t="s">
        <v>202</v>
      </c>
      <c r="E178" s="10">
        <v>2025.0</v>
      </c>
      <c r="F178" s="10" t="s">
        <v>30</v>
      </c>
      <c r="G178" s="35"/>
      <c r="H178" s="35"/>
      <c r="I178" s="36" t="str">
        <f>IFERROR(_xlfn.FORECAST.LINEAR('BD_LeiturasHidrômetro_PRJ04'!$A178,G:G,A:A),"000000")</f>
        <v>000000</v>
      </c>
      <c r="J178" s="36" t="str">
        <f>IF('BD_LeiturasHidrômetro_PRJ04'!$G178&amp;'BD_LeiturasHidrômetro_PRJ04'!$H178="",'BD_LeiturasHidrômetro_PRJ04'!$I178,'BD_LeiturasHidrômetro_PRJ04'!$G178&amp;'BD_LeiturasHidrômetro_PRJ04'!$H178)</f>
        <v>000000</v>
      </c>
      <c r="K178" s="36" t="str">
        <f t="shared" si="1"/>
        <v>000000</v>
      </c>
      <c r="L178" s="15"/>
      <c r="M178" s="15"/>
      <c r="N178" s="17">
        <f t="shared" si="2"/>
        <v>0</v>
      </c>
      <c r="O178" s="15" t="s">
        <v>263</v>
      </c>
      <c r="S178" s="19"/>
    </row>
    <row r="179" ht="15.75" customHeight="1">
      <c r="A179" s="10">
        <v>209.0</v>
      </c>
      <c r="B179" s="11" t="s">
        <v>221</v>
      </c>
      <c r="C179" s="12">
        <v>20.0</v>
      </c>
      <c r="D179" s="10" t="s">
        <v>202</v>
      </c>
      <c r="E179" s="10">
        <v>2025.0</v>
      </c>
      <c r="F179" s="10" t="s">
        <v>32</v>
      </c>
      <c r="G179" s="35"/>
      <c r="H179" s="35"/>
      <c r="I179" s="36" t="str">
        <f>IFERROR(_xlfn.FORECAST.LINEAR('BD_LeiturasHidrômetro_PRJ04'!$A179,G:G,A:A),"000000")</f>
        <v>000000</v>
      </c>
      <c r="J179" s="36" t="str">
        <f>IF('BD_LeiturasHidrômetro_PRJ04'!$G179&amp;'BD_LeiturasHidrômetro_PRJ04'!$H179="",'BD_LeiturasHidrômetro_PRJ04'!$I179,'BD_LeiturasHidrômetro_PRJ04'!$G179&amp;'BD_LeiturasHidrômetro_PRJ04'!$H179)</f>
        <v>000000</v>
      </c>
      <c r="K179" s="36" t="str">
        <f t="shared" si="1"/>
        <v>000000</v>
      </c>
      <c r="L179" s="15"/>
      <c r="M179" s="15"/>
      <c r="N179" s="17">
        <f t="shared" si="2"/>
        <v>0</v>
      </c>
      <c r="O179" s="15" t="s">
        <v>263</v>
      </c>
      <c r="S179" s="19"/>
    </row>
    <row r="180" ht="15.75" customHeight="1">
      <c r="A180" s="10">
        <v>210.0</v>
      </c>
      <c r="B180" s="11" t="s">
        <v>222</v>
      </c>
      <c r="C180" s="12">
        <v>21.0</v>
      </c>
      <c r="D180" s="10" t="s">
        <v>202</v>
      </c>
      <c r="E180" s="10">
        <v>2025.0</v>
      </c>
      <c r="F180" s="10" t="s">
        <v>34</v>
      </c>
      <c r="G180" s="35"/>
      <c r="H180" s="35"/>
      <c r="I180" s="36" t="str">
        <f>IFERROR(_xlfn.FORECAST.LINEAR('BD_LeiturasHidrômetro_PRJ04'!$A180,G:G,A:A),"000000")</f>
        <v>000000</v>
      </c>
      <c r="J180" s="36" t="str">
        <f>IF('BD_LeiturasHidrômetro_PRJ04'!$G180&amp;'BD_LeiturasHidrômetro_PRJ04'!$H180="",'BD_LeiturasHidrômetro_PRJ04'!$I180,'BD_LeiturasHidrômetro_PRJ04'!$G180&amp;'BD_LeiturasHidrômetro_PRJ04'!$H180)</f>
        <v>000000</v>
      </c>
      <c r="K180" s="36" t="str">
        <f t="shared" si="1"/>
        <v>000000</v>
      </c>
      <c r="L180" s="15"/>
      <c r="M180" s="15"/>
      <c r="N180" s="17">
        <f t="shared" si="2"/>
        <v>0</v>
      </c>
      <c r="O180" s="15" t="s">
        <v>263</v>
      </c>
      <c r="S180" s="19"/>
    </row>
    <row r="181" ht="15.75" customHeight="1">
      <c r="A181" s="10">
        <v>211.0</v>
      </c>
      <c r="B181" s="11" t="s">
        <v>223</v>
      </c>
      <c r="C181" s="12">
        <v>22.0</v>
      </c>
      <c r="D181" s="10" t="s">
        <v>202</v>
      </c>
      <c r="E181" s="10">
        <v>2025.0</v>
      </c>
      <c r="F181" s="10" t="s">
        <v>19</v>
      </c>
      <c r="G181" s="35"/>
      <c r="H181" s="35"/>
      <c r="I181" s="36" t="str">
        <f>IFERROR(_xlfn.FORECAST.LINEAR('BD_LeiturasHidrômetro_PRJ04'!$A181,G:G,A:A),"000000")</f>
        <v>000000</v>
      </c>
      <c r="J181" s="36" t="str">
        <f>IF('BD_LeiturasHidrômetro_PRJ04'!$G181&amp;'BD_LeiturasHidrômetro_PRJ04'!$H181="",'BD_LeiturasHidrômetro_PRJ04'!$I181,'BD_LeiturasHidrômetro_PRJ04'!$G181&amp;'BD_LeiturasHidrômetro_PRJ04'!$H181)</f>
        <v>000000</v>
      </c>
      <c r="K181" s="36" t="str">
        <f t="shared" si="1"/>
        <v>000000</v>
      </c>
      <c r="L181" s="15"/>
      <c r="M181" s="15"/>
      <c r="N181" s="17">
        <f t="shared" si="2"/>
        <v>0</v>
      </c>
      <c r="O181" s="15" t="s">
        <v>263</v>
      </c>
      <c r="S181" s="19"/>
    </row>
    <row r="182" ht="15.75" customHeight="1">
      <c r="A182" s="10">
        <v>212.0</v>
      </c>
      <c r="B182" s="11" t="s">
        <v>224</v>
      </c>
      <c r="C182" s="12">
        <v>23.0</v>
      </c>
      <c r="D182" s="10" t="s">
        <v>202</v>
      </c>
      <c r="E182" s="10">
        <v>2025.0</v>
      </c>
      <c r="F182" s="10" t="s">
        <v>23</v>
      </c>
      <c r="G182" s="35"/>
      <c r="H182" s="35"/>
      <c r="I182" s="36" t="str">
        <f>IFERROR(_xlfn.FORECAST.LINEAR('BD_LeiturasHidrômetro_PRJ04'!$A182,G:G,A:A),"000000")</f>
        <v>000000</v>
      </c>
      <c r="J182" s="36" t="str">
        <f>IF('BD_LeiturasHidrômetro_PRJ04'!$G182&amp;'BD_LeiturasHidrômetro_PRJ04'!$H182="",'BD_LeiturasHidrômetro_PRJ04'!$I182,'BD_LeiturasHidrômetro_PRJ04'!$G182&amp;'BD_LeiturasHidrômetro_PRJ04'!$H182)</f>
        <v>000000</v>
      </c>
      <c r="K182" s="36" t="str">
        <f t="shared" si="1"/>
        <v>000000</v>
      </c>
      <c r="L182" s="15"/>
      <c r="M182" s="15"/>
      <c r="N182" s="17">
        <f t="shared" si="2"/>
        <v>0</v>
      </c>
      <c r="O182" s="15" t="s">
        <v>263</v>
      </c>
      <c r="S182" s="19"/>
    </row>
    <row r="183" ht="15.75" customHeight="1">
      <c r="A183" s="10">
        <v>213.0</v>
      </c>
      <c r="B183" s="11" t="s">
        <v>225</v>
      </c>
      <c r="C183" s="12">
        <v>24.0</v>
      </c>
      <c r="D183" s="10" t="s">
        <v>202</v>
      </c>
      <c r="E183" s="10">
        <v>2025.0</v>
      </c>
      <c r="F183" s="10" t="s">
        <v>26</v>
      </c>
      <c r="G183" s="35"/>
      <c r="H183" s="35"/>
      <c r="I183" s="36" t="str">
        <f>IFERROR(_xlfn.FORECAST.LINEAR('BD_LeiturasHidrômetro_PRJ04'!$A183,G:G,A:A),"000000")</f>
        <v>000000</v>
      </c>
      <c r="J183" s="36" t="str">
        <f>IF('BD_LeiturasHidrômetro_PRJ04'!$G183&amp;'BD_LeiturasHidrômetro_PRJ04'!$H183="",'BD_LeiturasHidrômetro_PRJ04'!$I183,'BD_LeiturasHidrômetro_PRJ04'!$G183&amp;'BD_LeiturasHidrômetro_PRJ04'!$H183)</f>
        <v>000000</v>
      </c>
      <c r="K183" s="36" t="str">
        <f t="shared" si="1"/>
        <v>000000</v>
      </c>
      <c r="L183" s="15"/>
      <c r="M183" s="15"/>
      <c r="N183" s="17">
        <f t="shared" si="2"/>
        <v>0</v>
      </c>
      <c r="O183" s="15" t="s">
        <v>263</v>
      </c>
      <c r="S183" s="19"/>
    </row>
    <row r="184" ht="15.75" customHeight="1">
      <c r="A184" s="10">
        <v>214.0</v>
      </c>
      <c r="B184" s="11" t="s">
        <v>226</v>
      </c>
      <c r="C184" s="12">
        <v>25.0</v>
      </c>
      <c r="D184" s="10" t="s">
        <v>202</v>
      </c>
      <c r="E184" s="10">
        <v>2025.0</v>
      </c>
      <c r="F184" s="10" t="s">
        <v>28</v>
      </c>
      <c r="G184" s="35"/>
      <c r="H184" s="35"/>
      <c r="I184" s="36" t="str">
        <f>IFERROR(_xlfn.FORECAST.LINEAR('BD_LeiturasHidrômetro_PRJ04'!$A184,G:G,A:A),"000000")</f>
        <v>000000</v>
      </c>
      <c r="J184" s="36" t="str">
        <f>IF('BD_LeiturasHidrômetro_PRJ04'!$G184&amp;'BD_LeiturasHidrômetro_PRJ04'!$H184="",'BD_LeiturasHidrômetro_PRJ04'!$I184,'BD_LeiturasHidrômetro_PRJ04'!$G184&amp;'BD_LeiturasHidrômetro_PRJ04'!$H184)</f>
        <v>000000</v>
      </c>
      <c r="K184" s="36" t="str">
        <f t="shared" si="1"/>
        <v>000000</v>
      </c>
      <c r="L184" s="15"/>
      <c r="M184" s="15"/>
      <c r="N184" s="17">
        <f t="shared" si="2"/>
        <v>0</v>
      </c>
      <c r="O184" s="15" t="s">
        <v>263</v>
      </c>
      <c r="S184" s="19"/>
    </row>
    <row r="185" ht="15.75" customHeight="1">
      <c r="A185" s="10">
        <v>215.0</v>
      </c>
      <c r="B185" s="11" t="s">
        <v>227</v>
      </c>
      <c r="C185" s="12">
        <v>26.0</v>
      </c>
      <c r="D185" s="10" t="s">
        <v>202</v>
      </c>
      <c r="E185" s="10">
        <v>2025.0</v>
      </c>
      <c r="F185" s="10" t="s">
        <v>30</v>
      </c>
      <c r="G185" s="35"/>
      <c r="H185" s="35"/>
      <c r="I185" s="36" t="str">
        <f>IFERROR(_xlfn.FORECAST.LINEAR('BD_LeiturasHidrômetro_PRJ04'!$A185,G:G,A:A),"000000")</f>
        <v>000000</v>
      </c>
      <c r="J185" s="36" t="str">
        <f>IF('BD_LeiturasHidrômetro_PRJ04'!$G185&amp;'BD_LeiturasHidrômetro_PRJ04'!$H185="",'BD_LeiturasHidrômetro_PRJ04'!$I185,'BD_LeiturasHidrômetro_PRJ04'!$G185&amp;'BD_LeiturasHidrômetro_PRJ04'!$H185)</f>
        <v>000000</v>
      </c>
      <c r="K185" s="36" t="str">
        <f t="shared" si="1"/>
        <v>000000</v>
      </c>
      <c r="L185" s="15"/>
      <c r="M185" s="15"/>
      <c r="N185" s="17">
        <f t="shared" si="2"/>
        <v>0</v>
      </c>
      <c r="O185" s="15" t="s">
        <v>263</v>
      </c>
      <c r="S185" s="19"/>
    </row>
    <row r="186" ht="15.75" customHeight="1">
      <c r="A186" s="10">
        <v>216.0</v>
      </c>
      <c r="B186" s="11" t="s">
        <v>228</v>
      </c>
      <c r="C186" s="12">
        <v>27.0</v>
      </c>
      <c r="D186" s="10" t="s">
        <v>202</v>
      </c>
      <c r="E186" s="10">
        <v>2025.0</v>
      </c>
      <c r="F186" s="10" t="s">
        <v>32</v>
      </c>
      <c r="G186" s="35"/>
      <c r="H186" s="35"/>
      <c r="I186" s="36" t="str">
        <f>IFERROR(_xlfn.FORECAST.LINEAR('BD_LeiturasHidrômetro_PRJ04'!$A186,G:G,A:A),"000000")</f>
        <v>000000</v>
      </c>
      <c r="J186" s="36" t="str">
        <f>IF('BD_LeiturasHidrômetro_PRJ04'!$G186&amp;'BD_LeiturasHidrômetro_PRJ04'!$H186="",'BD_LeiturasHidrômetro_PRJ04'!$I186,'BD_LeiturasHidrômetro_PRJ04'!$G186&amp;'BD_LeiturasHidrômetro_PRJ04'!$H186)</f>
        <v>000000</v>
      </c>
      <c r="K186" s="36" t="str">
        <f t="shared" si="1"/>
        <v>000000</v>
      </c>
      <c r="L186" s="15"/>
      <c r="M186" s="15"/>
      <c r="N186" s="17">
        <f t="shared" si="2"/>
        <v>0</v>
      </c>
      <c r="O186" s="15" t="s">
        <v>263</v>
      </c>
      <c r="S186" s="19"/>
    </row>
    <row r="187" ht="15.75" customHeight="1">
      <c r="A187" s="10">
        <v>217.0</v>
      </c>
      <c r="B187" s="11" t="s">
        <v>229</v>
      </c>
      <c r="C187" s="12">
        <v>28.0</v>
      </c>
      <c r="D187" s="10" t="s">
        <v>202</v>
      </c>
      <c r="E187" s="10">
        <v>2025.0</v>
      </c>
      <c r="F187" s="10" t="s">
        <v>34</v>
      </c>
      <c r="G187" s="35"/>
      <c r="H187" s="35"/>
      <c r="I187" s="36" t="str">
        <f>IFERROR(_xlfn.FORECAST.LINEAR('BD_LeiturasHidrômetro_PRJ04'!$A187,G:G,A:A),"000000")</f>
        <v>000000</v>
      </c>
      <c r="J187" s="36" t="str">
        <f>IF('BD_LeiturasHidrômetro_PRJ04'!$G187&amp;'BD_LeiturasHidrômetro_PRJ04'!$H187="",'BD_LeiturasHidrômetro_PRJ04'!$I187,'BD_LeiturasHidrômetro_PRJ04'!$G187&amp;'BD_LeiturasHidrômetro_PRJ04'!$H187)</f>
        <v>000000</v>
      </c>
      <c r="K187" s="36" t="str">
        <f t="shared" si="1"/>
        <v>000000</v>
      </c>
      <c r="L187" s="15"/>
      <c r="M187" s="15"/>
      <c r="N187" s="17">
        <f t="shared" si="2"/>
        <v>0</v>
      </c>
      <c r="O187" s="15" t="s">
        <v>263</v>
      </c>
      <c r="S187" s="19"/>
    </row>
    <row r="188" ht="15.75" customHeight="1">
      <c r="A188" s="10">
        <v>218.0</v>
      </c>
      <c r="B188" s="11" t="s">
        <v>230</v>
      </c>
      <c r="C188" s="12">
        <v>29.0</v>
      </c>
      <c r="D188" s="10" t="s">
        <v>202</v>
      </c>
      <c r="E188" s="10">
        <v>2025.0</v>
      </c>
      <c r="F188" s="10" t="s">
        <v>19</v>
      </c>
      <c r="G188" s="35"/>
      <c r="H188" s="35"/>
      <c r="I188" s="36" t="str">
        <f>IFERROR(_xlfn.FORECAST.LINEAR('BD_LeiturasHidrômetro_PRJ04'!$A188,G:G,A:A),"000000")</f>
        <v>000000</v>
      </c>
      <c r="J188" s="36" t="str">
        <f>IF('BD_LeiturasHidrômetro_PRJ04'!$G188&amp;'BD_LeiturasHidrômetro_PRJ04'!$H188="",'BD_LeiturasHidrômetro_PRJ04'!$I188,'BD_LeiturasHidrômetro_PRJ04'!$G188&amp;'BD_LeiturasHidrômetro_PRJ04'!$H188)</f>
        <v>000000</v>
      </c>
      <c r="K188" s="36" t="str">
        <f t="shared" si="1"/>
        <v>000000</v>
      </c>
      <c r="L188" s="15"/>
      <c r="M188" s="15"/>
      <c r="N188" s="17">
        <f t="shared" si="2"/>
        <v>0</v>
      </c>
      <c r="O188" s="15" t="s">
        <v>263</v>
      </c>
      <c r="S188" s="19"/>
    </row>
    <row r="189" ht="15.75" customHeight="1">
      <c r="A189" s="10">
        <v>219.0</v>
      </c>
      <c r="B189" s="11" t="s">
        <v>231</v>
      </c>
      <c r="C189" s="12">
        <v>30.0</v>
      </c>
      <c r="D189" s="10" t="s">
        <v>202</v>
      </c>
      <c r="E189" s="10">
        <v>2025.0</v>
      </c>
      <c r="F189" s="10" t="s">
        <v>23</v>
      </c>
      <c r="G189" s="35"/>
      <c r="H189" s="35"/>
      <c r="I189" s="36" t="str">
        <f>IFERROR(_xlfn.FORECAST.LINEAR('BD_LeiturasHidrômetro_PRJ04'!$A189,G:G,A:A),"000000")</f>
        <v>000000</v>
      </c>
      <c r="J189" s="36" t="str">
        <f>IF('BD_LeiturasHidrômetro_PRJ04'!$G189&amp;'BD_LeiturasHidrômetro_PRJ04'!$H189="",'BD_LeiturasHidrômetro_PRJ04'!$I189,'BD_LeiturasHidrômetro_PRJ04'!$G189&amp;'BD_LeiturasHidrômetro_PRJ04'!$H189)</f>
        <v>000000</v>
      </c>
      <c r="K189" s="36" t="str">
        <f t="shared" si="1"/>
        <v>000000</v>
      </c>
      <c r="L189" s="15"/>
      <c r="M189" s="15"/>
      <c r="N189" s="17">
        <f t="shared" si="2"/>
        <v>0</v>
      </c>
      <c r="O189" s="15" t="s">
        <v>263</v>
      </c>
      <c r="S189" s="19"/>
    </row>
    <row r="190" ht="15.75" customHeight="1">
      <c r="A190" s="10">
        <v>220.0</v>
      </c>
      <c r="B190" s="11" t="s">
        <v>232</v>
      </c>
      <c r="C190" s="12">
        <v>31.0</v>
      </c>
      <c r="D190" s="10" t="s">
        <v>202</v>
      </c>
      <c r="E190" s="10">
        <v>2025.0</v>
      </c>
      <c r="F190" s="10" t="s">
        <v>26</v>
      </c>
      <c r="G190" s="35"/>
      <c r="H190" s="35"/>
      <c r="I190" s="36" t="str">
        <f>IFERROR(_xlfn.FORECAST.LINEAR('BD_LeiturasHidrômetro_PRJ04'!$A190,G:G,A:A),"000000")</f>
        <v>000000</v>
      </c>
      <c r="J190" s="36" t="str">
        <f>IF('BD_LeiturasHidrômetro_PRJ04'!$G190&amp;'BD_LeiturasHidrômetro_PRJ04'!$H190="",'BD_LeiturasHidrômetro_PRJ04'!$I190,'BD_LeiturasHidrômetro_PRJ04'!$G190&amp;'BD_LeiturasHidrômetro_PRJ04'!$H190)</f>
        <v>000000</v>
      </c>
      <c r="K190" s="36" t="str">
        <f t="shared" si="1"/>
        <v>000000</v>
      </c>
      <c r="L190" s="15"/>
      <c r="M190" s="15"/>
      <c r="N190" s="17">
        <f t="shared" si="2"/>
        <v>0</v>
      </c>
      <c r="O190" s="15" t="s">
        <v>263</v>
      </c>
      <c r="S190" s="22"/>
    </row>
    <row r="191" ht="15.75" customHeight="1">
      <c r="A191" s="23"/>
      <c r="B191" s="24"/>
      <c r="C191" s="25"/>
      <c r="D191" s="26"/>
      <c r="E191" s="26"/>
      <c r="F191" s="26"/>
      <c r="G191" s="37"/>
      <c r="H191" s="37"/>
      <c r="I191" s="37"/>
      <c r="J191" s="37"/>
      <c r="K191" s="37"/>
      <c r="L191" s="23"/>
      <c r="M191" s="23"/>
      <c r="P191" s="22"/>
    </row>
    <row r="192" ht="15.75" customHeight="1">
      <c r="A192" s="23"/>
      <c r="B192" s="24"/>
      <c r="C192" s="25"/>
      <c r="D192" s="26"/>
      <c r="E192" s="26"/>
      <c r="F192" s="26"/>
      <c r="G192" s="37"/>
      <c r="H192" s="37"/>
      <c r="I192" s="37"/>
      <c r="J192" s="37"/>
      <c r="K192" s="37"/>
      <c r="L192" s="23"/>
      <c r="M192" s="23"/>
      <c r="P192" s="22"/>
    </row>
    <row r="193" ht="15.75" customHeight="1">
      <c r="A193" s="23"/>
      <c r="B193" s="24"/>
      <c r="C193" s="25"/>
      <c r="D193" s="26"/>
      <c r="E193" s="26"/>
      <c r="F193" s="26"/>
      <c r="G193" s="37"/>
      <c r="H193" s="37"/>
      <c r="I193" s="37"/>
      <c r="J193" s="37"/>
      <c r="K193" s="37"/>
      <c r="L193" s="23"/>
      <c r="M193" s="23"/>
      <c r="P193" s="22"/>
    </row>
    <row r="194" ht="15.75" customHeight="1">
      <c r="A194" s="23"/>
      <c r="B194" s="24"/>
      <c r="C194" s="25"/>
      <c r="D194" s="26"/>
      <c r="E194" s="26"/>
      <c r="F194" s="26"/>
      <c r="G194" s="37"/>
      <c r="H194" s="37"/>
      <c r="I194" s="37"/>
      <c r="J194" s="37"/>
      <c r="K194" s="37"/>
      <c r="L194" s="23"/>
      <c r="M194" s="23"/>
      <c r="P194" s="22"/>
    </row>
    <row r="195" ht="15.75" customHeight="1">
      <c r="A195" s="23"/>
      <c r="B195" s="24"/>
      <c r="C195" s="25"/>
      <c r="D195" s="26"/>
      <c r="E195" s="26"/>
      <c r="F195" s="26"/>
      <c r="G195" s="37"/>
      <c r="H195" s="37"/>
      <c r="I195" s="37"/>
      <c r="J195" s="37"/>
      <c r="K195" s="37"/>
      <c r="L195" s="23"/>
      <c r="M195" s="23"/>
      <c r="P195" s="22"/>
    </row>
    <row r="196" ht="15.75" customHeight="1">
      <c r="A196" s="23"/>
      <c r="B196" s="24"/>
      <c r="C196" s="25"/>
      <c r="D196" s="26"/>
      <c r="E196" s="26"/>
      <c r="F196" s="26"/>
      <c r="G196" s="37"/>
      <c r="H196" s="37"/>
      <c r="I196" s="37"/>
      <c r="J196" s="37"/>
      <c r="K196" s="37"/>
      <c r="L196" s="23"/>
      <c r="M196" s="23"/>
      <c r="P196" s="22"/>
    </row>
    <row r="197" ht="15.75" customHeight="1">
      <c r="A197" s="23"/>
      <c r="B197" s="24"/>
      <c r="C197" s="25"/>
      <c r="D197" s="26"/>
      <c r="E197" s="26"/>
      <c r="F197" s="26"/>
      <c r="G197" s="37"/>
      <c r="H197" s="37"/>
      <c r="I197" s="37"/>
      <c r="J197" s="37"/>
      <c r="K197" s="37"/>
      <c r="L197" s="23"/>
      <c r="M197" s="23"/>
      <c r="P197" s="22"/>
    </row>
    <row r="198" ht="15.75" customHeight="1">
      <c r="A198" s="23"/>
      <c r="B198" s="24"/>
      <c r="C198" s="25"/>
      <c r="D198" s="26"/>
      <c r="E198" s="26"/>
      <c r="F198" s="26"/>
      <c r="G198" s="37"/>
      <c r="H198" s="37"/>
      <c r="I198" s="37"/>
      <c r="J198" s="37"/>
      <c r="K198" s="37"/>
      <c r="L198" s="23"/>
      <c r="M198" s="23"/>
      <c r="P198" s="22"/>
    </row>
    <row r="199" ht="15.75" customHeight="1">
      <c r="A199" s="23"/>
      <c r="B199" s="24"/>
      <c r="C199" s="25"/>
      <c r="D199" s="26"/>
      <c r="E199" s="26"/>
      <c r="F199" s="26"/>
      <c r="G199" s="37"/>
      <c r="H199" s="37"/>
      <c r="I199" s="37"/>
      <c r="J199" s="37"/>
      <c r="K199" s="37"/>
      <c r="L199" s="23"/>
      <c r="M199" s="23"/>
      <c r="P199" s="22"/>
    </row>
    <row r="200" ht="15.75" customHeight="1">
      <c r="A200" s="23"/>
      <c r="B200" s="24"/>
      <c r="C200" s="25"/>
      <c r="D200" s="26"/>
      <c r="E200" s="26"/>
      <c r="F200" s="26"/>
      <c r="G200" s="37"/>
      <c r="H200" s="37"/>
      <c r="I200" s="37"/>
      <c r="J200" s="37"/>
      <c r="K200" s="37"/>
      <c r="L200" s="23"/>
      <c r="M200" s="23"/>
      <c r="P200" s="22"/>
    </row>
    <row r="201" ht="15.75" customHeight="1">
      <c r="A201" s="23"/>
      <c r="B201" s="24"/>
      <c r="C201" s="25"/>
      <c r="D201" s="26"/>
      <c r="E201" s="26"/>
      <c r="F201" s="26"/>
      <c r="G201" s="37"/>
      <c r="H201" s="37"/>
      <c r="I201" s="37"/>
      <c r="J201" s="37"/>
      <c r="K201" s="37"/>
      <c r="L201" s="23"/>
      <c r="M201" s="23"/>
      <c r="P201" s="22"/>
    </row>
    <row r="202" ht="15.75" customHeight="1">
      <c r="A202" s="23"/>
      <c r="B202" s="24"/>
      <c r="C202" s="25"/>
      <c r="D202" s="26"/>
      <c r="E202" s="26"/>
      <c r="F202" s="26"/>
      <c r="G202" s="37"/>
      <c r="H202" s="37"/>
      <c r="I202" s="37"/>
      <c r="J202" s="37"/>
      <c r="K202" s="37"/>
      <c r="L202" s="23"/>
      <c r="M202" s="23"/>
      <c r="P202" s="22"/>
    </row>
    <row r="203" ht="15.75" customHeight="1">
      <c r="A203" s="23"/>
      <c r="B203" s="24"/>
      <c r="C203" s="25"/>
      <c r="D203" s="26"/>
      <c r="E203" s="26"/>
      <c r="F203" s="26"/>
      <c r="G203" s="37"/>
      <c r="H203" s="37"/>
      <c r="I203" s="37"/>
      <c r="J203" s="37"/>
      <c r="K203" s="37"/>
      <c r="L203" s="23"/>
      <c r="M203" s="23"/>
      <c r="P203" s="22"/>
    </row>
    <row r="204" ht="15.75" customHeight="1">
      <c r="A204" s="23"/>
      <c r="B204" s="24"/>
      <c r="C204" s="25"/>
      <c r="D204" s="26"/>
      <c r="E204" s="26"/>
      <c r="F204" s="26"/>
      <c r="G204" s="37"/>
      <c r="H204" s="37"/>
      <c r="I204" s="37"/>
      <c r="J204" s="37"/>
      <c r="K204" s="37"/>
      <c r="L204" s="23"/>
      <c r="M204" s="23"/>
      <c r="P204" s="22"/>
    </row>
    <row r="205" ht="15.75" customHeight="1">
      <c r="A205" s="23"/>
      <c r="B205" s="24"/>
      <c r="C205" s="25"/>
      <c r="D205" s="26"/>
      <c r="E205" s="26"/>
      <c r="F205" s="26"/>
      <c r="G205" s="37"/>
      <c r="H205" s="37"/>
      <c r="I205" s="37"/>
      <c r="J205" s="37"/>
      <c r="K205" s="37"/>
      <c r="L205" s="23"/>
      <c r="M205" s="23"/>
      <c r="P205" s="22"/>
    </row>
    <row r="206" ht="15.75" customHeight="1">
      <c r="A206" s="23"/>
      <c r="B206" s="24"/>
      <c r="C206" s="25"/>
      <c r="D206" s="26"/>
      <c r="E206" s="26"/>
      <c r="F206" s="26"/>
      <c r="G206" s="37"/>
      <c r="H206" s="37"/>
      <c r="I206" s="37"/>
      <c r="J206" s="37"/>
      <c r="K206" s="37"/>
      <c r="L206" s="23"/>
      <c r="M206" s="23"/>
      <c r="P206" s="22"/>
    </row>
    <row r="207" ht="15.75" customHeight="1">
      <c r="A207" s="23"/>
      <c r="B207" s="24"/>
      <c r="C207" s="25"/>
      <c r="D207" s="26"/>
      <c r="E207" s="26"/>
      <c r="F207" s="26"/>
      <c r="G207" s="37"/>
      <c r="H207" s="37"/>
      <c r="I207" s="37"/>
      <c r="J207" s="37"/>
      <c r="K207" s="37"/>
      <c r="L207" s="23"/>
      <c r="M207" s="23"/>
      <c r="P207" s="22"/>
    </row>
    <row r="208" ht="15.75" customHeight="1">
      <c r="A208" s="23"/>
      <c r="B208" s="24"/>
      <c r="C208" s="25"/>
      <c r="D208" s="26"/>
      <c r="E208" s="26"/>
      <c r="F208" s="26"/>
      <c r="G208" s="37"/>
      <c r="H208" s="37"/>
      <c r="I208" s="37"/>
      <c r="J208" s="37"/>
      <c r="K208" s="37"/>
      <c r="L208" s="23"/>
      <c r="M208" s="23"/>
      <c r="P208" s="22"/>
    </row>
    <row r="209" ht="15.75" customHeight="1">
      <c r="A209" s="23"/>
      <c r="B209" s="24"/>
      <c r="C209" s="25"/>
      <c r="D209" s="26"/>
      <c r="E209" s="26"/>
      <c r="F209" s="26"/>
      <c r="G209" s="37"/>
      <c r="H209" s="37"/>
      <c r="I209" s="37"/>
      <c r="J209" s="37"/>
      <c r="K209" s="37"/>
      <c r="L209" s="23"/>
      <c r="M209" s="23"/>
      <c r="P209" s="22"/>
    </row>
    <row r="210" ht="15.75" customHeight="1">
      <c r="A210" s="23"/>
      <c r="B210" s="24"/>
      <c r="C210" s="25"/>
      <c r="D210" s="26"/>
      <c r="E210" s="26"/>
      <c r="F210" s="26"/>
      <c r="G210" s="37"/>
      <c r="H210" s="37"/>
      <c r="I210" s="37"/>
      <c r="J210" s="37"/>
      <c r="K210" s="37"/>
      <c r="L210" s="23"/>
      <c r="M210" s="23"/>
      <c r="P210" s="22"/>
    </row>
    <row r="211" ht="15.75" customHeight="1">
      <c r="A211" s="23"/>
      <c r="B211" s="24"/>
      <c r="C211" s="25"/>
      <c r="D211" s="26"/>
      <c r="E211" s="26"/>
      <c r="F211" s="26"/>
      <c r="G211" s="37"/>
      <c r="H211" s="37"/>
      <c r="I211" s="37"/>
      <c r="J211" s="37"/>
      <c r="K211" s="37"/>
      <c r="L211" s="23"/>
      <c r="M211" s="23"/>
      <c r="P211" s="22"/>
    </row>
    <row r="212" ht="15.75" customHeight="1">
      <c r="A212" s="23"/>
      <c r="B212" s="24"/>
      <c r="C212" s="25"/>
      <c r="D212" s="26"/>
      <c r="E212" s="26"/>
      <c r="F212" s="26"/>
      <c r="G212" s="37"/>
      <c r="H212" s="37"/>
      <c r="I212" s="37"/>
      <c r="J212" s="37"/>
      <c r="K212" s="37"/>
      <c r="L212" s="23"/>
      <c r="M212" s="23"/>
      <c r="P212" s="22"/>
    </row>
    <row r="213" ht="15.75" customHeight="1">
      <c r="A213" s="23"/>
      <c r="B213" s="24"/>
      <c r="C213" s="25"/>
      <c r="D213" s="26"/>
      <c r="E213" s="26"/>
      <c r="F213" s="26"/>
      <c r="G213" s="37"/>
      <c r="H213" s="37"/>
      <c r="I213" s="37"/>
      <c r="J213" s="37"/>
      <c r="K213" s="37"/>
      <c r="L213" s="23"/>
      <c r="M213" s="23"/>
      <c r="P213" s="22"/>
    </row>
    <row r="214" ht="15.75" customHeight="1">
      <c r="A214" s="23"/>
      <c r="B214" s="24"/>
      <c r="C214" s="25"/>
      <c r="D214" s="26"/>
      <c r="E214" s="26"/>
      <c r="F214" s="26"/>
      <c r="G214" s="37"/>
      <c r="H214" s="37"/>
      <c r="I214" s="37"/>
      <c r="J214" s="37"/>
      <c r="K214" s="37"/>
      <c r="L214" s="23"/>
      <c r="M214" s="23"/>
      <c r="P214" s="22"/>
    </row>
    <row r="215" ht="15.75" customHeight="1">
      <c r="A215" s="23"/>
      <c r="B215" s="24"/>
      <c r="C215" s="25"/>
      <c r="D215" s="26"/>
      <c r="E215" s="26"/>
      <c r="F215" s="26"/>
      <c r="G215" s="37"/>
      <c r="H215" s="37"/>
      <c r="I215" s="37"/>
      <c r="J215" s="37"/>
      <c r="K215" s="37"/>
      <c r="L215" s="23"/>
      <c r="M215" s="23"/>
      <c r="P215" s="22"/>
    </row>
    <row r="216" ht="15.75" customHeight="1">
      <c r="A216" s="23"/>
      <c r="B216" s="24"/>
      <c r="C216" s="25"/>
      <c r="D216" s="26"/>
      <c r="E216" s="26"/>
      <c r="F216" s="26"/>
      <c r="G216" s="37"/>
      <c r="H216" s="37"/>
      <c r="I216" s="37"/>
      <c r="J216" s="37"/>
      <c r="K216" s="37"/>
      <c r="L216" s="23"/>
      <c r="M216" s="23"/>
      <c r="P216" s="22"/>
    </row>
    <row r="217" ht="15.75" customHeight="1">
      <c r="A217" s="23"/>
      <c r="B217" s="24"/>
      <c r="C217" s="25"/>
      <c r="D217" s="26"/>
      <c r="E217" s="26"/>
      <c r="F217" s="26"/>
      <c r="G217" s="37"/>
      <c r="H217" s="37"/>
      <c r="I217" s="37"/>
      <c r="J217" s="37"/>
      <c r="K217" s="37"/>
      <c r="L217" s="23"/>
      <c r="M217" s="23"/>
      <c r="P217" s="22"/>
    </row>
    <row r="218" ht="15.75" customHeight="1">
      <c r="A218" s="23"/>
      <c r="B218" s="24"/>
      <c r="C218" s="25"/>
      <c r="D218" s="26"/>
      <c r="E218" s="26"/>
      <c r="F218" s="26"/>
      <c r="G218" s="37"/>
      <c r="H218" s="37"/>
      <c r="I218" s="37"/>
      <c r="J218" s="37"/>
      <c r="K218" s="37"/>
      <c r="L218" s="23"/>
      <c r="M218" s="23"/>
      <c r="P218" s="22"/>
    </row>
    <row r="219" ht="15.75" customHeight="1">
      <c r="A219" s="23"/>
      <c r="B219" s="24"/>
      <c r="C219" s="25"/>
      <c r="D219" s="26"/>
      <c r="E219" s="26"/>
      <c r="F219" s="26"/>
      <c r="G219" s="37"/>
      <c r="H219" s="37"/>
      <c r="I219" s="37"/>
      <c r="J219" s="37"/>
      <c r="K219" s="37"/>
      <c r="L219" s="23"/>
      <c r="M219" s="23"/>
      <c r="P219" s="22"/>
    </row>
    <row r="220" ht="15.75" customHeight="1">
      <c r="A220" s="23"/>
      <c r="B220" s="24"/>
      <c r="C220" s="25"/>
      <c r="D220" s="26"/>
      <c r="E220" s="26"/>
      <c r="F220" s="26"/>
      <c r="G220" s="37"/>
      <c r="H220" s="37"/>
      <c r="I220" s="37"/>
      <c r="J220" s="37"/>
      <c r="K220" s="37"/>
      <c r="L220" s="23"/>
      <c r="M220" s="23"/>
      <c r="P220" s="22"/>
    </row>
    <row r="221" ht="15.75" customHeight="1">
      <c r="A221" s="23"/>
      <c r="B221" s="24"/>
      <c r="C221" s="25"/>
      <c r="D221" s="26"/>
      <c r="E221" s="26"/>
      <c r="F221" s="26"/>
      <c r="G221" s="37"/>
      <c r="H221" s="37"/>
      <c r="I221" s="37"/>
      <c r="J221" s="37"/>
      <c r="K221" s="37"/>
      <c r="L221" s="23"/>
      <c r="M221" s="23"/>
      <c r="P221" s="22"/>
    </row>
    <row r="222" ht="15.75" customHeight="1">
      <c r="A222" s="23"/>
      <c r="B222" s="24"/>
      <c r="C222" s="25"/>
      <c r="D222" s="26"/>
      <c r="E222" s="26"/>
      <c r="F222" s="26"/>
      <c r="G222" s="37"/>
      <c r="H222" s="37"/>
      <c r="I222" s="37"/>
      <c r="J222" s="37"/>
      <c r="K222" s="37"/>
      <c r="L222" s="23"/>
      <c r="M222" s="23"/>
      <c r="P222" s="22"/>
    </row>
    <row r="223" ht="15.75" customHeight="1">
      <c r="A223" s="23"/>
      <c r="B223" s="24"/>
      <c r="C223" s="25"/>
      <c r="D223" s="26"/>
      <c r="E223" s="26"/>
      <c r="F223" s="26"/>
      <c r="G223" s="37"/>
      <c r="H223" s="37"/>
      <c r="I223" s="37"/>
      <c r="J223" s="37"/>
      <c r="K223" s="37"/>
      <c r="L223" s="23"/>
      <c r="M223" s="23"/>
      <c r="P223" s="22"/>
    </row>
    <row r="224" ht="15.75" customHeight="1">
      <c r="A224" s="23"/>
      <c r="B224" s="24"/>
      <c r="C224" s="25"/>
      <c r="D224" s="26"/>
      <c r="E224" s="26"/>
      <c r="F224" s="26"/>
      <c r="G224" s="37"/>
      <c r="H224" s="37"/>
      <c r="I224" s="37"/>
      <c r="J224" s="37"/>
      <c r="K224" s="37"/>
      <c r="L224" s="23"/>
      <c r="M224" s="23"/>
      <c r="P224" s="22"/>
    </row>
    <row r="225" ht="15.75" customHeight="1">
      <c r="A225" s="23"/>
      <c r="B225" s="24"/>
      <c r="C225" s="25"/>
      <c r="D225" s="26"/>
      <c r="E225" s="26"/>
      <c r="F225" s="26"/>
      <c r="G225" s="37"/>
      <c r="H225" s="37"/>
      <c r="I225" s="37"/>
      <c r="J225" s="37"/>
      <c r="K225" s="37"/>
      <c r="L225" s="23"/>
      <c r="M225" s="23"/>
      <c r="P225" s="22"/>
    </row>
    <row r="226" ht="15.75" customHeight="1">
      <c r="A226" s="23"/>
      <c r="B226" s="24"/>
      <c r="C226" s="25"/>
      <c r="D226" s="26"/>
      <c r="E226" s="26"/>
      <c r="F226" s="26"/>
      <c r="G226" s="37"/>
      <c r="H226" s="37"/>
      <c r="I226" s="37"/>
      <c r="J226" s="37"/>
      <c r="K226" s="37"/>
      <c r="L226" s="23"/>
      <c r="M226" s="23"/>
      <c r="P226" s="22"/>
    </row>
    <row r="227" ht="15.75" customHeight="1">
      <c r="A227" s="23"/>
      <c r="B227" s="24"/>
      <c r="C227" s="25"/>
      <c r="D227" s="26"/>
      <c r="E227" s="26"/>
      <c r="F227" s="26"/>
      <c r="G227" s="37"/>
      <c r="H227" s="37"/>
      <c r="I227" s="37"/>
      <c r="J227" s="37"/>
      <c r="K227" s="37"/>
      <c r="L227" s="23"/>
      <c r="M227" s="23"/>
      <c r="P227" s="22"/>
    </row>
    <row r="228" ht="15.75" customHeight="1">
      <c r="A228" s="23"/>
      <c r="B228" s="24"/>
      <c r="C228" s="25"/>
      <c r="D228" s="26"/>
      <c r="E228" s="26"/>
      <c r="F228" s="26"/>
      <c r="G228" s="37"/>
      <c r="H228" s="37"/>
      <c r="I228" s="37"/>
      <c r="J228" s="37"/>
      <c r="K228" s="37"/>
      <c r="L228" s="23"/>
      <c r="M228" s="23"/>
      <c r="P228" s="22"/>
    </row>
    <row r="229" ht="15.75" customHeight="1">
      <c r="A229" s="23"/>
      <c r="B229" s="24"/>
      <c r="C229" s="25"/>
      <c r="D229" s="26"/>
      <c r="E229" s="26"/>
      <c r="F229" s="26"/>
      <c r="G229" s="37"/>
      <c r="H229" s="37"/>
      <c r="I229" s="37"/>
      <c r="J229" s="37"/>
      <c r="K229" s="37"/>
      <c r="L229" s="23"/>
      <c r="M229" s="23"/>
      <c r="P229" s="22"/>
    </row>
    <row r="230" ht="15.75" customHeight="1">
      <c r="A230" s="23"/>
      <c r="B230" s="24"/>
      <c r="C230" s="25"/>
      <c r="D230" s="26"/>
      <c r="E230" s="26"/>
      <c r="F230" s="26"/>
      <c r="G230" s="37"/>
      <c r="H230" s="37"/>
      <c r="I230" s="37"/>
      <c r="J230" s="37"/>
      <c r="K230" s="37"/>
      <c r="L230" s="23"/>
      <c r="M230" s="23"/>
      <c r="P230" s="22"/>
    </row>
    <row r="231" ht="15.75" customHeight="1">
      <c r="A231" s="23"/>
      <c r="B231" s="24"/>
      <c r="C231" s="25"/>
      <c r="D231" s="26"/>
      <c r="E231" s="26"/>
      <c r="F231" s="26"/>
      <c r="G231" s="37"/>
      <c r="H231" s="37"/>
      <c r="I231" s="37"/>
      <c r="J231" s="37"/>
      <c r="K231" s="37"/>
      <c r="L231" s="23"/>
      <c r="M231" s="23"/>
      <c r="P231" s="22"/>
    </row>
    <row r="232" ht="15.75" customHeight="1">
      <c r="A232" s="23"/>
      <c r="B232" s="24"/>
      <c r="C232" s="25"/>
      <c r="D232" s="26"/>
      <c r="E232" s="26"/>
      <c r="F232" s="26"/>
      <c r="G232" s="37"/>
      <c r="H232" s="37"/>
      <c r="I232" s="37"/>
      <c r="J232" s="37"/>
      <c r="K232" s="37"/>
      <c r="L232" s="23"/>
      <c r="M232" s="23"/>
      <c r="P232" s="22"/>
    </row>
    <row r="233" ht="15.75" customHeight="1">
      <c r="A233" s="23"/>
      <c r="B233" s="24"/>
      <c r="C233" s="25"/>
      <c r="D233" s="26"/>
      <c r="E233" s="26"/>
      <c r="F233" s="26"/>
      <c r="G233" s="37"/>
      <c r="H233" s="37"/>
      <c r="I233" s="37"/>
      <c r="J233" s="37"/>
      <c r="K233" s="37"/>
      <c r="L233" s="23"/>
      <c r="M233" s="23"/>
      <c r="P233" s="22"/>
    </row>
    <row r="234" ht="15.75" customHeight="1">
      <c r="A234" s="23"/>
      <c r="B234" s="24"/>
      <c r="C234" s="25"/>
      <c r="D234" s="26"/>
      <c r="E234" s="26"/>
      <c r="F234" s="26"/>
      <c r="G234" s="37"/>
      <c r="H234" s="37"/>
      <c r="I234" s="37"/>
      <c r="J234" s="37"/>
      <c r="K234" s="37"/>
      <c r="L234" s="23"/>
      <c r="M234" s="23"/>
      <c r="P234" s="22"/>
    </row>
    <row r="235" ht="15.75" customHeight="1">
      <c r="A235" s="23"/>
      <c r="B235" s="24"/>
      <c r="C235" s="25"/>
      <c r="D235" s="26"/>
      <c r="E235" s="26"/>
      <c r="F235" s="26"/>
      <c r="G235" s="37"/>
      <c r="H235" s="37"/>
      <c r="I235" s="37"/>
      <c r="J235" s="37"/>
      <c r="K235" s="37"/>
      <c r="L235" s="23"/>
      <c r="M235" s="23"/>
      <c r="P235" s="22"/>
    </row>
    <row r="236" ht="15.75" customHeight="1">
      <c r="A236" s="23"/>
      <c r="B236" s="24"/>
      <c r="C236" s="25"/>
      <c r="D236" s="26"/>
      <c r="E236" s="26"/>
      <c r="F236" s="26"/>
      <c r="G236" s="37"/>
      <c r="H236" s="37"/>
      <c r="I236" s="37"/>
      <c r="J236" s="37"/>
      <c r="K236" s="37"/>
      <c r="L236" s="23"/>
      <c r="M236" s="23"/>
      <c r="P236" s="22"/>
    </row>
    <row r="237" ht="15.75" customHeight="1">
      <c r="A237" s="23"/>
      <c r="B237" s="24"/>
      <c r="C237" s="25"/>
      <c r="D237" s="26"/>
      <c r="E237" s="26"/>
      <c r="F237" s="26"/>
      <c r="G237" s="37"/>
      <c r="H237" s="37"/>
      <c r="I237" s="37"/>
      <c r="J237" s="37"/>
      <c r="K237" s="37"/>
      <c r="L237" s="23"/>
      <c r="M237" s="23"/>
      <c r="P237" s="22"/>
    </row>
    <row r="238" ht="15.75" customHeight="1">
      <c r="A238" s="23"/>
      <c r="B238" s="24"/>
      <c r="C238" s="25"/>
      <c r="D238" s="26"/>
      <c r="E238" s="26"/>
      <c r="F238" s="26"/>
      <c r="G238" s="37"/>
      <c r="H238" s="37"/>
      <c r="I238" s="37"/>
      <c r="J238" s="37"/>
      <c r="K238" s="37"/>
      <c r="L238" s="23"/>
      <c r="M238" s="23"/>
      <c r="P238" s="22"/>
    </row>
    <row r="239" ht="15.75" customHeight="1">
      <c r="A239" s="23"/>
      <c r="B239" s="24"/>
      <c r="C239" s="25"/>
      <c r="D239" s="26"/>
      <c r="E239" s="26"/>
      <c r="F239" s="26"/>
      <c r="G239" s="37"/>
      <c r="H239" s="37"/>
      <c r="I239" s="37"/>
      <c r="J239" s="37"/>
      <c r="K239" s="37"/>
      <c r="L239" s="23"/>
      <c r="M239" s="23"/>
      <c r="P239" s="22"/>
    </row>
    <row r="240" ht="15.75" customHeight="1">
      <c r="A240" s="23"/>
      <c r="B240" s="24"/>
      <c r="C240" s="25"/>
      <c r="D240" s="26"/>
      <c r="E240" s="26"/>
      <c r="F240" s="26"/>
      <c r="G240" s="37"/>
      <c r="H240" s="37"/>
      <c r="I240" s="37"/>
      <c r="J240" s="37"/>
      <c r="K240" s="37"/>
      <c r="L240" s="23"/>
      <c r="M240" s="23"/>
      <c r="P240" s="22"/>
    </row>
    <row r="241" ht="15.75" customHeight="1">
      <c r="A241" s="23"/>
      <c r="B241" s="24"/>
      <c r="C241" s="25"/>
      <c r="D241" s="26"/>
      <c r="E241" s="26"/>
      <c r="F241" s="26"/>
      <c r="G241" s="37"/>
      <c r="H241" s="37"/>
      <c r="I241" s="37"/>
      <c r="J241" s="37"/>
      <c r="K241" s="37"/>
      <c r="L241" s="23"/>
      <c r="M241" s="23"/>
      <c r="P241" s="22"/>
    </row>
    <row r="242" ht="15.75" customHeight="1">
      <c r="A242" s="23"/>
      <c r="B242" s="24"/>
      <c r="C242" s="25"/>
      <c r="D242" s="26"/>
      <c r="E242" s="26"/>
      <c r="F242" s="26"/>
      <c r="G242" s="37"/>
      <c r="H242" s="37"/>
      <c r="I242" s="37"/>
      <c r="J242" s="37"/>
      <c r="K242" s="37"/>
      <c r="L242" s="23"/>
      <c r="M242" s="23"/>
      <c r="P242" s="22"/>
    </row>
    <row r="243" ht="15.75" customHeight="1">
      <c r="A243" s="23"/>
      <c r="B243" s="24"/>
      <c r="C243" s="25"/>
      <c r="D243" s="26"/>
      <c r="E243" s="26"/>
      <c r="F243" s="26"/>
      <c r="G243" s="37"/>
      <c r="H243" s="37"/>
      <c r="I243" s="37"/>
      <c r="J243" s="37"/>
      <c r="K243" s="37"/>
      <c r="L243" s="23"/>
      <c r="M243" s="23"/>
      <c r="P243" s="22"/>
    </row>
    <row r="244" ht="15.75" customHeight="1">
      <c r="A244" s="23"/>
      <c r="B244" s="24"/>
      <c r="C244" s="25"/>
      <c r="D244" s="26"/>
      <c r="E244" s="26"/>
      <c r="F244" s="26"/>
      <c r="G244" s="37"/>
      <c r="H244" s="37"/>
      <c r="I244" s="37"/>
      <c r="J244" s="37"/>
      <c r="K244" s="37"/>
      <c r="L244" s="23"/>
      <c r="M244" s="23"/>
      <c r="P244" s="22"/>
    </row>
    <row r="245" ht="15.75" customHeight="1">
      <c r="A245" s="23"/>
      <c r="B245" s="24"/>
      <c r="C245" s="25"/>
      <c r="D245" s="26"/>
      <c r="E245" s="26"/>
      <c r="F245" s="26"/>
      <c r="G245" s="37"/>
      <c r="H245" s="37"/>
      <c r="I245" s="37"/>
      <c r="J245" s="37"/>
      <c r="K245" s="37"/>
      <c r="L245" s="23"/>
      <c r="M245" s="23"/>
      <c r="P245" s="22"/>
    </row>
    <row r="246" ht="15.75" customHeight="1">
      <c r="A246" s="23"/>
      <c r="B246" s="24"/>
      <c r="C246" s="25"/>
      <c r="D246" s="26"/>
      <c r="E246" s="26"/>
      <c r="F246" s="26"/>
      <c r="G246" s="37"/>
      <c r="H246" s="37"/>
      <c r="I246" s="37"/>
      <c r="J246" s="37"/>
      <c r="K246" s="37"/>
      <c r="L246" s="23"/>
      <c r="M246" s="23"/>
      <c r="P246" s="22"/>
    </row>
    <row r="247" ht="15.75" customHeight="1">
      <c r="A247" s="23"/>
      <c r="B247" s="24"/>
      <c r="C247" s="25"/>
      <c r="D247" s="26"/>
      <c r="E247" s="26"/>
      <c r="F247" s="26"/>
      <c r="G247" s="37"/>
      <c r="H247" s="37"/>
      <c r="I247" s="37"/>
      <c r="J247" s="37"/>
      <c r="K247" s="37"/>
      <c r="L247" s="23"/>
      <c r="M247" s="23"/>
      <c r="P247" s="22"/>
    </row>
    <row r="248" ht="15.75" customHeight="1">
      <c r="A248" s="23"/>
      <c r="B248" s="24"/>
      <c r="C248" s="25"/>
      <c r="D248" s="26"/>
      <c r="E248" s="26"/>
      <c r="F248" s="26"/>
      <c r="G248" s="37"/>
      <c r="H248" s="37"/>
      <c r="I248" s="37"/>
      <c r="J248" s="37"/>
      <c r="K248" s="37"/>
      <c r="L248" s="23"/>
      <c r="M248" s="23"/>
      <c r="P248" s="22"/>
    </row>
    <row r="249" ht="15.75" customHeight="1">
      <c r="A249" s="23"/>
      <c r="B249" s="24"/>
      <c r="C249" s="25"/>
      <c r="D249" s="26"/>
      <c r="E249" s="26"/>
      <c r="F249" s="26"/>
      <c r="G249" s="37"/>
      <c r="H249" s="37"/>
      <c r="I249" s="37"/>
      <c r="J249" s="37"/>
      <c r="K249" s="37"/>
      <c r="L249" s="23"/>
      <c r="M249" s="23"/>
      <c r="P249" s="22"/>
    </row>
    <row r="250" ht="15.75" customHeight="1">
      <c r="A250" s="23"/>
      <c r="B250" s="24"/>
      <c r="C250" s="25"/>
      <c r="D250" s="26"/>
      <c r="E250" s="26"/>
      <c r="F250" s="26"/>
      <c r="G250" s="37"/>
      <c r="H250" s="37"/>
      <c r="I250" s="37"/>
      <c r="J250" s="37"/>
      <c r="K250" s="37"/>
      <c r="L250" s="23"/>
      <c r="M250" s="23"/>
      <c r="P250" s="22"/>
    </row>
    <row r="251" ht="15.75" customHeight="1">
      <c r="A251" s="23"/>
      <c r="B251" s="24"/>
      <c r="C251" s="25"/>
      <c r="D251" s="26"/>
      <c r="E251" s="26"/>
      <c r="F251" s="26"/>
      <c r="G251" s="37"/>
      <c r="H251" s="37"/>
      <c r="I251" s="37"/>
      <c r="J251" s="37"/>
      <c r="K251" s="37"/>
      <c r="L251" s="23"/>
      <c r="M251" s="23"/>
      <c r="P251" s="22"/>
    </row>
    <row r="252" ht="15.75" customHeight="1">
      <c r="A252" s="23"/>
      <c r="B252" s="24"/>
      <c r="C252" s="25"/>
      <c r="D252" s="26"/>
      <c r="E252" s="26"/>
      <c r="F252" s="26"/>
      <c r="G252" s="37"/>
      <c r="H252" s="37"/>
      <c r="I252" s="37"/>
      <c r="J252" s="37"/>
      <c r="K252" s="37"/>
      <c r="L252" s="23"/>
      <c r="M252" s="23"/>
      <c r="P252" s="22"/>
    </row>
    <row r="253" ht="15.75" customHeight="1">
      <c r="A253" s="23"/>
      <c r="B253" s="24"/>
      <c r="C253" s="25"/>
      <c r="D253" s="26"/>
      <c r="E253" s="26"/>
      <c r="F253" s="26"/>
      <c r="G253" s="37"/>
      <c r="H253" s="37"/>
      <c r="I253" s="37"/>
      <c r="J253" s="37"/>
      <c r="K253" s="37"/>
      <c r="L253" s="23"/>
      <c r="M253" s="23"/>
      <c r="P253" s="22"/>
    </row>
    <row r="254" ht="15.75" customHeight="1">
      <c r="A254" s="23"/>
      <c r="B254" s="24"/>
      <c r="C254" s="25"/>
      <c r="D254" s="26"/>
      <c r="E254" s="26"/>
      <c r="F254" s="26"/>
      <c r="G254" s="37"/>
      <c r="H254" s="37"/>
      <c r="I254" s="37"/>
      <c r="J254" s="37"/>
      <c r="K254" s="37"/>
      <c r="L254" s="23"/>
      <c r="M254" s="23"/>
      <c r="P254" s="22"/>
    </row>
    <row r="255" ht="15.75" customHeight="1">
      <c r="A255" s="23"/>
      <c r="B255" s="24"/>
      <c r="C255" s="25"/>
      <c r="D255" s="26"/>
      <c r="E255" s="26"/>
      <c r="F255" s="26"/>
      <c r="G255" s="37"/>
      <c r="H255" s="37"/>
      <c r="I255" s="37"/>
      <c r="J255" s="37"/>
      <c r="K255" s="37"/>
      <c r="L255" s="23"/>
      <c r="M255" s="23"/>
      <c r="P255" s="22"/>
    </row>
    <row r="256" ht="15.75" customHeight="1">
      <c r="A256" s="23"/>
      <c r="B256" s="24"/>
      <c r="C256" s="25"/>
      <c r="D256" s="26"/>
      <c r="E256" s="26"/>
      <c r="F256" s="26"/>
      <c r="G256" s="37"/>
      <c r="H256" s="37"/>
      <c r="I256" s="37"/>
      <c r="J256" s="37"/>
      <c r="K256" s="37"/>
      <c r="L256" s="23"/>
      <c r="M256" s="23"/>
      <c r="P256" s="22"/>
    </row>
    <row r="257" ht="15.75" customHeight="1">
      <c r="A257" s="23"/>
      <c r="B257" s="24"/>
      <c r="C257" s="25"/>
      <c r="D257" s="26"/>
      <c r="E257" s="26"/>
      <c r="F257" s="26"/>
      <c r="G257" s="37"/>
      <c r="H257" s="37"/>
      <c r="I257" s="37"/>
      <c r="J257" s="37"/>
      <c r="K257" s="37"/>
      <c r="L257" s="23"/>
      <c r="M257" s="23"/>
      <c r="P257" s="22"/>
    </row>
    <row r="258" ht="15.75" customHeight="1">
      <c r="A258" s="23"/>
      <c r="B258" s="24"/>
      <c r="C258" s="25"/>
      <c r="D258" s="26"/>
      <c r="E258" s="26"/>
      <c r="F258" s="26"/>
      <c r="G258" s="37"/>
      <c r="H258" s="37"/>
      <c r="I258" s="37"/>
      <c r="J258" s="37"/>
      <c r="K258" s="37"/>
      <c r="L258" s="23"/>
      <c r="M258" s="23"/>
      <c r="P258" s="22"/>
    </row>
    <row r="259" ht="15.75" customHeight="1">
      <c r="A259" s="23"/>
      <c r="B259" s="24"/>
      <c r="C259" s="25"/>
      <c r="D259" s="26"/>
      <c r="E259" s="26"/>
      <c r="F259" s="26"/>
      <c r="G259" s="37"/>
      <c r="H259" s="37"/>
      <c r="I259" s="37"/>
      <c r="J259" s="37"/>
      <c r="K259" s="37"/>
      <c r="L259" s="23"/>
      <c r="M259" s="23"/>
      <c r="P259" s="22"/>
    </row>
    <row r="260" ht="15.75" customHeight="1">
      <c r="A260" s="23"/>
      <c r="B260" s="24"/>
      <c r="C260" s="25"/>
      <c r="D260" s="26"/>
      <c r="E260" s="26"/>
      <c r="F260" s="26"/>
      <c r="G260" s="37"/>
      <c r="H260" s="37"/>
      <c r="I260" s="37"/>
      <c r="J260" s="37"/>
      <c r="K260" s="37"/>
      <c r="L260" s="23"/>
      <c r="M260" s="23"/>
      <c r="P260" s="22"/>
    </row>
    <row r="261" ht="15.75" customHeight="1">
      <c r="A261" s="23"/>
      <c r="B261" s="24"/>
      <c r="C261" s="25"/>
      <c r="D261" s="26"/>
      <c r="E261" s="26"/>
      <c r="F261" s="26"/>
      <c r="G261" s="37"/>
      <c r="H261" s="37"/>
      <c r="I261" s="37"/>
      <c r="J261" s="37"/>
      <c r="K261" s="37"/>
      <c r="L261" s="23"/>
      <c r="M261" s="23"/>
      <c r="P261" s="22"/>
    </row>
    <row r="262" ht="15.75" customHeight="1">
      <c r="A262" s="23"/>
      <c r="B262" s="24"/>
      <c r="C262" s="25"/>
      <c r="D262" s="26"/>
      <c r="E262" s="26"/>
      <c r="F262" s="26"/>
      <c r="G262" s="37"/>
      <c r="H262" s="37"/>
      <c r="I262" s="37"/>
      <c r="J262" s="37"/>
      <c r="K262" s="37"/>
      <c r="L262" s="23"/>
      <c r="M262" s="23"/>
      <c r="P262" s="22"/>
    </row>
    <row r="263" ht="15.75" customHeight="1">
      <c r="A263" s="23"/>
      <c r="B263" s="24"/>
      <c r="C263" s="25"/>
      <c r="D263" s="26"/>
      <c r="E263" s="26"/>
      <c r="F263" s="26"/>
      <c r="G263" s="37"/>
      <c r="H263" s="37"/>
      <c r="I263" s="37"/>
      <c r="J263" s="37"/>
      <c r="K263" s="37"/>
      <c r="L263" s="23"/>
      <c r="M263" s="23"/>
      <c r="P263" s="22"/>
    </row>
    <row r="264" ht="15.75" customHeight="1">
      <c r="A264" s="23"/>
      <c r="B264" s="24"/>
      <c r="C264" s="25"/>
      <c r="D264" s="26"/>
      <c r="E264" s="26"/>
      <c r="F264" s="26"/>
      <c r="G264" s="37"/>
      <c r="H264" s="37"/>
      <c r="I264" s="37"/>
      <c r="J264" s="37"/>
      <c r="K264" s="37"/>
      <c r="L264" s="23"/>
      <c r="M264" s="23"/>
      <c r="P264" s="22"/>
    </row>
    <row r="265" ht="15.75" customHeight="1">
      <c r="A265" s="23"/>
      <c r="B265" s="24"/>
      <c r="C265" s="25"/>
      <c r="D265" s="26"/>
      <c r="E265" s="26"/>
      <c r="F265" s="26"/>
      <c r="G265" s="37"/>
      <c r="H265" s="37"/>
      <c r="I265" s="37"/>
      <c r="J265" s="37"/>
      <c r="K265" s="37"/>
      <c r="L265" s="23"/>
      <c r="M265" s="23"/>
      <c r="P265" s="22"/>
    </row>
    <row r="266" ht="15.75" customHeight="1">
      <c r="A266" s="23"/>
      <c r="B266" s="24"/>
      <c r="C266" s="25"/>
      <c r="D266" s="26"/>
      <c r="E266" s="26"/>
      <c r="F266" s="26"/>
      <c r="G266" s="37"/>
      <c r="H266" s="37"/>
      <c r="I266" s="37"/>
      <c r="J266" s="37"/>
      <c r="K266" s="37"/>
      <c r="L266" s="23"/>
      <c r="M266" s="23"/>
      <c r="P266" s="22"/>
    </row>
    <row r="267" ht="15.75" customHeight="1">
      <c r="A267" s="23"/>
      <c r="B267" s="24"/>
      <c r="C267" s="25"/>
      <c r="D267" s="26"/>
      <c r="E267" s="26"/>
      <c r="F267" s="26"/>
      <c r="G267" s="37"/>
      <c r="H267" s="37"/>
      <c r="I267" s="37"/>
      <c r="J267" s="37"/>
      <c r="K267" s="37"/>
      <c r="L267" s="23"/>
      <c r="M267" s="23"/>
      <c r="P267" s="22"/>
    </row>
    <row r="268" ht="15.75" customHeight="1">
      <c r="A268" s="23"/>
      <c r="B268" s="24"/>
      <c r="C268" s="25"/>
      <c r="D268" s="26"/>
      <c r="E268" s="26"/>
      <c r="F268" s="26"/>
      <c r="G268" s="37"/>
      <c r="H268" s="37"/>
      <c r="I268" s="37"/>
      <c r="J268" s="37"/>
      <c r="K268" s="37"/>
      <c r="L268" s="23"/>
      <c r="M268" s="23"/>
      <c r="P268" s="22"/>
    </row>
    <row r="269" ht="15.75" customHeight="1">
      <c r="A269" s="23"/>
      <c r="B269" s="24"/>
      <c r="C269" s="25"/>
      <c r="D269" s="26"/>
      <c r="E269" s="26"/>
      <c r="F269" s="26"/>
      <c r="G269" s="37"/>
      <c r="H269" s="37"/>
      <c r="I269" s="37"/>
      <c r="J269" s="37"/>
      <c r="K269" s="37"/>
      <c r="L269" s="23"/>
      <c r="M269" s="23"/>
      <c r="P269" s="22"/>
    </row>
    <row r="270" ht="15.75" customHeight="1">
      <c r="A270" s="23"/>
      <c r="B270" s="24"/>
      <c r="C270" s="25"/>
      <c r="D270" s="26"/>
      <c r="E270" s="26"/>
      <c r="F270" s="26"/>
      <c r="G270" s="37"/>
      <c r="H270" s="37"/>
      <c r="I270" s="37"/>
      <c r="J270" s="37"/>
      <c r="K270" s="37"/>
      <c r="L270" s="23"/>
      <c r="M270" s="23"/>
      <c r="P270" s="22"/>
    </row>
    <row r="271" ht="15.75" customHeight="1">
      <c r="A271" s="23"/>
      <c r="B271" s="24"/>
      <c r="C271" s="25"/>
      <c r="D271" s="26"/>
      <c r="E271" s="26"/>
      <c r="F271" s="26"/>
      <c r="G271" s="37"/>
      <c r="H271" s="37"/>
      <c r="I271" s="37"/>
      <c r="J271" s="37"/>
      <c r="K271" s="37"/>
      <c r="L271" s="23"/>
      <c r="M271" s="23"/>
      <c r="P271" s="22"/>
    </row>
    <row r="272" ht="15.75" customHeight="1">
      <c r="A272" s="23"/>
      <c r="B272" s="24"/>
      <c r="C272" s="25"/>
      <c r="D272" s="26"/>
      <c r="E272" s="26"/>
      <c r="F272" s="26"/>
      <c r="G272" s="37"/>
      <c r="H272" s="37"/>
      <c r="I272" s="37"/>
      <c r="J272" s="37"/>
      <c r="K272" s="37"/>
      <c r="L272" s="23"/>
      <c r="M272" s="23"/>
      <c r="P272" s="22"/>
    </row>
    <row r="273" ht="15.75" customHeight="1">
      <c r="A273" s="23"/>
      <c r="B273" s="24"/>
      <c r="C273" s="25"/>
      <c r="D273" s="26"/>
      <c r="E273" s="26"/>
      <c r="F273" s="26"/>
      <c r="G273" s="37"/>
      <c r="H273" s="37"/>
      <c r="I273" s="37"/>
      <c r="J273" s="37"/>
      <c r="K273" s="37"/>
      <c r="L273" s="23"/>
      <c r="M273" s="23"/>
      <c r="P273" s="22"/>
    </row>
    <row r="274" ht="15.75" customHeight="1">
      <c r="A274" s="23"/>
      <c r="B274" s="24"/>
      <c r="C274" s="25"/>
      <c r="D274" s="26"/>
      <c r="E274" s="26"/>
      <c r="F274" s="26"/>
      <c r="G274" s="37"/>
      <c r="H274" s="37"/>
      <c r="I274" s="37"/>
      <c r="J274" s="37"/>
      <c r="K274" s="37"/>
      <c r="L274" s="23"/>
      <c r="M274" s="23"/>
      <c r="P274" s="22"/>
    </row>
    <row r="275" ht="15.75" customHeight="1">
      <c r="A275" s="23"/>
      <c r="B275" s="24"/>
      <c r="C275" s="25"/>
      <c r="D275" s="26"/>
      <c r="E275" s="26"/>
      <c r="F275" s="26"/>
      <c r="G275" s="37"/>
      <c r="H275" s="37"/>
      <c r="I275" s="37"/>
      <c r="J275" s="37"/>
      <c r="K275" s="37"/>
      <c r="L275" s="23"/>
      <c r="M275" s="23"/>
      <c r="P275" s="22"/>
    </row>
    <row r="276" ht="15.75" customHeight="1">
      <c r="A276" s="23"/>
      <c r="B276" s="24"/>
      <c r="C276" s="25"/>
      <c r="D276" s="26"/>
      <c r="E276" s="26"/>
      <c r="F276" s="26"/>
      <c r="G276" s="37"/>
      <c r="H276" s="37"/>
      <c r="I276" s="37"/>
      <c r="J276" s="37"/>
      <c r="K276" s="37"/>
      <c r="L276" s="23"/>
      <c r="M276" s="23"/>
      <c r="P276" s="22"/>
    </row>
    <row r="277" ht="15.75" customHeight="1">
      <c r="A277" s="23"/>
      <c r="B277" s="24"/>
      <c r="C277" s="25"/>
      <c r="D277" s="26"/>
      <c r="E277" s="26"/>
      <c r="F277" s="26"/>
      <c r="G277" s="37"/>
      <c r="H277" s="37"/>
      <c r="I277" s="37"/>
      <c r="J277" s="37"/>
      <c r="K277" s="37"/>
      <c r="L277" s="23"/>
      <c r="M277" s="23"/>
      <c r="P277" s="22"/>
    </row>
    <row r="278" ht="15.75" customHeight="1">
      <c r="A278" s="23"/>
      <c r="B278" s="24"/>
      <c r="C278" s="25"/>
      <c r="D278" s="26"/>
      <c r="E278" s="26"/>
      <c r="F278" s="26"/>
      <c r="G278" s="37"/>
      <c r="H278" s="37"/>
      <c r="I278" s="37"/>
      <c r="J278" s="37"/>
      <c r="K278" s="37"/>
      <c r="L278" s="23"/>
      <c r="M278" s="23"/>
      <c r="P278" s="22"/>
    </row>
    <row r="279" ht="15.75" customHeight="1">
      <c r="A279" s="23"/>
      <c r="B279" s="24"/>
      <c r="C279" s="25"/>
      <c r="D279" s="26"/>
      <c r="E279" s="26"/>
      <c r="F279" s="26"/>
      <c r="G279" s="37"/>
      <c r="H279" s="37"/>
      <c r="I279" s="37"/>
      <c r="J279" s="37"/>
      <c r="K279" s="37"/>
      <c r="L279" s="23"/>
      <c r="M279" s="23"/>
      <c r="P279" s="22"/>
    </row>
    <row r="280" ht="15.75" customHeight="1">
      <c r="A280" s="23"/>
      <c r="B280" s="24"/>
      <c r="C280" s="25"/>
      <c r="D280" s="26"/>
      <c r="E280" s="26"/>
      <c r="F280" s="26"/>
      <c r="G280" s="37"/>
      <c r="H280" s="37"/>
      <c r="I280" s="37"/>
      <c r="J280" s="37"/>
      <c r="K280" s="37"/>
      <c r="L280" s="23"/>
      <c r="M280" s="23"/>
      <c r="P280" s="22"/>
    </row>
    <row r="281" ht="15.75" customHeight="1">
      <c r="A281" s="23"/>
      <c r="B281" s="24"/>
      <c r="C281" s="25"/>
      <c r="D281" s="26"/>
      <c r="E281" s="26"/>
      <c r="F281" s="26"/>
      <c r="G281" s="37"/>
      <c r="H281" s="37"/>
      <c r="I281" s="37"/>
      <c r="J281" s="37"/>
      <c r="K281" s="37"/>
      <c r="L281" s="23"/>
      <c r="M281" s="23"/>
      <c r="P281" s="22"/>
    </row>
    <row r="282" ht="15.75" customHeight="1">
      <c r="A282" s="23"/>
      <c r="B282" s="24"/>
      <c r="C282" s="25"/>
      <c r="D282" s="26"/>
      <c r="E282" s="26"/>
      <c r="F282" s="26"/>
      <c r="G282" s="37"/>
      <c r="H282" s="37"/>
      <c r="I282" s="37"/>
      <c r="J282" s="37"/>
      <c r="K282" s="37"/>
      <c r="L282" s="23"/>
      <c r="M282" s="23"/>
      <c r="P282" s="22"/>
    </row>
    <row r="283" ht="15.75" customHeight="1">
      <c r="A283" s="23"/>
      <c r="B283" s="24"/>
      <c r="C283" s="25"/>
      <c r="D283" s="26"/>
      <c r="E283" s="26"/>
      <c r="F283" s="26"/>
      <c r="G283" s="37"/>
      <c r="H283" s="37"/>
      <c r="I283" s="37"/>
      <c r="J283" s="37"/>
      <c r="K283" s="37"/>
      <c r="L283" s="23"/>
      <c r="M283" s="23"/>
      <c r="P283" s="22"/>
    </row>
    <row r="284" ht="15.75" customHeight="1">
      <c r="A284" s="23"/>
      <c r="B284" s="24"/>
      <c r="C284" s="25"/>
      <c r="D284" s="26"/>
      <c r="E284" s="26"/>
      <c r="F284" s="26"/>
      <c r="G284" s="37"/>
      <c r="H284" s="37"/>
      <c r="I284" s="37"/>
      <c r="J284" s="37"/>
      <c r="K284" s="37"/>
      <c r="L284" s="23"/>
      <c r="M284" s="23"/>
      <c r="P284" s="22"/>
    </row>
    <row r="285" ht="15.75" customHeight="1">
      <c r="A285" s="23"/>
      <c r="B285" s="24"/>
      <c r="C285" s="25"/>
      <c r="D285" s="26"/>
      <c r="E285" s="26"/>
      <c r="F285" s="26"/>
      <c r="G285" s="37"/>
      <c r="H285" s="37"/>
      <c r="I285" s="37"/>
      <c r="J285" s="37"/>
      <c r="K285" s="37"/>
      <c r="L285" s="23"/>
      <c r="M285" s="23"/>
      <c r="P285" s="22"/>
    </row>
    <row r="286" ht="15.75" customHeight="1">
      <c r="A286" s="23"/>
      <c r="B286" s="24"/>
      <c r="C286" s="25"/>
      <c r="D286" s="26"/>
      <c r="E286" s="26"/>
      <c r="F286" s="26"/>
      <c r="G286" s="37"/>
      <c r="H286" s="37"/>
      <c r="I286" s="37"/>
      <c r="J286" s="37"/>
      <c r="K286" s="37"/>
      <c r="L286" s="23"/>
      <c r="M286" s="23"/>
      <c r="P286" s="22"/>
    </row>
    <row r="287" ht="15.75" customHeight="1">
      <c r="A287" s="23"/>
      <c r="B287" s="24"/>
      <c r="C287" s="25"/>
      <c r="D287" s="26"/>
      <c r="E287" s="26"/>
      <c r="F287" s="26"/>
      <c r="G287" s="37"/>
      <c r="H287" s="37"/>
      <c r="I287" s="37"/>
      <c r="J287" s="37"/>
      <c r="K287" s="37"/>
      <c r="L287" s="23"/>
      <c r="M287" s="23"/>
      <c r="P287" s="22"/>
    </row>
    <row r="288" ht="15.75" customHeight="1">
      <c r="A288" s="23"/>
      <c r="B288" s="24"/>
      <c r="C288" s="25"/>
      <c r="D288" s="26"/>
      <c r="E288" s="26"/>
      <c r="F288" s="26"/>
      <c r="G288" s="37"/>
      <c r="H288" s="37"/>
      <c r="I288" s="37"/>
      <c r="J288" s="37"/>
      <c r="K288" s="37"/>
      <c r="L288" s="23"/>
      <c r="M288" s="23"/>
      <c r="P288" s="22"/>
    </row>
    <row r="289" ht="15.75" customHeight="1">
      <c r="A289" s="23"/>
      <c r="B289" s="24"/>
      <c r="C289" s="25"/>
      <c r="D289" s="26"/>
      <c r="E289" s="26"/>
      <c r="F289" s="26"/>
      <c r="G289" s="37"/>
      <c r="H289" s="37"/>
      <c r="I289" s="37"/>
      <c r="J289" s="37"/>
      <c r="K289" s="37"/>
      <c r="L289" s="23"/>
      <c r="M289" s="23"/>
      <c r="P289" s="22"/>
    </row>
    <row r="290" ht="15.75" customHeight="1">
      <c r="A290" s="23"/>
      <c r="B290" s="24"/>
      <c r="C290" s="25"/>
      <c r="D290" s="26"/>
      <c r="E290" s="26"/>
      <c r="F290" s="26"/>
      <c r="G290" s="37"/>
      <c r="H290" s="37"/>
      <c r="I290" s="37"/>
      <c r="J290" s="37"/>
      <c r="K290" s="37"/>
      <c r="L290" s="23"/>
      <c r="M290" s="23"/>
      <c r="P290" s="22"/>
    </row>
    <row r="291" ht="15.75" customHeight="1">
      <c r="A291" s="23"/>
      <c r="B291" s="24"/>
      <c r="C291" s="25"/>
      <c r="D291" s="26"/>
      <c r="E291" s="26"/>
      <c r="F291" s="26"/>
      <c r="G291" s="37"/>
      <c r="H291" s="37"/>
      <c r="I291" s="37"/>
      <c r="J291" s="37"/>
      <c r="K291" s="37"/>
      <c r="L291" s="23"/>
      <c r="M291" s="23"/>
      <c r="P291" s="22"/>
    </row>
    <row r="292" ht="15.75" customHeight="1">
      <c r="A292" s="23"/>
      <c r="B292" s="24"/>
      <c r="C292" s="25"/>
      <c r="D292" s="26"/>
      <c r="E292" s="26"/>
      <c r="F292" s="26"/>
      <c r="G292" s="37"/>
      <c r="H292" s="37"/>
      <c r="I292" s="37"/>
      <c r="J292" s="37"/>
      <c r="K292" s="37"/>
      <c r="L292" s="23"/>
      <c r="M292" s="23"/>
      <c r="P292" s="22"/>
    </row>
    <row r="293" ht="15.75" customHeight="1">
      <c r="A293" s="23"/>
      <c r="B293" s="24"/>
      <c r="C293" s="25"/>
      <c r="D293" s="26"/>
      <c r="E293" s="26"/>
      <c r="F293" s="26"/>
      <c r="G293" s="37"/>
      <c r="H293" s="37"/>
      <c r="I293" s="37"/>
      <c r="J293" s="37"/>
      <c r="K293" s="37"/>
      <c r="L293" s="23"/>
      <c r="M293" s="23"/>
      <c r="P293" s="22"/>
    </row>
    <row r="294" ht="15.75" customHeight="1">
      <c r="A294" s="23"/>
      <c r="B294" s="24"/>
      <c r="C294" s="25"/>
      <c r="D294" s="26"/>
      <c r="E294" s="26"/>
      <c r="F294" s="26"/>
      <c r="G294" s="37"/>
      <c r="H294" s="37"/>
      <c r="I294" s="37"/>
      <c r="J294" s="37"/>
      <c r="K294" s="37"/>
      <c r="L294" s="23"/>
      <c r="M294" s="23"/>
      <c r="P294" s="22"/>
    </row>
    <row r="295" ht="15.75" customHeight="1">
      <c r="A295" s="23"/>
      <c r="B295" s="24"/>
      <c r="C295" s="25"/>
      <c r="D295" s="26"/>
      <c r="E295" s="26"/>
      <c r="F295" s="26"/>
      <c r="G295" s="37"/>
      <c r="H295" s="37"/>
      <c r="I295" s="37"/>
      <c r="J295" s="37"/>
      <c r="K295" s="37"/>
      <c r="L295" s="23"/>
      <c r="M295" s="23"/>
      <c r="P295" s="22"/>
    </row>
    <row r="296" ht="15.75" customHeight="1">
      <c r="A296" s="23"/>
      <c r="B296" s="24"/>
      <c r="C296" s="25"/>
      <c r="D296" s="26"/>
      <c r="E296" s="26"/>
      <c r="F296" s="26"/>
      <c r="G296" s="37"/>
      <c r="H296" s="37"/>
      <c r="I296" s="37"/>
      <c r="J296" s="37"/>
      <c r="K296" s="37"/>
      <c r="L296" s="23"/>
      <c r="M296" s="23"/>
      <c r="P296" s="22"/>
    </row>
    <row r="297" ht="15.75" customHeight="1">
      <c r="A297" s="23"/>
      <c r="B297" s="24"/>
      <c r="C297" s="25"/>
      <c r="D297" s="26"/>
      <c r="E297" s="26"/>
      <c r="F297" s="26"/>
      <c r="G297" s="37"/>
      <c r="H297" s="37"/>
      <c r="I297" s="37"/>
      <c r="J297" s="37"/>
      <c r="K297" s="37"/>
      <c r="L297" s="23"/>
      <c r="M297" s="23"/>
      <c r="P297" s="22"/>
    </row>
    <row r="298" ht="15.75" customHeight="1">
      <c r="A298" s="23"/>
      <c r="B298" s="24"/>
      <c r="C298" s="25"/>
      <c r="D298" s="26"/>
      <c r="E298" s="26"/>
      <c r="F298" s="26"/>
      <c r="G298" s="37"/>
      <c r="H298" s="37"/>
      <c r="I298" s="37"/>
      <c r="J298" s="37"/>
      <c r="K298" s="37"/>
      <c r="L298" s="23"/>
      <c r="M298" s="23"/>
      <c r="P298" s="22"/>
    </row>
    <row r="299" ht="15.75" customHeight="1">
      <c r="A299" s="23"/>
      <c r="B299" s="24"/>
      <c r="C299" s="25"/>
      <c r="D299" s="26"/>
      <c r="E299" s="26"/>
      <c r="F299" s="26"/>
      <c r="G299" s="37"/>
      <c r="H299" s="37"/>
      <c r="I299" s="37"/>
      <c r="J299" s="37"/>
      <c r="K299" s="37"/>
      <c r="L299" s="23"/>
      <c r="M299" s="23"/>
      <c r="P299" s="22"/>
    </row>
    <row r="300" ht="15.75" customHeight="1">
      <c r="A300" s="23"/>
      <c r="B300" s="24"/>
      <c r="C300" s="25"/>
      <c r="D300" s="26"/>
      <c r="E300" s="26"/>
      <c r="F300" s="26"/>
      <c r="G300" s="37"/>
      <c r="H300" s="37"/>
      <c r="I300" s="37"/>
      <c r="J300" s="37"/>
      <c r="K300" s="37"/>
      <c r="L300" s="23"/>
      <c r="M300" s="23"/>
      <c r="P300" s="22"/>
    </row>
    <row r="301" ht="15.75" customHeight="1">
      <c r="A301" s="23"/>
      <c r="B301" s="24"/>
      <c r="C301" s="25"/>
      <c r="D301" s="26"/>
      <c r="E301" s="26"/>
      <c r="F301" s="26"/>
      <c r="G301" s="37"/>
      <c r="H301" s="37"/>
      <c r="I301" s="37"/>
      <c r="J301" s="37"/>
      <c r="K301" s="37"/>
      <c r="L301" s="23"/>
      <c r="M301" s="23"/>
      <c r="P301" s="22"/>
    </row>
    <row r="302" ht="15.75" customHeight="1">
      <c r="A302" s="23"/>
      <c r="B302" s="24"/>
      <c r="C302" s="25"/>
      <c r="D302" s="26"/>
      <c r="E302" s="26"/>
      <c r="F302" s="26"/>
      <c r="G302" s="37"/>
      <c r="H302" s="37"/>
      <c r="I302" s="37"/>
      <c r="J302" s="37"/>
      <c r="K302" s="37"/>
      <c r="L302" s="23"/>
      <c r="M302" s="23"/>
      <c r="P302" s="22"/>
    </row>
    <row r="303" ht="15.75" customHeight="1">
      <c r="A303" s="23"/>
      <c r="B303" s="24"/>
      <c r="C303" s="25"/>
      <c r="D303" s="26"/>
      <c r="E303" s="26"/>
      <c r="F303" s="26"/>
      <c r="G303" s="37"/>
      <c r="H303" s="37"/>
      <c r="I303" s="37"/>
      <c r="J303" s="37"/>
      <c r="K303" s="37"/>
      <c r="L303" s="23"/>
      <c r="M303" s="23"/>
      <c r="P303" s="22"/>
    </row>
    <row r="304" ht="15.75" customHeight="1">
      <c r="A304" s="23"/>
      <c r="B304" s="24"/>
      <c r="C304" s="25"/>
      <c r="D304" s="26"/>
      <c r="E304" s="26"/>
      <c r="F304" s="26"/>
      <c r="G304" s="37"/>
      <c r="H304" s="37"/>
      <c r="I304" s="37"/>
      <c r="J304" s="37"/>
      <c r="K304" s="37"/>
      <c r="L304" s="23"/>
      <c r="M304" s="23"/>
      <c r="P304" s="22"/>
    </row>
    <row r="305" ht="15.75" customHeight="1">
      <c r="A305" s="23"/>
      <c r="B305" s="24"/>
      <c r="C305" s="25"/>
      <c r="D305" s="26"/>
      <c r="E305" s="26"/>
      <c r="F305" s="26"/>
      <c r="G305" s="37"/>
      <c r="H305" s="37"/>
      <c r="I305" s="37"/>
      <c r="J305" s="37"/>
      <c r="K305" s="37"/>
      <c r="L305" s="23"/>
      <c r="M305" s="23"/>
      <c r="P305" s="22"/>
    </row>
    <row r="306" ht="15.75" customHeight="1">
      <c r="A306" s="23"/>
      <c r="B306" s="24"/>
      <c r="C306" s="25"/>
      <c r="D306" s="26"/>
      <c r="E306" s="26"/>
      <c r="F306" s="26"/>
      <c r="G306" s="37"/>
      <c r="H306" s="37"/>
      <c r="I306" s="37"/>
      <c r="J306" s="37"/>
      <c r="K306" s="37"/>
      <c r="L306" s="23"/>
      <c r="M306" s="23"/>
      <c r="P306" s="22"/>
    </row>
    <row r="307" ht="15.75" customHeight="1">
      <c r="A307" s="23"/>
      <c r="B307" s="24"/>
      <c r="C307" s="25"/>
      <c r="D307" s="26"/>
      <c r="E307" s="26"/>
      <c r="F307" s="26"/>
      <c r="G307" s="37"/>
      <c r="H307" s="37"/>
      <c r="I307" s="37"/>
      <c r="J307" s="37"/>
      <c r="K307" s="37"/>
      <c r="L307" s="23"/>
      <c r="M307" s="23"/>
      <c r="P307" s="22"/>
    </row>
    <row r="308" ht="15.75" customHeight="1">
      <c r="A308" s="23"/>
      <c r="B308" s="24"/>
      <c r="C308" s="25"/>
      <c r="D308" s="26"/>
      <c r="E308" s="26"/>
      <c r="F308" s="26"/>
      <c r="G308" s="37"/>
      <c r="H308" s="37"/>
      <c r="I308" s="37"/>
      <c r="J308" s="37"/>
      <c r="K308" s="37"/>
      <c r="L308" s="23"/>
      <c r="M308" s="23"/>
      <c r="P308" s="22"/>
    </row>
    <row r="309" ht="15.75" customHeight="1">
      <c r="A309" s="23"/>
      <c r="B309" s="24"/>
      <c r="C309" s="25"/>
      <c r="D309" s="26"/>
      <c r="E309" s="26"/>
      <c r="F309" s="26"/>
      <c r="G309" s="37"/>
      <c r="H309" s="37"/>
      <c r="I309" s="37"/>
      <c r="J309" s="37"/>
      <c r="K309" s="37"/>
      <c r="L309" s="23"/>
      <c r="M309" s="23"/>
      <c r="P309" s="22"/>
    </row>
    <row r="310" ht="15.75" customHeight="1">
      <c r="A310" s="23"/>
      <c r="B310" s="24"/>
      <c r="C310" s="25"/>
      <c r="D310" s="26"/>
      <c r="E310" s="26"/>
      <c r="F310" s="26"/>
      <c r="G310" s="37"/>
      <c r="H310" s="37"/>
      <c r="I310" s="37"/>
      <c r="J310" s="37"/>
      <c r="K310" s="37"/>
      <c r="L310" s="23"/>
      <c r="M310" s="23"/>
      <c r="P310" s="22"/>
    </row>
    <row r="311" ht="15.75" customHeight="1">
      <c r="A311" s="23"/>
      <c r="B311" s="24"/>
      <c r="C311" s="25"/>
      <c r="D311" s="26"/>
      <c r="E311" s="26"/>
      <c r="F311" s="26"/>
      <c r="G311" s="37"/>
      <c r="H311" s="37"/>
      <c r="I311" s="37"/>
      <c r="J311" s="37"/>
      <c r="K311" s="37"/>
      <c r="L311" s="23"/>
      <c r="M311" s="23"/>
      <c r="P311" s="22"/>
    </row>
    <row r="312" ht="15.75" customHeight="1">
      <c r="A312" s="23"/>
      <c r="B312" s="24"/>
      <c r="C312" s="25"/>
      <c r="D312" s="26"/>
      <c r="E312" s="26"/>
      <c r="F312" s="26"/>
      <c r="G312" s="37"/>
      <c r="H312" s="37"/>
      <c r="I312" s="37"/>
      <c r="J312" s="37"/>
      <c r="K312" s="37"/>
      <c r="L312" s="23"/>
      <c r="M312" s="23"/>
      <c r="P312" s="22"/>
    </row>
    <row r="313" ht="15.75" customHeight="1">
      <c r="A313" s="23"/>
      <c r="B313" s="24"/>
      <c r="C313" s="25"/>
      <c r="D313" s="26"/>
      <c r="E313" s="26"/>
      <c r="F313" s="26"/>
      <c r="G313" s="37"/>
      <c r="H313" s="37"/>
      <c r="I313" s="37"/>
      <c r="J313" s="37"/>
      <c r="K313" s="37"/>
      <c r="L313" s="23"/>
      <c r="M313" s="23"/>
      <c r="P313" s="22"/>
    </row>
    <row r="314" ht="15.75" customHeight="1">
      <c r="A314" s="23"/>
      <c r="B314" s="24"/>
      <c r="C314" s="25"/>
      <c r="D314" s="26"/>
      <c r="E314" s="26"/>
      <c r="F314" s="26"/>
      <c r="G314" s="37"/>
      <c r="H314" s="37"/>
      <c r="I314" s="37"/>
      <c r="J314" s="37"/>
      <c r="K314" s="37"/>
      <c r="L314" s="23"/>
      <c r="M314" s="23"/>
      <c r="P314" s="22"/>
    </row>
    <row r="315" ht="15.75" customHeight="1">
      <c r="A315" s="23"/>
      <c r="B315" s="24"/>
      <c r="C315" s="25"/>
      <c r="D315" s="26"/>
      <c r="E315" s="26"/>
      <c r="F315" s="26"/>
      <c r="G315" s="37"/>
      <c r="H315" s="37"/>
      <c r="I315" s="37"/>
      <c r="J315" s="37"/>
      <c r="K315" s="37"/>
      <c r="L315" s="23"/>
      <c r="M315" s="23"/>
      <c r="P315" s="22"/>
    </row>
    <row r="316" ht="15.75" customHeight="1">
      <c r="A316" s="23"/>
      <c r="B316" s="24"/>
      <c r="C316" s="25"/>
      <c r="D316" s="26"/>
      <c r="E316" s="26"/>
      <c r="F316" s="26"/>
      <c r="G316" s="37"/>
      <c r="H316" s="37"/>
      <c r="I316" s="37"/>
      <c r="J316" s="37"/>
      <c r="K316" s="37"/>
      <c r="L316" s="23"/>
      <c r="M316" s="23"/>
      <c r="P316" s="22"/>
    </row>
    <row r="317" ht="15.75" customHeight="1">
      <c r="A317" s="23"/>
      <c r="B317" s="24"/>
      <c r="C317" s="25"/>
      <c r="D317" s="26"/>
      <c r="E317" s="26"/>
      <c r="F317" s="26"/>
      <c r="G317" s="37"/>
      <c r="H317" s="37"/>
      <c r="I317" s="37"/>
      <c r="J317" s="37"/>
      <c r="K317" s="37"/>
      <c r="L317" s="23"/>
      <c r="M317" s="23"/>
      <c r="P317" s="22"/>
    </row>
    <row r="318" ht="15.75" customHeight="1">
      <c r="A318" s="23"/>
      <c r="B318" s="24"/>
      <c r="C318" s="25"/>
      <c r="D318" s="26"/>
      <c r="E318" s="26"/>
      <c r="F318" s="26"/>
      <c r="G318" s="37"/>
      <c r="H318" s="37"/>
      <c r="I318" s="37"/>
      <c r="J318" s="37"/>
      <c r="K318" s="37"/>
      <c r="L318" s="23"/>
      <c r="M318" s="23"/>
      <c r="P318" s="22"/>
    </row>
    <row r="319" ht="15.75" customHeight="1">
      <c r="A319" s="23"/>
      <c r="B319" s="24"/>
      <c r="C319" s="25"/>
      <c r="D319" s="26"/>
      <c r="E319" s="26"/>
      <c r="F319" s="26"/>
      <c r="G319" s="37"/>
      <c r="H319" s="37"/>
      <c r="I319" s="37"/>
      <c r="J319" s="37"/>
      <c r="K319" s="37"/>
      <c r="L319" s="23"/>
      <c r="M319" s="23"/>
      <c r="P319" s="22"/>
    </row>
    <row r="320" ht="15.75" customHeight="1">
      <c r="A320" s="23"/>
      <c r="B320" s="24"/>
      <c r="C320" s="25"/>
      <c r="D320" s="26"/>
      <c r="E320" s="26"/>
      <c r="F320" s="26"/>
      <c r="G320" s="37"/>
      <c r="H320" s="37"/>
      <c r="I320" s="37"/>
      <c r="J320" s="37"/>
      <c r="K320" s="37"/>
      <c r="L320" s="23"/>
      <c r="M320" s="23"/>
      <c r="P320" s="22"/>
    </row>
    <row r="321" ht="15.75" customHeight="1">
      <c r="A321" s="23"/>
      <c r="B321" s="24"/>
      <c r="C321" s="25"/>
      <c r="D321" s="26"/>
      <c r="E321" s="26"/>
      <c r="F321" s="26"/>
      <c r="G321" s="37"/>
      <c r="H321" s="37"/>
      <c r="I321" s="37"/>
      <c r="J321" s="37"/>
      <c r="K321" s="37"/>
      <c r="L321" s="23"/>
      <c r="M321" s="23"/>
      <c r="P321" s="22"/>
    </row>
    <row r="322" ht="15.75" customHeight="1">
      <c r="A322" s="23"/>
      <c r="B322" s="24"/>
      <c r="C322" s="25"/>
      <c r="D322" s="26"/>
      <c r="E322" s="26"/>
      <c r="F322" s="26"/>
      <c r="G322" s="37"/>
      <c r="H322" s="37"/>
      <c r="I322" s="37"/>
      <c r="J322" s="37"/>
      <c r="K322" s="37"/>
      <c r="L322" s="23"/>
      <c r="M322" s="23"/>
      <c r="P322" s="22"/>
    </row>
    <row r="323" ht="15.75" customHeight="1">
      <c r="A323" s="23"/>
      <c r="B323" s="24"/>
      <c r="C323" s="25"/>
      <c r="D323" s="26"/>
      <c r="E323" s="26"/>
      <c r="F323" s="26"/>
      <c r="G323" s="37"/>
      <c r="H323" s="37"/>
      <c r="I323" s="37"/>
      <c r="J323" s="37"/>
      <c r="K323" s="37"/>
      <c r="L323" s="23"/>
      <c r="M323" s="23"/>
      <c r="P323" s="22"/>
    </row>
    <row r="324" ht="15.75" customHeight="1">
      <c r="A324" s="23"/>
      <c r="B324" s="24"/>
      <c r="C324" s="25"/>
      <c r="D324" s="26"/>
      <c r="E324" s="26"/>
      <c r="F324" s="26"/>
      <c r="G324" s="37"/>
      <c r="H324" s="37"/>
      <c r="I324" s="37"/>
      <c r="J324" s="37"/>
      <c r="K324" s="37"/>
      <c r="L324" s="23"/>
      <c r="M324" s="23"/>
      <c r="P324" s="22"/>
    </row>
    <row r="325" ht="15.75" customHeight="1">
      <c r="A325" s="23"/>
      <c r="B325" s="24"/>
      <c r="C325" s="25"/>
      <c r="D325" s="26"/>
      <c r="E325" s="26"/>
      <c r="F325" s="26"/>
      <c r="G325" s="37"/>
      <c r="H325" s="37"/>
      <c r="I325" s="37"/>
      <c r="J325" s="37"/>
      <c r="K325" s="37"/>
      <c r="L325" s="23"/>
      <c r="M325" s="23"/>
      <c r="P325" s="22"/>
    </row>
    <row r="326" ht="15.75" customHeight="1">
      <c r="A326" s="23"/>
      <c r="B326" s="24"/>
      <c r="C326" s="25"/>
      <c r="D326" s="26"/>
      <c r="E326" s="26"/>
      <c r="F326" s="26"/>
      <c r="G326" s="37"/>
      <c r="H326" s="37"/>
      <c r="I326" s="37"/>
      <c r="J326" s="37"/>
      <c r="K326" s="37"/>
      <c r="L326" s="23"/>
      <c r="M326" s="23"/>
      <c r="P326" s="22"/>
    </row>
    <row r="327" ht="15.75" customHeight="1">
      <c r="A327" s="23"/>
      <c r="B327" s="24"/>
      <c r="C327" s="25"/>
      <c r="D327" s="26"/>
      <c r="E327" s="26"/>
      <c r="F327" s="26"/>
      <c r="G327" s="37"/>
      <c r="H327" s="37"/>
      <c r="I327" s="37"/>
      <c r="J327" s="37"/>
      <c r="K327" s="37"/>
      <c r="L327" s="23"/>
      <c r="M327" s="23"/>
      <c r="P327" s="22"/>
    </row>
    <row r="328" ht="15.75" customHeight="1">
      <c r="A328" s="23"/>
      <c r="B328" s="24"/>
      <c r="C328" s="25"/>
      <c r="D328" s="26"/>
      <c r="E328" s="26"/>
      <c r="F328" s="26"/>
      <c r="G328" s="37"/>
      <c r="H328" s="37"/>
      <c r="I328" s="37"/>
      <c r="J328" s="37"/>
      <c r="K328" s="37"/>
      <c r="L328" s="23"/>
      <c r="M328" s="23"/>
      <c r="P328" s="22"/>
    </row>
    <row r="329" ht="15.75" customHeight="1">
      <c r="A329" s="23"/>
      <c r="B329" s="24"/>
      <c r="C329" s="25"/>
      <c r="D329" s="26"/>
      <c r="E329" s="26"/>
      <c r="F329" s="26"/>
      <c r="G329" s="37"/>
      <c r="H329" s="37"/>
      <c r="I329" s="37"/>
      <c r="J329" s="37"/>
      <c r="K329" s="37"/>
      <c r="L329" s="23"/>
      <c r="M329" s="23"/>
      <c r="P329" s="22"/>
    </row>
    <row r="330" ht="15.75" customHeight="1">
      <c r="A330" s="23"/>
      <c r="B330" s="24"/>
      <c r="C330" s="25"/>
      <c r="D330" s="26"/>
      <c r="E330" s="26"/>
      <c r="F330" s="26"/>
      <c r="G330" s="37"/>
      <c r="H330" s="37"/>
      <c r="I330" s="37"/>
      <c r="J330" s="37"/>
      <c r="K330" s="37"/>
      <c r="L330" s="23"/>
      <c r="M330" s="23"/>
      <c r="P330" s="22"/>
    </row>
    <row r="331" ht="15.75" customHeight="1">
      <c r="A331" s="23"/>
      <c r="B331" s="24"/>
      <c r="C331" s="25"/>
      <c r="D331" s="26"/>
      <c r="E331" s="26"/>
      <c r="F331" s="26"/>
      <c r="G331" s="37"/>
      <c r="H331" s="37"/>
      <c r="I331" s="37"/>
      <c r="J331" s="37"/>
      <c r="K331" s="37"/>
      <c r="L331" s="23"/>
      <c r="M331" s="23"/>
      <c r="P331" s="22"/>
    </row>
    <row r="332" ht="15.75" customHeight="1">
      <c r="A332" s="23"/>
      <c r="B332" s="24"/>
      <c r="C332" s="25"/>
      <c r="D332" s="26"/>
      <c r="E332" s="26"/>
      <c r="F332" s="26"/>
      <c r="G332" s="37"/>
      <c r="H332" s="37"/>
      <c r="I332" s="37"/>
      <c r="J332" s="37"/>
      <c r="K332" s="37"/>
      <c r="L332" s="23"/>
      <c r="M332" s="23"/>
      <c r="P332" s="22"/>
    </row>
    <row r="333" ht="15.75" customHeight="1">
      <c r="A333" s="23"/>
      <c r="B333" s="24"/>
      <c r="C333" s="25"/>
      <c r="D333" s="26"/>
      <c r="E333" s="26"/>
      <c r="F333" s="26"/>
      <c r="G333" s="37"/>
      <c r="H333" s="37"/>
      <c r="I333" s="37"/>
      <c r="J333" s="37"/>
      <c r="K333" s="37"/>
      <c r="L333" s="23"/>
      <c r="M333" s="23"/>
      <c r="P333" s="22"/>
    </row>
    <row r="334" ht="15.75" customHeight="1">
      <c r="A334" s="23"/>
      <c r="B334" s="24"/>
      <c r="C334" s="25"/>
      <c r="D334" s="26"/>
      <c r="E334" s="26"/>
      <c r="F334" s="26"/>
      <c r="G334" s="37"/>
      <c r="H334" s="37"/>
      <c r="I334" s="37"/>
      <c r="J334" s="37"/>
      <c r="K334" s="37"/>
      <c r="L334" s="23"/>
      <c r="M334" s="23"/>
      <c r="P334" s="22"/>
    </row>
    <row r="335" ht="15.75" customHeight="1">
      <c r="A335" s="23"/>
      <c r="B335" s="24"/>
      <c r="C335" s="25"/>
      <c r="D335" s="26"/>
      <c r="E335" s="26"/>
      <c r="F335" s="26"/>
      <c r="G335" s="37"/>
      <c r="H335" s="37"/>
      <c r="I335" s="37"/>
      <c r="J335" s="37"/>
      <c r="K335" s="37"/>
      <c r="L335" s="23"/>
      <c r="M335" s="23"/>
      <c r="P335" s="22"/>
    </row>
    <row r="336" ht="15.75" customHeight="1">
      <c r="A336" s="23"/>
      <c r="B336" s="24"/>
      <c r="C336" s="25"/>
      <c r="D336" s="26"/>
      <c r="E336" s="26"/>
      <c r="F336" s="26"/>
      <c r="G336" s="37"/>
      <c r="H336" s="37"/>
      <c r="I336" s="37"/>
      <c r="J336" s="37"/>
      <c r="K336" s="37"/>
      <c r="L336" s="23"/>
      <c r="M336" s="23"/>
      <c r="P336" s="22"/>
    </row>
    <row r="337" ht="15.75" customHeight="1">
      <c r="A337" s="23"/>
      <c r="B337" s="24"/>
      <c r="C337" s="25"/>
      <c r="D337" s="26"/>
      <c r="E337" s="26"/>
      <c r="F337" s="26"/>
      <c r="G337" s="37"/>
      <c r="H337" s="37"/>
      <c r="I337" s="37"/>
      <c r="J337" s="37"/>
      <c r="K337" s="37"/>
      <c r="L337" s="23"/>
      <c r="M337" s="23"/>
      <c r="P337" s="22"/>
    </row>
    <row r="338" ht="15.75" customHeight="1">
      <c r="A338" s="23"/>
      <c r="B338" s="24"/>
      <c r="C338" s="25"/>
      <c r="D338" s="26"/>
      <c r="E338" s="26"/>
      <c r="F338" s="26"/>
      <c r="G338" s="37"/>
      <c r="H338" s="37"/>
      <c r="I338" s="37"/>
      <c r="J338" s="37"/>
      <c r="K338" s="37"/>
      <c r="L338" s="23"/>
      <c r="M338" s="23"/>
      <c r="P338" s="22"/>
    </row>
    <row r="339" ht="15.75" customHeight="1">
      <c r="A339" s="23"/>
      <c r="B339" s="24"/>
      <c r="C339" s="25"/>
      <c r="D339" s="26"/>
      <c r="E339" s="26"/>
      <c r="F339" s="26"/>
      <c r="G339" s="37"/>
      <c r="H339" s="37"/>
      <c r="I339" s="37"/>
      <c r="J339" s="37"/>
      <c r="K339" s="37"/>
      <c r="L339" s="23"/>
      <c r="M339" s="23"/>
      <c r="P339" s="22"/>
    </row>
    <row r="340" ht="15.75" customHeight="1">
      <c r="A340" s="23"/>
      <c r="B340" s="24"/>
      <c r="C340" s="25"/>
      <c r="D340" s="26"/>
      <c r="E340" s="26"/>
      <c r="F340" s="26"/>
      <c r="G340" s="37"/>
      <c r="H340" s="37"/>
      <c r="I340" s="37"/>
      <c r="J340" s="37"/>
      <c r="K340" s="37"/>
      <c r="L340" s="23"/>
      <c r="M340" s="23"/>
      <c r="P340" s="22"/>
    </row>
    <row r="341" ht="15.75" customHeight="1">
      <c r="A341" s="23"/>
      <c r="B341" s="24"/>
      <c r="C341" s="25"/>
      <c r="D341" s="26"/>
      <c r="E341" s="26"/>
      <c r="F341" s="26"/>
      <c r="G341" s="37"/>
      <c r="H341" s="37"/>
      <c r="I341" s="37"/>
      <c r="J341" s="37"/>
      <c r="K341" s="37"/>
      <c r="L341" s="23"/>
      <c r="M341" s="23"/>
      <c r="P341" s="22"/>
    </row>
    <row r="342" ht="15.75" customHeight="1">
      <c r="A342" s="23"/>
      <c r="B342" s="24"/>
      <c r="C342" s="25"/>
      <c r="D342" s="26"/>
      <c r="E342" s="26"/>
      <c r="F342" s="26"/>
      <c r="G342" s="37"/>
      <c r="H342" s="37"/>
      <c r="I342" s="37"/>
      <c r="J342" s="37"/>
      <c r="K342" s="37"/>
      <c r="L342" s="23"/>
      <c r="M342" s="23"/>
      <c r="P342" s="22"/>
    </row>
    <row r="343" ht="15.75" customHeight="1">
      <c r="A343" s="23"/>
      <c r="B343" s="24"/>
      <c r="C343" s="25"/>
      <c r="D343" s="26"/>
      <c r="E343" s="26"/>
      <c r="F343" s="26"/>
      <c r="G343" s="37"/>
      <c r="H343" s="37"/>
      <c r="I343" s="37"/>
      <c r="J343" s="37"/>
      <c r="K343" s="37"/>
      <c r="L343" s="23"/>
      <c r="M343" s="23"/>
      <c r="P343" s="22"/>
    </row>
    <row r="344" ht="15.75" customHeight="1">
      <c r="A344" s="23"/>
      <c r="B344" s="24"/>
      <c r="C344" s="25"/>
      <c r="D344" s="26"/>
      <c r="E344" s="26"/>
      <c r="F344" s="26"/>
      <c r="G344" s="37"/>
      <c r="H344" s="37"/>
      <c r="I344" s="37"/>
      <c r="J344" s="37"/>
      <c r="K344" s="37"/>
      <c r="L344" s="23"/>
      <c r="M344" s="23"/>
      <c r="P344" s="22"/>
    </row>
    <row r="345" ht="15.75" customHeight="1">
      <c r="A345" s="23"/>
      <c r="B345" s="24"/>
      <c r="C345" s="25"/>
      <c r="D345" s="26"/>
      <c r="E345" s="26"/>
      <c r="F345" s="26"/>
      <c r="G345" s="37"/>
      <c r="H345" s="37"/>
      <c r="I345" s="37"/>
      <c r="J345" s="37"/>
      <c r="K345" s="37"/>
      <c r="L345" s="23"/>
      <c r="M345" s="23"/>
      <c r="P345" s="22"/>
    </row>
    <row r="346" ht="15.75" customHeight="1">
      <c r="A346" s="23"/>
      <c r="B346" s="24"/>
      <c r="C346" s="25"/>
      <c r="D346" s="26"/>
      <c r="E346" s="26"/>
      <c r="F346" s="26"/>
      <c r="G346" s="37"/>
      <c r="H346" s="37"/>
      <c r="I346" s="37"/>
      <c r="J346" s="37"/>
      <c r="K346" s="37"/>
      <c r="L346" s="23"/>
      <c r="M346" s="23"/>
      <c r="P346" s="22"/>
    </row>
    <row r="347" ht="15.75" customHeight="1">
      <c r="A347" s="23"/>
      <c r="B347" s="24"/>
      <c r="C347" s="25"/>
      <c r="D347" s="26"/>
      <c r="E347" s="26"/>
      <c r="F347" s="26"/>
      <c r="G347" s="37"/>
      <c r="H347" s="37"/>
      <c r="I347" s="37"/>
      <c r="J347" s="37"/>
      <c r="K347" s="37"/>
      <c r="L347" s="23"/>
      <c r="M347" s="23"/>
      <c r="P347" s="22"/>
    </row>
    <row r="348" ht="15.75" customHeight="1">
      <c r="A348" s="23"/>
      <c r="B348" s="24"/>
      <c r="C348" s="25"/>
      <c r="D348" s="26"/>
      <c r="E348" s="26"/>
      <c r="F348" s="26"/>
      <c r="G348" s="37"/>
      <c r="H348" s="37"/>
      <c r="I348" s="37"/>
      <c r="J348" s="37"/>
      <c r="K348" s="37"/>
      <c r="L348" s="23"/>
      <c r="M348" s="23"/>
      <c r="P348" s="22"/>
    </row>
    <row r="349" ht="15.75" customHeight="1">
      <c r="A349" s="23"/>
      <c r="B349" s="24"/>
      <c r="C349" s="25"/>
      <c r="D349" s="26"/>
      <c r="E349" s="26"/>
      <c r="F349" s="26"/>
      <c r="G349" s="37"/>
      <c r="H349" s="37"/>
      <c r="I349" s="37"/>
      <c r="J349" s="37"/>
      <c r="K349" s="37"/>
      <c r="L349" s="23"/>
      <c r="M349" s="23"/>
      <c r="P349" s="22"/>
    </row>
    <row r="350" ht="15.75" customHeight="1">
      <c r="A350" s="23"/>
      <c r="B350" s="24"/>
      <c r="C350" s="25"/>
      <c r="D350" s="26"/>
      <c r="E350" s="26"/>
      <c r="F350" s="26"/>
      <c r="G350" s="37"/>
      <c r="H350" s="37"/>
      <c r="I350" s="37"/>
      <c r="J350" s="37"/>
      <c r="K350" s="37"/>
      <c r="L350" s="23"/>
      <c r="M350" s="23"/>
      <c r="P350" s="22"/>
    </row>
    <row r="351" ht="15.75" customHeight="1">
      <c r="A351" s="23"/>
      <c r="B351" s="24"/>
      <c r="C351" s="25"/>
      <c r="D351" s="26"/>
      <c r="E351" s="26"/>
      <c r="F351" s="26"/>
      <c r="G351" s="37"/>
      <c r="H351" s="37"/>
      <c r="I351" s="37"/>
      <c r="J351" s="37"/>
      <c r="K351" s="37"/>
      <c r="L351" s="23"/>
      <c r="M351" s="23"/>
      <c r="P351" s="22"/>
    </row>
    <row r="352" ht="15.75" customHeight="1">
      <c r="A352" s="23"/>
      <c r="B352" s="24"/>
      <c r="C352" s="25"/>
      <c r="D352" s="26"/>
      <c r="E352" s="26"/>
      <c r="F352" s="26"/>
      <c r="G352" s="37"/>
      <c r="H352" s="37"/>
      <c r="I352" s="37"/>
      <c r="J352" s="37"/>
      <c r="K352" s="37"/>
      <c r="L352" s="23"/>
      <c r="M352" s="23"/>
      <c r="P352" s="22"/>
    </row>
    <row r="353" ht="15.75" customHeight="1">
      <c r="A353" s="23"/>
      <c r="B353" s="24"/>
      <c r="C353" s="25"/>
      <c r="D353" s="26"/>
      <c r="E353" s="26"/>
      <c r="F353" s="26"/>
      <c r="G353" s="37"/>
      <c r="H353" s="37"/>
      <c r="I353" s="37"/>
      <c r="J353" s="37"/>
      <c r="K353" s="37"/>
      <c r="L353" s="23"/>
      <c r="M353" s="23"/>
      <c r="P353" s="22"/>
    </row>
    <row r="354" ht="15.75" customHeight="1">
      <c r="A354" s="23"/>
      <c r="B354" s="24"/>
      <c r="C354" s="25"/>
      <c r="D354" s="26"/>
      <c r="E354" s="26"/>
      <c r="F354" s="26"/>
      <c r="G354" s="37"/>
      <c r="H354" s="37"/>
      <c r="I354" s="37"/>
      <c r="J354" s="37"/>
      <c r="K354" s="37"/>
      <c r="L354" s="23"/>
      <c r="M354" s="23"/>
      <c r="P354" s="22"/>
    </row>
    <row r="355" ht="15.75" customHeight="1">
      <c r="A355" s="23"/>
      <c r="B355" s="24"/>
      <c r="C355" s="25"/>
      <c r="D355" s="26"/>
      <c r="E355" s="26"/>
      <c r="F355" s="26"/>
      <c r="G355" s="37"/>
      <c r="H355" s="37"/>
      <c r="I355" s="37"/>
      <c r="J355" s="37"/>
      <c r="K355" s="37"/>
      <c r="L355" s="23"/>
      <c r="M355" s="23"/>
      <c r="P355" s="22"/>
    </row>
    <row r="356" ht="15.75" customHeight="1">
      <c r="A356" s="23"/>
      <c r="B356" s="24"/>
      <c r="C356" s="25"/>
      <c r="D356" s="26"/>
      <c r="E356" s="26"/>
      <c r="F356" s="26"/>
      <c r="G356" s="37"/>
      <c r="H356" s="37"/>
      <c r="I356" s="37"/>
      <c r="J356" s="37"/>
      <c r="K356" s="37"/>
      <c r="L356" s="23"/>
      <c r="M356" s="23"/>
      <c r="P356" s="22"/>
    </row>
    <row r="357" ht="15.75" customHeight="1">
      <c r="A357" s="23"/>
      <c r="B357" s="24"/>
      <c r="C357" s="25"/>
      <c r="D357" s="26"/>
      <c r="E357" s="26"/>
      <c r="F357" s="26"/>
      <c r="G357" s="37"/>
      <c r="H357" s="37"/>
      <c r="I357" s="37"/>
      <c r="J357" s="37"/>
      <c r="K357" s="37"/>
      <c r="L357" s="23"/>
      <c r="M357" s="23"/>
      <c r="P357" s="22"/>
    </row>
    <row r="358" ht="15.75" customHeight="1">
      <c r="A358" s="23"/>
      <c r="B358" s="24"/>
      <c r="C358" s="25"/>
      <c r="D358" s="26"/>
      <c r="E358" s="26"/>
      <c r="F358" s="26"/>
      <c r="G358" s="37"/>
      <c r="H358" s="37"/>
      <c r="I358" s="37"/>
      <c r="J358" s="37"/>
      <c r="K358" s="37"/>
      <c r="L358" s="23"/>
      <c r="M358" s="23"/>
      <c r="P358" s="22"/>
    </row>
    <row r="359" ht="15.75" customHeight="1">
      <c r="A359" s="23"/>
      <c r="B359" s="24"/>
      <c r="C359" s="25"/>
      <c r="D359" s="26"/>
      <c r="E359" s="26"/>
      <c r="F359" s="26"/>
      <c r="G359" s="37"/>
      <c r="H359" s="37"/>
      <c r="I359" s="37"/>
      <c r="J359" s="37"/>
      <c r="K359" s="37"/>
      <c r="L359" s="23"/>
      <c r="M359" s="23"/>
      <c r="P359" s="22"/>
    </row>
    <row r="360" ht="15.75" customHeight="1">
      <c r="A360" s="23"/>
      <c r="B360" s="24"/>
      <c r="C360" s="25"/>
      <c r="D360" s="26"/>
      <c r="E360" s="26"/>
      <c r="F360" s="26"/>
      <c r="G360" s="37"/>
      <c r="H360" s="37"/>
      <c r="I360" s="37"/>
      <c r="J360" s="37"/>
      <c r="K360" s="37"/>
      <c r="L360" s="23"/>
      <c r="M360" s="23"/>
      <c r="P360" s="22"/>
    </row>
    <row r="361" ht="15.75" customHeight="1">
      <c r="A361" s="23"/>
      <c r="B361" s="24"/>
      <c r="C361" s="25"/>
      <c r="D361" s="26"/>
      <c r="E361" s="26"/>
      <c r="F361" s="26"/>
      <c r="G361" s="37"/>
      <c r="H361" s="37"/>
      <c r="I361" s="37"/>
      <c r="J361" s="37"/>
      <c r="K361" s="37"/>
      <c r="L361" s="23"/>
      <c r="M361" s="23"/>
      <c r="P361" s="22"/>
    </row>
    <row r="362" ht="15.75" customHeight="1">
      <c r="A362" s="23"/>
      <c r="B362" s="24"/>
      <c r="C362" s="25"/>
      <c r="D362" s="26"/>
      <c r="E362" s="26"/>
      <c r="F362" s="26"/>
      <c r="G362" s="37"/>
      <c r="H362" s="37"/>
      <c r="I362" s="37"/>
      <c r="J362" s="37"/>
      <c r="K362" s="37"/>
      <c r="L362" s="23"/>
      <c r="M362" s="23"/>
      <c r="P362" s="22"/>
    </row>
    <row r="363" ht="15.75" customHeight="1">
      <c r="A363" s="23"/>
      <c r="B363" s="24"/>
      <c r="C363" s="25"/>
      <c r="D363" s="26"/>
      <c r="E363" s="26"/>
      <c r="F363" s="26"/>
      <c r="G363" s="37"/>
      <c r="H363" s="37"/>
      <c r="I363" s="37"/>
      <c r="J363" s="37"/>
      <c r="K363" s="37"/>
      <c r="L363" s="23"/>
      <c r="M363" s="23"/>
      <c r="P363" s="22"/>
    </row>
    <row r="364" ht="15.75" customHeight="1">
      <c r="A364" s="23"/>
      <c r="B364" s="24"/>
      <c r="C364" s="25"/>
      <c r="D364" s="26"/>
      <c r="E364" s="26"/>
      <c r="F364" s="26"/>
      <c r="G364" s="37"/>
      <c r="H364" s="37"/>
      <c r="I364" s="37"/>
      <c r="J364" s="37"/>
      <c r="K364" s="37"/>
      <c r="L364" s="23"/>
      <c r="M364" s="23"/>
      <c r="P364" s="22"/>
    </row>
    <row r="365" ht="15.75" customHeight="1">
      <c r="A365" s="23"/>
      <c r="B365" s="24"/>
      <c r="C365" s="25"/>
      <c r="D365" s="26"/>
      <c r="E365" s="26"/>
      <c r="F365" s="26"/>
      <c r="G365" s="37"/>
      <c r="H365" s="37"/>
      <c r="I365" s="37"/>
      <c r="J365" s="37"/>
      <c r="K365" s="37"/>
      <c r="L365" s="23"/>
      <c r="M365" s="23"/>
      <c r="P365" s="22"/>
    </row>
    <row r="366" ht="15.75" customHeight="1">
      <c r="A366" s="23"/>
      <c r="B366" s="24"/>
      <c r="C366" s="25"/>
      <c r="D366" s="26"/>
      <c r="E366" s="26"/>
      <c r="F366" s="26"/>
      <c r="G366" s="37"/>
      <c r="H366" s="37"/>
      <c r="I366" s="37"/>
      <c r="J366" s="37"/>
      <c r="K366" s="37"/>
      <c r="L366" s="23"/>
      <c r="M366" s="23"/>
      <c r="P366" s="22"/>
    </row>
    <row r="367" ht="15.75" customHeight="1">
      <c r="A367" s="23"/>
      <c r="B367" s="24"/>
      <c r="C367" s="25"/>
      <c r="D367" s="26"/>
      <c r="E367" s="26"/>
      <c r="F367" s="26"/>
      <c r="G367" s="37"/>
      <c r="H367" s="37"/>
      <c r="I367" s="37"/>
      <c r="J367" s="37"/>
      <c r="K367" s="37"/>
      <c r="L367" s="23"/>
      <c r="M367" s="23"/>
      <c r="P367" s="22"/>
    </row>
    <row r="368" ht="15.75" customHeight="1">
      <c r="A368" s="23"/>
      <c r="B368" s="24"/>
      <c r="C368" s="25"/>
      <c r="D368" s="26"/>
      <c r="E368" s="26"/>
      <c r="F368" s="26"/>
      <c r="G368" s="37"/>
      <c r="H368" s="37"/>
      <c r="I368" s="37"/>
      <c r="J368" s="37"/>
      <c r="K368" s="37"/>
      <c r="L368" s="23"/>
      <c r="M368" s="23"/>
      <c r="P368" s="22"/>
    </row>
    <row r="369" ht="15.75" customHeight="1">
      <c r="A369" s="23"/>
      <c r="B369" s="24"/>
      <c r="C369" s="25"/>
      <c r="D369" s="26"/>
      <c r="E369" s="26"/>
      <c r="F369" s="26"/>
      <c r="G369" s="37"/>
      <c r="H369" s="37"/>
      <c r="I369" s="37"/>
      <c r="J369" s="37"/>
      <c r="K369" s="37"/>
      <c r="L369" s="23"/>
      <c r="M369" s="23"/>
      <c r="P369" s="22"/>
    </row>
    <row r="370" ht="15.75" customHeight="1">
      <c r="A370" s="23"/>
      <c r="B370" s="24"/>
      <c r="C370" s="25"/>
      <c r="D370" s="26"/>
      <c r="E370" s="26"/>
      <c r="F370" s="26"/>
      <c r="G370" s="37"/>
      <c r="H370" s="37"/>
      <c r="I370" s="37"/>
      <c r="J370" s="37"/>
      <c r="K370" s="37"/>
      <c r="L370" s="23"/>
      <c r="M370" s="23"/>
      <c r="P370" s="22"/>
    </row>
    <row r="371" ht="15.75" customHeight="1">
      <c r="A371" s="23"/>
      <c r="B371" s="24"/>
      <c r="C371" s="25"/>
      <c r="D371" s="26"/>
      <c r="E371" s="26"/>
      <c r="F371" s="26"/>
      <c r="G371" s="37"/>
      <c r="H371" s="37"/>
      <c r="I371" s="37"/>
      <c r="J371" s="37"/>
      <c r="K371" s="37"/>
      <c r="L371" s="23"/>
      <c r="M371" s="23"/>
      <c r="P371" s="22"/>
    </row>
    <row r="372" ht="15.75" customHeight="1">
      <c r="A372" s="23"/>
      <c r="B372" s="24"/>
      <c r="C372" s="25"/>
      <c r="D372" s="26"/>
      <c r="E372" s="26"/>
      <c r="F372" s="26"/>
      <c r="G372" s="37"/>
      <c r="H372" s="37"/>
      <c r="I372" s="37"/>
      <c r="J372" s="37"/>
      <c r="K372" s="37"/>
      <c r="L372" s="23"/>
      <c r="M372" s="23"/>
      <c r="P372" s="22"/>
    </row>
    <row r="373" ht="15.75" customHeight="1">
      <c r="A373" s="23"/>
      <c r="B373" s="24"/>
      <c r="C373" s="25"/>
      <c r="D373" s="26"/>
      <c r="E373" s="26"/>
      <c r="F373" s="26"/>
      <c r="G373" s="37"/>
      <c r="H373" s="37"/>
      <c r="I373" s="37"/>
      <c r="J373" s="37"/>
      <c r="K373" s="37"/>
      <c r="L373" s="23"/>
      <c r="M373" s="23"/>
      <c r="P373" s="22"/>
    </row>
    <row r="374" ht="15.75" customHeight="1">
      <c r="A374" s="23"/>
      <c r="B374" s="24"/>
      <c r="C374" s="25"/>
      <c r="D374" s="26"/>
      <c r="E374" s="26"/>
      <c r="F374" s="26"/>
      <c r="G374" s="37"/>
      <c r="H374" s="37"/>
      <c r="I374" s="37"/>
      <c r="J374" s="37"/>
      <c r="K374" s="37"/>
      <c r="L374" s="23"/>
      <c r="M374" s="23"/>
      <c r="P374" s="22"/>
    </row>
    <row r="375" ht="15.75" customHeight="1">
      <c r="A375" s="23"/>
      <c r="B375" s="24"/>
      <c r="C375" s="25"/>
      <c r="D375" s="26"/>
      <c r="E375" s="26"/>
      <c r="F375" s="26"/>
      <c r="G375" s="37"/>
      <c r="H375" s="37"/>
      <c r="I375" s="37"/>
      <c r="J375" s="37"/>
      <c r="K375" s="37"/>
      <c r="L375" s="23"/>
      <c r="M375" s="23"/>
      <c r="P375" s="22"/>
    </row>
    <row r="376" ht="15.75" customHeight="1">
      <c r="A376" s="23"/>
      <c r="B376" s="24"/>
      <c r="C376" s="25"/>
      <c r="D376" s="26"/>
      <c r="E376" s="26"/>
      <c r="F376" s="26"/>
      <c r="G376" s="37"/>
      <c r="H376" s="37"/>
      <c r="I376" s="37"/>
      <c r="J376" s="37"/>
      <c r="K376" s="37"/>
      <c r="L376" s="23"/>
      <c r="M376" s="23"/>
      <c r="P376" s="22"/>
    </row>
    <row r="377" ht="15.75" customHeight="1">
      <c r="A377" s="23"/>
      <c r="B377" s="24"/>
      <c r="C377" s="25"/>
      <c r="D377" s="26"/>
      <c r="E377" s="26"/>
      <c r="F377" s="26"/>
      <c r="G377" s="37"/>
      <c r="H377" s="37"/>
      <c r="I377" s="37"/>
      <c r="J377" s="37"/>
      <c r="K377" s="37"/>
      <c r="L377" s="23"/>
      <c r="M377" s="23"/>
      <c r="P377" s="22"/>
    </row>
    <row r="378" ht="15.75" customHeight="1">
      <c r="A378" s="23"/>
      <c r="B378" s="24"/>
      <c r="C378" s="25"/>
      <c r="D378" s="26"/>
      <c r="E378" s="26"/>
      <c r="F378" s="26"/>
      <c r="G378" s="37"/>
      <c r="H378" s="37"/>
      <c r="I378" s="37"/>
      <c r="J378" s="37"/>
      <c r="K378" s="37"/>
      <c r="L378" s="23"/>
      <c r="M378" s="23"/>
      <c r="P378" s="22"/>
    </row>
    <row r="379" ht="15.75" customHeight="1">
      <c r="A379" s="23"/>
      <c r="B379" s="24"/>
      <c r="C379" s="25"/>
      <c r="D379" s="26"/>
      <c r="E379" s="26"/>
      <c r="F379" s="26"/>
      <c r="G379" s="37"/>
      <c r="H379" s="37"/>
      <c r="I379" s="37"/>
      <c r="J379" s="37"/>
      <c r="K379" s="37"/>
      <c r="L379" s="23"/>
      <c r="M379" s="23"/>
      <c r="P379" s="22"/>
    </row>
    <row r="380" ht="15.75" customHeight="1">
      <c r="A380" s="23"/>
      <c r="B380" s="24"/>
      <c r="C380" s="25"/>
      <c r="D380" s="26"/>
      <c r="E380" s="26"/>
      <c r="F380" s="26"/>
      <c r="G380" s="37"/>
      <c r="H380" s="37"/>
      <c r="I380" s="37"/>
      <c r="J380" s="37"/>
      <c r="K380" s="37"/>
      <c r="L380" s="23"/>
      <c r="M380" s="23"/>
      <c r="P380" s="22"/>
    </row>
    <row r="381" ht="15.75" customHeight="1">
      <c r="A381" s="23"/>
      <c r="B381" s="24"/>
      <c r="C381" s="25"/>
      <c r="D381" s="26"/>
      <c r="E381" s="26"/>
      <c r="F381" s="26"/>
      <c r="G381" s="37"/>
      <c r="H381" s="37"/>
      <c r="I381" s="37"/>
      <c r="J381" s="37"/>
      <c r="K381" s="37"/>
      <c r="L381" s="23"/>
      <c r="M381" s="23"/>
      <c r="P381" s="22"/>
    </row>
    <row r="382" ht="15.75" customHeight="1">
      <c r="A382" s="23"/>
      <c r="B382" s="24"/>
      <c r="C382" s="25"/>
      <c r="D382" s="26"/>
      <c r="E382" s="26"/>
      <c r="F382" s="26"/>
      <c r="G382" s="37"/>
      <c r="H382" s="37"/>
      <c r="I382" s="37"/>
      <c r="J382" s="37"/>
      <c r="K382" s="37"/>
      <c r="L382" s="23"/>
      <c r="M382" s="23"/>
      <c r="P382" s="22"/>
    </row>
    <row r="383" ht="15.75" customHeight="1">
      <c r="A383" s="23"/>
      <c r="B383" s="24"/>
      <c r="C383" s="25"/>
      <c r="D383" s="26"/>
      <c r="E383" s="26"/>
      <c r="F383" s="26"/>
      <c r="G383" s="37"/>
      <c r="H383" s="37"/>
      <c r="I383" s="37"/>
      <c r="J383" s="37"/>
      <c r="K383" s="37"/>
      <c r="L383" s="23"/>
      <c r="M383" s="23"/>
      <c r="P383" s="22"/>
    </row>
    <row r="384" ht="15.75" customHeight="1">
      <c r="A384" s="23"/>
      <c r="B384" s="24"/>
      <c r="C384" s="25"/>
      <c r="D384" s="26"/>
      <c r="E384" s="26"/>
      <c r="F384" s="26"/>
      <c r="G384" s="37"/>
      <c r="H384" s="37"/>
      <c r="I384" s="37"/>
      <c r="J384" s="37"/>
      <c r="K384" s="37"/>
      <c r="L384" s="23"/>
      <c r="M384" s="23"/>
      <c r="P384" s="22"/>
    </row>
    <row r="385" ht="15.75" customHeight="1">
      <c r="A385" s="23"/>
      <c r="B385" s="24"/>
      <c r="C385" s="25"/>
      <c r="D385" s="26"/>
      <c r="E385" s="26"/>
      <c r="F385" s="26"/>
      <c r="G385" s="37"/>
      <c r="H385" s="37"/>
      <c r="I385" s="37"/>
      <c r="J385" s="37"/>
      <c r="K385" s="37"/>
      <c r="L385" s="23"/>
      <c r="M385" s="23"/>
      <c r="P385" s="22"/>
    </row>
    <row r="386" ht="15.75" customHeight="1">
      <c r="A386" s="23"/>
      <c r="B386" s="24"/>
      <c r="C386" s="25"/>
      <c r="D386" s="26"/>
      <c r="E386" s="26"/>
      <c r="F386" s="26"/>
      <c r="G386" s="37"/>
      <c r="H386" s="37"/>
      <c r="I386" s="37"/>
      <c r="J386" s="37"/>
      <c r="K386" s="37"/>
      <c r="L386" s="23"/>
      <c r="M386" s="23"/>
      <c r="P386" s="22"/>
    </row>
    <row r="387" ht="15.75" customHeight="1">
      <c r="A387" s="23"/>
      <c r="B387" s="24"/>
      <c r="C387" s="25"/>
      <c r="D387" s="26"/>
      <c r="E387" s="26"/>
      <c r="F387" s="26"/>
      <c r="G387" s="37"/>
      <c r="H387" s="37"/>
      <c r="I387" s="37"/>
      <c r="J387" s="37"/>
      <c r="K387" s="37"/>
      <c r="L387" s="23"/>
      <c r="M387" s="23"/>
      <c r="P387" s="22"/>
    </row>
    <row r="388" ht="15.75" customHeight="1">
      <c r="A388" s="23"/>
      <c r="B388" s="24"/>
      <c r="C388" s="25"/>
      <c r="D388" s="26"/>
      <c r="E388" s="26"/>
      <c r="F388" s="26"/>
      <c r="G388" s="37"/>
      <c r="H388" s="37"/>
      <c r="I388" s="37"/>
      <c r="J388" s="37"/>
      <c r="K388" s="37"/>
      <c r="L388" s="23"/>
      <c r="M388" s="23"/>
      <c r="P388" s="22"/>
    </row>
    <row r="389" ht="15.75" customHeight="1">
      <c r="A389" s="23"/>
      <c r="B389" s="24"/>
      <c r="C389" s="25"/>
      <c r="D389" s="26"/>
      <c r="E389" s="26"/>
      <c r="F389" s="26"/>
      <c r="G389" s="37"/>
      <c r="H389" s="37"/>
      <c r="I389" s="37"/>
      <c r="J389" s="37"/>
      <c r="K389" s="37"/>
      <c r="L389" s="23"/>
      <c r="M389" s="23"/>
      <c r="P389" s="22"/>
    </row>
    <row r="390" ht="15.75" customHeight="1">
      <c r="A390" s="23"/>
      <c r="B390" s="24"/>
      <c r="C390" s="25"/>
      <c r="D390" s="26"/>
      <c r="E390" s="26"/>
      <c r="F390" s="26"/>
      <c r="G390" s="37"/>
      <c r="H390" s="37"/>
      <c r="I390" s="37"/>
      <c r="J390" s="37"/>
      <c r="K390" s="37"/>
      <c r="L390" s="23"/>
      <c r="M390" s="23"/>
      <c r="P390" s="22"/>
    </row>
    <row r="391" ht="15.75" customHeight="1">
      <c r="A391" s="23"/>
      <c r="B391" s="24"/>
      <c r="C391" s="25"/>
      <c r="D391" s="26"/>
      <c r="E391" s="26"/>
      <c r="F391" s="26"/>
      <c r="G391" s="37"/>
      <c r="H391" s="37"/>
      <c r="I391" s="37"/>
      <c r="J391" s="37"/>
      <c r="K391" s="37"/>
      <c r="L391" s="23"/>
      <c r="M391" s="23"/>
    </row>
    <row r="392" ht="15.75" customHeight="1">
      <c r="A392" s="23"/>
      <c r="B392" s="24"/>
      <c r="C392" s="25"/>
      <c r="D392" s="26"/>
      <c r="E392" s="26"/>
      <c r="F392" s="26"/>
      <c r="G392" s="37"/>
      <c r="H392" s="37"/>
      <c r="I392" s="37"/>
      <c r="J392" s="37"/>
      <c r="K392" s="37"/>
      <c r="L392" s="23"/>
      <c r="M392" s="23"/>
    </row>
    <row r="393" ht="15.75" customHeight="1">
      <c r="A393" s="23"/>
      <c r="B393" s="24"/>
      <c r="C393" s="25"/>
      <c r="D393" s="26"/>
      <c r="E393" s="26"/>
      <c r="F393" s="26"/>
      <c r="G393" s="37"/>
      <c r="H393" s="37"/>
      <c r="I393" s="37"/>
      <c r="J393" s="37"/>
      <c r="K393" s="37"/>
      <c r="L393" s="23"/>
      <c r="M393" s="23"/>
    </row>
    <row r="394" ht="15.75" customHeight="1">
      <c r="A394" s="23"/>
      <c r="B394" s="24"/>
      <c r="C394" s="25"/>
      <c r="D394" s="26"/>
      <c r="E394" s="26"/>
      <c r="F394" s="26"/>
      <c r="G394" s="37"/>
      <c r="H394" s="37"/>
      <c r="I394" s="37"/>
      <c r="J394" s="37"/>
      <c r="K394" s="37"/>
      <c r="L394" s="23"/>
      <c r="M394" s="23"/>
    </row>
    <row r="395" ht="15.75" customHeight="1">
      <c r="A395" s="23"/>
      <c r="B395" s="24"/>
      <c r="C395" s="25"/>
      <c r="D395" s="26"/>
      <c r="E395" s="26"/>
      <c r="F395" s="26"/>
      <c r="G395" s="37"/>
      <c r="H395" s="37"/>
      <c r="I395" s="37"/>
      <c r="J395" s="37"/>
      <c r="K395" s="37"/>
      <c r="L395" s="23"/>
      <c r="M395" s="23"/>
    </row>
    <row r="396" ht="15.75" customHeight="1">
      <c r="A396" s="23"/>
      <c r="B396" s="24"/>
      <c r="C396" s="25"/>
      <c r="D396" s="26"/>
      <c r="E396" s="26"/>
      <c r="F396" s="26"/>
      <c r="G396" s="37"/>
      <c r="H396" s="37"/>
      <c r="I396" s="37"/>
      <c r="J396" s="37"/>
      <c r="K396" s="37"/>
      <c r="L396" s="23"/>
      <c r="M396" s="23"/>
    </row>
    <row r="397" ht="15.75" customHeight="1">
      <c r="A397" s="23"/>
      <c r="B397" s="24"/>
      <c r="C397" s="25"/>
      <c r="D397" s="26"/>
      <c r="E397" s="26"/>
      <c r="F397" s="26"/>
      <c r="G397" s="37"/>
      <c r="H397" s="37"/>
      <c r="I397" s="37"/>
      <c r="J397" s="37"/>
      <c r="K397" s="37"/>
      <c r="L397" s="23"/>
      <c r="M397" s="23"/>
    </row>
    <row r="398" ht="15.75" customHeight="1">
      <c r="A398" s="23"/>
      <c r="B398" s="24"/>
      <c r="C398" s="25"/>
      <c r="D398" s="26"/>
      <c r="E398" s="26"/>
      <c r="F398" s="26"/>
      <c r="G398" s="37"/>
      <c r="H398" s="37"/>
      <c r="I398" s="37"/>
      <c r="J398" s="37"/>
      <c r="K398" s="37"/>
      <c r="L398" s="23"/>
      <c r="M398" s="23"/>
    </row>
    <row r="399" ht="15.75" customHeight="1">
      <c r="A399" s="23"/>
      <c r="B399" s="24"/>
      <c r="C399" s="25"/>
      <c r="D399" s="26"/>
      <c r="E399" s="26"/>
      <c r="F399" s="26"/>
      <c r="G399" s="37"/>
      <c r="H399" s="37"/>
      <c r="I399" s="37"/>
      <c r="J399" s="37"/>
      <c r="K399" s="37"/>
      <c r="L399" s="23"/>
      <c r="M399" s="23"/>
    </row>
    <row r="400" ht="15.75" customHeight="1">
      <c r="A400" s="23"/>
      <c r="B400" s="24"/>
      <c r="C400" s="25"/>
      <c r="D400" s="26"/>
      <c r="E400" s="26"/>
      <c r="F400" s="26"/>
      <c r="G400" s="37"/>
      <c r="H400" s="37"/>
      <c r="I400" s="37"/>
      <c r="J400" s="37"/>
      <c r="K400" s="37"/>
      <c r="L400" s="23"/>
      <c r="M400" s="23"/>
    </row>
    <row r="401" ht="15.75" customHeight="1">
      <c r="A401" s="23"/>
      <c r="B401" s="24"/>
      <c r="C401" s="25"/>
      <c r="D401" s="26"/>
      <c r="E401" s="26"/>
      <c r="F401" s="26"/>
      <c r="G401" s="37"/>
      <c r="H401" s="37"/>
      <c r="I401" s="37"/>
      <c r="J401" s="37"/>
      <c r="K401" s="37"/>
      <c r="L401" s="23"/>
      <c r="M401" s="23"/>
    </row>
    <row r="402" ht="15.75" customHeight="1">
      <c r="A402" s="23"/>
      <c r="B402" s="24"/>
      <c r="C402" s="25"/>
      <c r="D402" s="26"/>
      <c r="E402" s="26"/>
      <c r="F402" s="26"/>
      <c r="G402" s="37"/>
      <c r="H402" s="37"/>
      <c r="I402" s="37"/>
      <c r="J402" s="37"/>
      <c r="K402" s="37"/>
      <c r="L402" s="23"/>
      <c r="M402" s="23"/>
    </row>
    <row r="403" ht="15.75" customHeight="1">
      <c r="A403" s="23"/>
      <c r="B403" s="24"/>
      <c r="C403" s="25"/>
      <c r="D403" s="26"/>
      <c r="E403" s="26"/>
      <c r="F403" s="26"/>
      <c r="G403" s="37"/>
      <c r="H403" s="37"/>
      <c r="I403" s="37"/>
      <c r="J403" s="37"/>
      <c r="K403" s="37"/>
      <c r="L403" s="23"/>
      <c r="M403" s="23"/>
    </row>
    <row r="404" ht="15.75" customHeight="1">
      <c r="A404" s="23"/>
      <c r="B404" s="24"/>
      <c r="C404" s="25"/>
      <c r="D404" s="26"/>
      <c r="E404" s="26"/>
      <c r="F404" s="26"/>
      <c r="G404" s="37"/>
      <c r="H404" s="37"/>
      <c r="I404" s="37"/>
      <c r="J404" s="37"/>
      <c r="K404" s="37"/>
      <c r="L404" s="23"/>
      <c r="M404" s="23"/>
    </row>
    <row r="405" ht="15.75" customHeight="1">
      <c r="A405" s="23"/>
      <c r="B405" s="24"/>
      <c r="C405" s="25"/>
      <c r="D405" s="26"/>
      <c r="E405" s="26"/>
      <c r="F405" s="26"/>
      <c r="G405" s="37"/>
      <c r="H405" s="37"/>
      <c r="I405" s="37"/>
      <c r="J405" s="37"/>
      <c r="K405" s="37"/>
      <c r="L405" s="23"/>
      <c r="M405" s="23"/>
    </row>
    <row r="406" ht="15.75" customHeight="1">
      <c r="A406" s="23"/>
      <c r="B406" s="24"/>
      <c r="C406" s="25"/>
      <c r="D406" s="26"/>
      <c r="E406" s="26"/>
      <c r="F406" s="26"/>
      <c r="G406" s="37"/>
      <c r="H406" s="37"/>
      <c r="I406" s="37"/>
      <c r="J406" s="37"/>
      <c r="K406" s="37"/>
      <c r="L406" s="23"/>
      <c r="M406" s="23"/>
    </row>
    <row r="407" ht="15.75" customHeight="1">
      <c r="A407" s="23"/>
      <c r="B407" s="24"/>
      <c r="C407" s="25"/>
      <c r="D407" s="26"/>
      <c r="E407" s="26"/>
      <c r="F407" s="26"/>
      <c r="G407" s="37"/>
      <c r="H407" s="37"/>
      <c r="I407" s="37"/>
      <c r="J407" s="37"/>
      <c r="K407" s="37"/>
      <c r="L407" s="23"/>
      <c r="M407" s="23"/>
    </row>
    <row r="408" ht="15.75" customHeight="1">
      <c r="A408" s="23"/>
      <c r="B408" s="24"/>
      <c r="C408" s="25"/>
      <c r="D408" s="26"/>
      <c r="E408" s="26"/>
      <c r="F408" s="26"/>
      <c r="G408" s="37"/>
      <c r="H408" s="37"/>
      <c r="I408" s="37"/>
      <c r="J408" s="37"/>
      <c r="K408" s="37"/>
      <c r="L408" s="23"/>
      <c r="M408" s="23"/>
    </row>
    <row r="409" ht="15.75" customHeight="1">
      <c r="A409" s="23"/>
      <c r="B409" s="24"/>
      <c r="C409" s="25"/>
      <c r="D409" s="26"/>
      <c r="E409" s="26"/>
      <c r="F409" s="26"/>
      <c r="G409" s="37"/>
      <c r="H409" s="37"/>
      <c r="I409" s="37"/>
      <c r="J409" s="37"/>
      <c r="K409" s="37"/>
      <c r="L409" s="23"/>
      <c r="M409" s="23"/>
    </row>
    <row r="410" ht="15.75" customHeight="1">
      <c r="A410" s="23"/>
      <c r="B410" s="24"/>
      <c r="C410" s="25"/>
      <c r="D410" s="26"/>
      <c r="E410" s="26"/>
      <c r="F410" s="26"/>
      <c r="G410" s="37"/>
      <c r="H410" s="37"/>
      <c r="I410" s="37"/>
      <c r="J410" s="37"/>
      <c r="K410" s="37"/>
      <c r="L410" s="23"/>
      <c r="M410" s="23"/>
    </row>
    <row r="411" ht="15.75" customHeight="1">
      <c r="A411" s="23"/>
      <c r="B411" s="24"/>
      <c r="C411" s="25"/>
      <c r="D411" s="26"/>
      <c r="E411" s="26"/>
      <c r="F411" s="26"/>
      <c r="G411" s="37"/>
      <c r="H411" s="37"/>
      <c r="I411" s="37"/>
      <c r="J411" s="37"/>
      <c r="K411" s="37"/>
      <c r="L411" s="23"/>
      <c r="M411" s="23"/>
    </row>
    <row r="412" ht="15.75" customHeight="1">
      <c r="A412" s="23"/>
      <c r="B412" s="24"/>
      <c r="C412" s="25"/>
      <c r="D412" s="26"/>
      <c r="E412" s="26"/>
      <c r="F412" s="26"/>
      <c r="G412" s="37"/>
      <c r="H412" s="37"/>
      <c r="I412" s="37"/>
      <c r="J412" s="37"/>
      <c r="K412" s="37"/>
      <c r="L412" s="23"/>
      <c r="M412" s="23"/>
    </row>
    <row r="413" ht="15.75" customHeight="1">
      <c r="A413" s="23"/>
      <c r="B413" s="24"/>
      <c r="C413" s="25"/>
      <c r="D413" s="26"/>
      <c r="E413" s="26"/>
      <c r="F413" s="26"/>
      <c r="G413" s="37"/>
      <c r="H413" s="37"/>
      <c r="I413" s="37"/>
      <c r="J413" s="37"/>
      <c r="K413" s="37"/>
      <c r="L413" s="23"/>
      <c r="M413" s="23"/>
    </row>
    <row r="414" ht="15.75" customHeight="1">
      <c r="A414" s="23"/>
      <c r="B414" s="24"/>
      <c r="C414" s="25"/>
      <c r="D414" s="26"/>
      <c r="E414" s="26"/>
      <c r="F414" s="26"/>
      <c r="G414" s="37"/>
      <c r="H414" s="37"/>
      <c r="I414" s="37"/>
      <c r="J414" s="37"/>
      <c r="K414" s="37"/>
      <c r="L414" s="23"/>
      <c r="M414" s="23"/>
    </row>
    <row r="415" ht="15.75" customHeight="1">
      <c r="A415" s="23"/>
      <c r="B415" s="24"/>
      <c r="C415" s="25"/>
      <c r="D415" s="26"/>
      <c r="E415" s="26"/>
      <c r="F415" s="26"/>
      <c r="G415" s="37"/>
      <c r="H415" s="37"/>
      <c r="I415" s="37"/>
      <c r="J415" s="37"/>
      <c r="K415" s="37"/>
      <c r="L415" s="23"/>
      <c r="M415" s="23"/>
    </row>
    <row r="416" ht="15.75" customHeight="1">
      <c r="A416" s="23"/>
      <c r="B416" s="24"/>
      <c r="C416" s="25"/>
      <c r="D416" s="26"/>
      <c r="E416" s="26"/>
      <c r="F416" s="26"/>
      <c r="G416" s="37"/>
      <c r="H416" s="37"/>
      <c r="I416" s="37"/>
      <c r="J416" s="37"/>
      <c r="K416" s="37"/>
      <c r="L416" s="23"/>
      <c r="M416" s="23"/>
    </row>
    <row r="417" ht="15.75" customHeight="1">
      <c r="A417" s="23"/>
      <c r="B417" s="24"/>
      <c r="C417" s="25"/>
      <c r="D417" s="26"/>
      <c r="E417" s="26"/>
      <c r="F417" s="26"/>
      <c r="G417" s="37"/>
      <c r="H417" s="37"/>
      <c r="I417" s="37"/>
      <c r="J417" s="37"/>
      <c r="K417" s="37"/>
      <c r="L417" s="23"/>
      <c r="M417" s="23"/>
    </row>
    <row r="418" ht="15.75" customHeight="1">
      <c r="A418" s="23"/>
      <c r="B418" s="24"/>
      <c r="C418" s="25"/>
      <c r="D418" s="26"/>
      <c r="E418" s="26"/>
      <c r="F418" s="26"/>
      <c r="G418" s="37"/>
      <c r="H418" s="37"/>
      <c r="I418" s="37"/>
      <c r="J418" s="37"/>
      <c r="K418" s="37"/>
      <c r="L418" s="23"/>
      <c r="M418" s="23"/>
    </row>
    <row r="419" ht="15.75" customHeight="1">
      <c r="A419" s="23"/>
      <c r="B419" s="24"/>
      <c r="C419" s="25"/>
      <c r="D419" s="26"/>
      <c r="E419" s="26"/>
      <c r="F419" s="26"/>
      <c r="G419" s="37"/>
      <c r="H419" s="37"/>
      <c r="I419" s="37"/>
      <c r="J419" s="37"/>
      <c r="K419" s="37"/>
      <c r="L419" s="23"/>
      <c r="M419" s="23"/>
    </row>
    <row r="420" ht="15.75" customHeight="1">
      <c r="A420" s="23"/>
      <c r="B420" s="24"/>
      <c r="C420" s="25"/>
      <c r="D420" s="26"/>
      <c r="E420" s="26"/>
      <c r="F420" s="26"/>
      <c r="G420" s="37"/>
      <c r="H420" s="37"/>
      <c r="I420" s="37"/>
      <c r="J420" s="37"/>
      <c r="K420" s="37"/>
      <c r="L420" s="23"/>
      <c r="M420" s="23"/>
    </row>
    <row r="421" ht="15.75" customHeight="1">
      <c r="A421" s="23"/>
      <c r="B421" s="24"/>
      <c r="C421" s="25"/>
      <c r="D421" s="26"/>
      <c r="E421" s="26"/>
      <c r="F421" s="26"/>
      <c r="G421" s="37"/>
      <c r="H421" s="37"/>
      <c r="I421" s="37"/>
      <c r="J421" s="37"/>
      <c r="K421" s="37"/>
      <c r="L421" s="23"/>
      <c r="M421" s="23"/>
    </row>
    <row r="422" ht="15.75" customHeight="1">
      <c r="A422" s="23"/>
      <c r="B422" s="24"/>
      <c r="C422" s="25"/>
      <c r="D422" s="26"/>
      <c r="E422" s="26"/>
      <c r="F422" s="26"/>
      <c r="G422" s="37"/>
      <c r="H422" s="37"/>
      <c r="I422" s="37"/>
      <c r="J422" s="37"/>
      <c r="K422" s="37"/>
      <c r="L422" s="23"/>
      <c r="M422" s="23"/>
    </row>
    <row r="423" ht="15.75" customHeight="1">
      <c r="A423" s="23"/>
      <c r="B423" s="24"/>
      <c r="C423" s="25"/>
      <c r="D423" s="26"/>
      <c r="E423" s="26"/>
      <c r="F423" s="26"/>
      <c r="G423" s="37"/>
      <c r="H423" s="37"/>
      <c r="I423" s="37"/>
      <c r="J423" s="37"/>
      <c r="K423" s="37"/>
      <c r="L423" s="23"/>
      <c r="M423" s="23"/>
    </row>
    <row r="424" ht="15.75" customHeight="1">
      <c r="A424" s="23"/>
      <c r="B424" s="24"/>
      <c r="C424" s="25"/>
      <c r="D424" s="26"/>
      <c r="E424" s="26"/>
      <c r="F424" s="26"/>
      <c r="G424" s="37"/>
      <c r="H424" s="37"/>
      <c r="I424" s="37"/>
      <c r="J424" s="37"/>
      <c r="K424" s="37"/>
      <c r="L424" s="23"/>
      <c r="M424" s="23"/>
    </row>
    <row r="425" ht="15.75" customHeight="1">
      <c r="A425" s="23"/>
      <c r="B425" s="24"/>
      <c r="C425" s="25"/>
      <c r="D425" s="26"/>
      <c r="E425" s="26"/>
      <c r="F425" s="26"/>
      <c r="G425" s="37"/>
      <c r="H425" s="37"/>
      <c r="I425" s="37"/>
      <c r="J425" s="37"/>
      <c r="K425" s="37"/>
      <c r="L425" s="23"/>
      <c r="M425" s="23"/>
    </row>
    <row r="426" ht="15.75" customHeight="1">
      <c r="A426" s="23"/>
      <c r="B426" s="24"/>
      <c r="C426" s="25"/>
      <c r="D426" s="26"/>
      <c r="E426" s="26"/>
      <c r="F426" s="26"/>
      <c r="G426" s="37"/>
      <c r="H426" s="37"/>
      <c r="I426" s="37"/>
      <c r="J426" s="37"/>
      <c r="K426" s="37"/>
      <c r="L426" s="23"/>
      <c r="M426" s="23"/>
    </row>
    <row r="427" ht="15.75" customHeight="1">
      <c r="A427" s="23"/>
      <c r="B427" s="24"/>
      <c r="C427" s="25"/>
      <c r="D427" s="26"/>
      <c r="E427" s="26"/>
      <c r="F427" s="26"/>
      <c r="G427" s="37"/>
      <c r="H427" s="37"/>
      <c r="I427" s="37"/>
      <c r="J427" s="37"/>
      <c r="K427" s="37"/>
      <c r="L427" s="23"/>
      <c r="M427" s="23"/>
    </row>
    <row r="428" ht="15.75" customHeight="1">
      <c r="A428" s="23"/>
      <c r="B428" s="24"/>
      <c r="C428" s="25"/>
      <c r="D428" s="26"/>
      <c r="E428" s="26"/>
      <c r="F428" s="26"/>
      <c r="G428" s="37"/>
      <c r="H428" s="37"/>
      <c r="I428" s="37"/>
      <c r="J428" s="37"/>
      <c r="K428" s="37"/>
      <c r="L428" s="23"/>
      <c r="M428" s="23"/>
    </row>
    <row r="429" ht="15.75" customHeight="1">
      <c r="A429" s="23"/>
      <c r="B429" s="24"/>
      <c r="C429" s="25"/>
      <c r="D429" s="26"/>
      <c r="E429" s="26"/>
      <c r="F429" s="26"/>
      <c r="G429" s="37"/>
      <c r="H429" s="37"/>
      <c r="I429" s="37"/>
      <c r="J429" s="37"/>
      <c r="K429" s="37"/>
      <c r="L429" s="23"/>
      <c r="M429" s="23"/>
    </row>
    <row r="430" ht="15.75" customHeight="1">
      <c r="A430" s="23"/>
      <c r="B430" s="24"/>
      <c r="C430" s="25"/>
      <c r="D430" s="26"/>
      <c r="E430" s="26"/>
      <c r="F430" s="26"/>
      <c r="G430" s="37"/>
      <c r="H430" s="37"/>
      <c r="I430" s="37"/>
      <c r="J430" s="37"/>
      <c r="K430" s="37"/>
      <c r="L430" s="23"/>
      <c r="M430" s="23"/>
    </row>
    <row r="431" ht="15.75" customHeight="1">
      <c r="A431" s="23"/>
      <c r="B431" s="24"/>
      <c r="C431" s="25"/>
      <c r="D431" s="26"/>
      <c r="E431" s="26"/>
      <c r="F431" s="26"/>
      <c r="G431" s="37"/>
      <c r="H431" s="37"/>
      <c r="I431" s="37"/>
      <c r="J431" s="37"/>
      <c r="K431" s="37"/>
      <c r="L431" s="23"/>
      <c r="M431" s="23"/>
    </row>
    <row r="432" ht="15.75" customHeight="1">
      <c r="A432" s="23"/>
      <c r="B432" s="24"/>
      <c r="C432" s="25"/>
      <c r="D432" s="26"/>
      <c r="E432" s="26"/>
      <c r="F432" s="26"/>
      <c r="G432" s="37"/>
      <c r="H432" s="37"/>
      <c r="I432" s="37"/>
      <c r="J432" s="37"/>
      <c r="K432" s="37"/>
      <c r="L432" s="23"/>
      <c r="M432" s="23"/>
    </row>
    <row r="433" ht="15.75" customHeight="1">
      <c r="A433" s="23"/>
      <c r="B433" s="24"/>
      <c r="C433" s="25"/>
      <c r="D433" s="26"/>
      <c r="E433" s="26"/>
      <c r="F433" s="26"/>
      <c r="G433" s="37"/>
      <c r="H433" s="37"/>
      <c r="I433" s="37"/>
      <c r="J433" s="37"/>
      <c r="K433" s="37"/>
      <c r="L433" s="23"/>
      <c r="M433" s="23"/>
    </row>
    <row r="434" ht="15.75" customHeight="1">
      <c r="A434" s="23"/>
      <c r="B434" s="24"/>
      <c r="C434" s="25"/>
      <c r="D434" s="26"/>
      <c r="E434" s="26"/>
      <c r="F434" s="26"/>
      <c r="G434" s="37"/>
      <c r="H434" s="37"/>
      <c r="I434" s="37"/>
      <c r="J434" s="37"/>
      <c r="K434" s="37"/>
      <c r="L434" s="23"/>
      <c r="M434" s="23"/>
    </row>
    <row r="435" ht="15.75" customHeight="1">
      <c r="A435" s="23"/>
      <c r="B435" s="24"/>
      <c r="C435" s="25"/>
      <c r="D435" s="26"/>
      <c r="E435" s="26"/>
      <c r="F435" s="26"/>
      <c r="G435" s="37"/>
      <c r="H435" s="37"/>
      <c r="I435" s="37"/>
      <c r="J435" s="37"/>
      <c r="K435" s="37"/>
      <c r="L435" s="23"/>
      <c r="M435" s="23"/>
    </row>
    <row r="436" ht="15.75" customHeight="1">
      <c r="A436" s="23"/>
      <c r="B436" s="24"/>
      <c r="C436" s="25"/>
      <c r="D436" s="26"/>
      <c r="E436" s="26"/>
      <c r="F436" s="26"/>
      <c r="G436" s="37"/>
      <c r="H436" s="37"/>
      <c r="I436" s="37"/>
      <c r="J436" s="37"/>
      <c r="K436" s="37"/>
      <c r="L436" s="23"/>
      <c r="M436" s="23"/>
    </row>
    <row r="437" ht="15.75" customHeight="1">
      <c r="A437" s="23"/>
      <c r="B437" s="24"/>
      <c r="C437" s="25"/>
      <c r="D437" s="26"/>
      <c r="E437" s="26"/>
      <c r="F437" s="26"/>
      <c r="G437" s="37"/>
      <c r="H437" s="37"/>
      <c r="I437" s="37"/>
      <c r="J437" s="37"/>
      <c r="K437" s="37"/>
      <c r="L437" s="23"/>
      <c r="M437" s="23"/>
    </row>
    <row r="438" ht="15.75" customHeight="1">
      <c r="A438" s="23"/>
      <c r="B438" s="24"/>
      <c r="C438" s="25"/>
      <c r="D438" s="26"/>
      <c r="E438" s="26"/>
      <c r="F438" s="26"/>
      <c r="G438" s="37"/>
      <c r="H438" s="37"/>
      <c r="I438" s="37"/>
      <c r="J438" s="37"/>
      <c r="K438" s="37"/>
      <c r="L438" s="23"/>
      <c r="M438" s="23"/>
    </row>
    <row r="439" ht="15.75" customHeight="1">
      <c r="A439" s="23"/>
      <c r="B439" s="24"/>
      <c r="C439" s="25"/>
      <c r="D439" s="26"/>
      <c r="E439" s="26"/>
      <c r="F439" s="26"/>
      <c r="G439" s="37"/>
      <c r="H439" s="37"/>
      <c r="I439" s="37"/>
      <c r="J439" s="37"/>
      <c r="K439" s="37"/>
      <c r="L439" s="23"/>
      <c r="M439" s="23"/>
    </row>
    <row r="440" ht="15.75" customHeight="1">
      <c r="A440" s="23"/>
      <c r="B440" s="24"/>
      <c r="C440" s="25"/>
      <c r="D440" s="26"/>
      <c r="E440" s="26"/>
      <c r="F440" s="26"/>
      <c r="G440" s="37"/>
      <c r="H440" s="37"/>
      <c r="I440" s="37"/>
      <c r="J440" s="37"/>
      <c r="K440" s="37"/>
      <c r="L440" s="23"/>
      <c r="M440" s="23"/>
    </row>
    <row r="441" ht="15.75" customHeight="1">
      <c r="A441" s="23"/>
      <c r="B441" s="24"/>
      <c r="C441" s="25"/>
      <c r="D441" s="26"/>
      <c r="E441" s="26"/>
      <c r="F441" s="26"/>
      <c r="G441" s="37"/>
      <c r="H441" s="37"/>
      <c r="I441" s="37"/>
      <c r="J441" s="37"/>
      <c r="K441" s="37"/>
      <c r="L441" s="23"/>
      <c r="M441" s="23"/>
    </row>
    <row r="442" ht="15.75" customHeight="1">
      <c r="A442" s="23"/>
      <c r="B442" s="24"/>
      <c r="C442" s="25"/>
      <c r="D442" s="26"/>
      <c r="E442" s="26"/>
      <c r="F442" s="26"/>
      <c r="G442" s="37"/>
      <c r="H442" s="37"/>
      <c r="I442" s="37"/>
      <c r="J442" s="37"/>
      <c r="K442" s="37"/>
      <c r="L442" s="23"/>
      <c r="M442" s="23"/>
    </row>
    <row r="443" ht="15.75" customHeight="1">
      <c r="A443" s="23"/>
      <c r="B443" s="24"/>
      <c r="C443" s="25"/>
      <c r="D443" s="26"/>
      <c r="E443" s="26"/>
      <c r="F443" s="26"/>
      <c r="G443" s="37"/>
      <c r="H443" s="37"/>
      <c r="I443" s="37"/>
      <c r="J443" s="37"/>
      <c r="K443" s="37"/>
      <c r="L443" s="23"/>
      <c r="M443" s="23"/>
    </row>
    <row r="444" ht="15.75" customHeight="1">
      <c r="A444" s="23"/>
      <c r="B444" s="24"/>
      <c r="C444" s="25"/>
      <c r="D444" s="26"/>
      <c r="E444" s="26"/>
      <c r="F444" s="26"/>
      <c r="G444" s="37"/>
      <c r="H444" s="37"/>
      <c r="I444" s="37"/>
      <c r="J444" s="37"/>
      <c r="K444" s="37"/>
      <c r="L444" s="23"/>
      <c r="M444" s="23"/>
    </row>
    <row r="445" ht="15.75" customHeight="1">
      <c r="A445" s="23"/>
      <c r="B445" s="24"/>
      <c r="C445" s="25"/>
      <c r="D445" s="26"/>
      <c r="E445" s="26"/>
      <c r="F445" s="26"/>
      <c r="G445" s="37"/>
      <c r="H445" s="37"/>
      <c r="I445" s="37"/>
      <c r="J445" s="37"/>
      <c r="K445" s="37"/>
      <c r="L445" s="23"/>
      <c r="M445" s="23"/>
    </row>
    <row r="446" ht="15.75" customHeight="1">
      <c r="A446" s="23"/>
      <c r="B446" s="24"/>
      <c r="C446" s="25"/>
      <c r="D446" s="26"/>
      <c r="E446" s="26"/>
      <c r="F446" s="26"/>
      <c r="G446" s="37"/>
      <c r="H446" s="37"/>
      <c r="I446" s="37"/>
      <c r="J446" s="37"/>
      <c r="K446" s="37"/>
      <c r="L446" s="23"/>
      <c r="M446" s="23"/>
    </row>
    <row r="447" ht="15.75" customHeight="1">
      <c r="A447" s="23"/>
      <c r="B447" s="24"/>
      <c r="C447" s="25"/>
      <c r="D447" s="26"/>
      <c r="E447" s="26"/>
      <c r="F447" s="26"/>
      <c r="G447" s="37"/>
      <c r="H447" s="37"/>
      <c r="I447" s="37"/>
      <c r="J447" s="37"/>
      <c r="K447" s="37"/>
      <c r="L447" s="23"/>
      <c r="M447" s="23"/>
    </row>
    <row r="448" ht="15.75" customHeight="1">
      <c r="A448" s="23"/>
      <c r="B448" s="24"/>
      <c r="C448" s="25"/>
      <c r="D448" s="26"/>
      <c r="E448" s="26"/>
      <c r="F448" s="26"/>
      <c r="G448" s="37"/>
      <c r="H448" s="37"/>
      <c r="I448" s="37"/>
      <c r="J448" s="37"/>
      <c r="K448" s="37"/>
      <c r="L448" s="23"/>
      <c r="M448" s="23"/>
    </row>
    <row r="449" ht="15.75" customHeight="1">
      <c r="A449" s="23"/>
      <c r="B449" s="24"/>
      <c r="C449" s="25"/>
      <c r="D449" s="26"/>
      <c r="E449" s="26"/>
      <c r="F449" s="26"/>
      <c r="G449" s="37"/>
      <c r="H449" s="37"/>
      <c r="I449" s="37"/>
      <c r="J449" s="37"/>
      <c r="K449" s="37"/>
      <c r="L449" s="23"/>
      <c r="M449" s="23"/>
    </row>
    <row r="450" ht="15.75" customHeight="1">
      <c r="A450" s="23"/>
      <c r="B450" s="24"/>
      <c r="C450" s="25"/>
      <c r="D450" s="26"/>
      <c r="E450" s="26"/>
      <c r="F450" s="26"/>
      <c r="G450" s="37"/>
      <c r="H450" s="37"/>
      <c r="I450" s="37"/>
      <c r="J450" s="37"/>
      <c r="K450" s="37"/>
      <c r="L450" s="23"/>
      <c r="M450" s="23"/>
    </row>
    <row r="451" ht="15.75" customHeight="1">
      <c r="A451" s="23"/>
      <c r="B451" s="24"/>
      <c r="C451" s="25"/>
      <c r="D451" s="26"/>
      <c r="E451" s="26"/>
      <c r="F451" s="26"/>
      <c r="G451" s="37"/>
      <c r="H451" s="37"/>
      <c r="I451" s="37"/>
      <c r="J451" s="37"/>
      <c r="K451" s="37"/>
      <c r="L451" s="23"/>
      <c r="M451" s="23"/>
    </row>
    <row r="452" ht="15.75" customHeight="1">
      <c r="A452" s="23"/>
      <c r="B452" s="24"/>
      <c r="C452" s="25"/>
      <c r="D452" s="26"/>
      <c r="E452" s="26"/>
      <c r="F452" s="26"/>
      <c r="G452" s="37"/>
      <c r="H452" s="37"/>
      <c r="I452" s="37"/>
      <c r="J452" s="37"/>
      <c r="K452" s="37"/>
      <c r="L452" s="23"/>
      <c r="M452" s="23"/>
    </row>
    <row r="453" ht="15.75" customHeight="1">
      <c r="A453" s="23"/>
      <c r="B453" s="24"/>
      <c r="C453" s="25"/>
      <c r="D453" s="26"/>
      <c r="E453" s="26"/>
      <c r="F453" s="26"/>
      <c r="G453" s="37"/>
      <c r="H453" s="37"/>
      <c r="I453" s="37"/>
      <c r="J453" s="37"/>
      <c r="K453" s="37"/>
      <c r="L453" s="23"/>
      <c r="M453" s="23"/>
    </row>
    <row r="454" ht="15.75" customHeight="1">
      <c r="A454" s="23"/>
      <c r="B454" s="24"/>
      <c r="C454" s="25"/>
      <c r="D454" s="26"/>
      <c r="E454" s="26"/>
      <c r="F454" s="26"/>
      <c r="G454" s="37"/>
      <c r="H454" s="37"/>
      <c r="I454" s="37"/>
      <c r="J454" s="37"/>
      <c r="K454" s="37"/>
      <c r="L454" s="23"/>
      <c r="M454" s="23"/>
    </row>
    <row r="455" ht="15.75" customHeight="1">
      <c r="A455" s="23"/>
      <c r="B455" s="24"/>
      <c r="C455" s="25"/>
      <c r="D455" s="26"/>
      <c r="E455" s="26"/>
      <c r="F455" s="26"/>
      <c r="G455" s="37"/>
      <c r="H455" s="37"/>
      <c r="I455" s="37"/>
      <c r="J455" s="37"/>
      <c r="K455" s="37"/>
      <c r="L455" s="23"/>
      <c r="M455" s="23"/>
    </row>
    <row r="456" ht="15.75" customHeight="1">
      <c r="A456" s="23"/>
      <c r="B456" s="24"/>
      <c r="C456" s="25"/>
      <c r="D456" s="26"/>
      <c r="E456" s="26"/>
      <c r="F456" s="26"/>
      <c r="G456" s="37"/>
      <c r="H456" s="37"/>
      <c r="I456" s="37"/>
      <c r="J456" s="37"/>
      <c r="K456" s="37"/>
      <c r="L456" s="23"/>
      <c r="M456" s="23"/>
    </row>
    <row r="457" ht="15.75" customHeight="1">
      <c r="A457" s="23"/>
      <c r="B457" s="24"/>
      <c r="C457" s="25"/>
      <c r="D457" s="26"/>
      <c r="E457" s="26"/>
      <c r="F457" s="26"/>
      <c r="G457" s="37"/>
      <c r="H457" s="37"/>
      <c r="I457" s="37"/>
      <c r="J457" s="37"/>
      <c r="K457" s="37"/>
      <c r="L457" s="23"/>
      <c r="M457" s="23"/>
    </row>
    <row r="458" ht="15.75" customHeight="1">
      <c r="A458" s="23"/>
      <c r="B458" s="24"/>
      <c r="C458" s="25"/>
      <c r="D458" s="26"/>
      <c r="E458" s="26"/>
      <c r="F458" s="26"/>
      <c r="G458" s="37"/>
      <c r="H458" s="37"/>
      <c r="I458" s="37"/>
      <c r="J458" s="37"/>
      <c r="K458" s="37"/>
      <c r="L458" s="23"/>
      <c r="M458" s="23"/>
    </row>
    <row r="459" ht="15.75" customHeight="1">
      <c r="A459" s="23"/>
      <c r="B459" s="24"/>
      <c r="C459" s="25"/>
      <c r="D459" s="26"/>
      <c r="E459" s="26"/>
      <c r="F459" s="26"/>
      <c r="G459" s="37"/>
      <c r="H459" s="37"/>
      <c r="I459" s="37"/>
      <c r="J459" s="37"/>
      <c r="K459" s="37"/>
      <c r="L459" s="23"/>
      <c r="M459" s="23"/>
    </row>
    <row r="460" ht="15.75" customHeight="1">
      <c r="A460" s="23"/>
      <c r="B460" s="24"/>
      <c r="C460" s="25"/>
      <c r="D460" s="26"/>
      <c r="E460" s="26"/>
      <c r="F460" s="26"/>
      <c r="G460" s="37"/>
      <c r="H460" s="37"/>
      <c r="I460" s="37"/>
      <c r="J460" s="37"/>
      <c r="K460" s="37"/>
      <c r="L460" s="23"/>
      <c r="M460" s="23"/>
    </row>
    <row r="461" ht="15.75" customHeight="1">
      <c r="A461" s="23"/>
      <c r="B461" s="24"/>
      <c r="C461" s="25"/>
      <c r="D461" s="26"/>
      <c r="E461" s="26"/>
      <c r="F461" s="26"/>
      <c r="G461" s="37"/>
      <c r="H461" s="37"/>
      <c r="I461" s="37"/>
      <c r="J461" s="37"/>
      <c r="K461" s="37"/>
      <c r="L461" s="23"/>
      <c r="M461" s="23"/>
    </row>
    <row r="462" ht="15.75" customHeight="1">
      <c r="A462" s="23"/>
      <c r="B462" s="24"/>
      <c r="C462" s="25"/>
      <c r="D462" s="26"/>
      <c r="E462" s="26"/>
      <c r="F462" s="26"/>
      <c r="G462" s="37"/>
      <c r="H462" s="37"/>
      <c r="I462" s="37"/>
      <c r="J462" s="37"/>
      <c r="K462" s="37"/>
      <c r="L462" s="23"/>
      <c r="M462" s="23"/>
    </row>
    <row r="463" ht="15.75" customHeight="1">
      <c r="A463" s="23"/>
      <c r="B463" s="24"/>
      <c r="C463" s="25"/>
      <c r="D463" s="26"/>
      <c r="E463" s="26"/>
      <c r="F463" s="26"/>
      <c r="G463" s="37"/>
      <c r="H463" s="37"/>
      <c r="I463" s="37"/>
      <c r="J463" s="37"/>
      <c r="K463" s="37"/>
      <c r="L463" s="23"/>
      <c r="M463" s="23"/>
    </row>
    <row r="464" ht="15.75" customHeight="1">
      <c r="A464" s="23"/>
      <c r="B464" s="24"/>
      <c r="C464" s="25"/>
      <c r="D464" s="26"/>
      <c r="E464" s="26"/>
      <c r="F464" s="26"/>
      <c r="G464" s="37"/>
      <c r="H464" s="37"/>
      <c r="I464" s="37"/>
      <c r="J464" s="37"/>
      <c r="K464" s="37"/>
      <c r="L464" s="23"/>
      <c r="M464" s="23"/>
    </row>
    <row r="465" ht="15.75" customHeight="1">
      <c r="A465" s="23"/>
      <c r="B465" s="24"/>
      <c r="C465" s="25"/>
      <c r="D465" s="26"/>
      <c r="E465" s="26"/>
      <c r="F465" s="26"/>
      <c r="G465" s="37"/>
      <c r="H465" s="37"/>
      <c r="I465" s="37"/>
      <c r="J465" s="37"/>
      <c r="K465" s="37"/>
      <c r="L465" s="23"/>
      <c r="M465" s="23"/>
    </row>
    <row r="466" ht="15.75" customHeight="1">
      <c r="A466" s="23"/>
      <c r="B466" s="24"/>
      <c r="C466" s="25"/>
      <c r="D466" s="26"/>
      <c r="E466" s="26"/>
      <c r="F466" s="26"/>
      <c r="G466" s="37"/>
      <c r="H466" s="37"/>
      <c r="I466" s="37"/>
      <c r="J466" s="37"/>
      <c r="K466" s="37"/>
      <c r="L466" s="23"/>
      <c r="M466" s="23"/>
    </row>
    <row r="467" ht="15.75" customHeight="1">
      <c r="A467" s="23"/>
      <c r="B467" s="24"/>
      <c r="C467" s="25"/>
      <c r="D467" s="26"/>
      <c r="E467" s="26"/>
      <c r="F467" s="26"/>
      <c r="G467" s="37"/>
      <c r="H467" s="37"/>
      <c r="I467" s="37"/>
      <c r="J467" s="37"/>
      <c r="K467" s="37"/>
      <c r="L467" s="23"/>
      <c r="M467" s="23"/>
    </row>
    <row r="468" ht="15.75" customHeight="1">
      <c r="A468" s="23"/>
      <c r="B468" s="24"/>
      <c r="C468" s="25"/>
      <c r="D468" s="26"/>
      <c r="E468" s="26"/>
      <c r="F468" s="26"/>
      <c r="G468" s="37"/>
      <c r="H468" s="37"/>
      <c r="I468" s="37"/>
      <c r="J468" s="37"/>
      <c r="K468" s="37"/>
      <c r="L468" s="23"/>
      <c r="M468" s="23"/>
    </row>
    <row r="469" ht="15.75" customHeight="1">
      <c r="A469" s="23"/>
      <c r="B469" s="24"/>
      <c r="C469" s="25"/>
      <c r="D469" s="26"/>
      <c r="E469" s="26"/>
      <c r="F469" s="26"/>
      <c r="G469" s="37"/>
      <c r="H469" s="37"/>
      <c r="I469" s="37"/>
      <c r="J469" s="37"/>
      <c r="K469" s="37"/>
      <c r="L469" s="23"/>
      <c r="M469" s="23"/>
    </row>
    <row r="470" ht="15.75" customHeight="1">
      <c r="A470" s="23"/>
      <c r="B470" s="24"/>
      <c r="C470" s="25"/>
      <c r="D470" s="26"/>
      <c r="E470" s="26"/>
      <c r="F470" s="26"/>
      <c r="G470" s="37"/>
      <c r="H470" s="37"/>
      <c r="I470" s="37"/>
      <c r="J470" s="37"/>
      <c r="K470" s="37"/>
      <c r="L470" s="23"/>
      <c r="M470" s="23"/>
    </row>
    <row r="471" ht="15.75" customHeight="1">
      <c r="A471" s="23"/>
      <c r="B471" s="24"/>
      <c r="C471" s="25"/>
      <c r="D471" s="26"/>
      <c r="E471" s="26"/>
      <c r="F471" s="26"/>
      <c r="G471" s="37"/>
      <c r="H471" s="37"/>
      <c r="I471" s="37"/>
      <c r="J471" s="37"/>
      <c r="K471" s="37"/>
      <c r="L471" s="23"/>
      <c r="M471" s="23"/>
    </row>
    <row r="472" ht="15.75" customHeight="1">
      <c r="A472" s="23"/>
      <c r="B472" s="24"/>
      <c r="C472" s="25"/>
      <c r="D472" s="26"/>
      <c r="E472" s="26"/>
      <c r="F472" s="26"/>
      <c r="G472" s="37"/>
      <c r="H472" s="37"/>
      <c r="I472" s="37"/>
      <c r="J472" s="37"/>
      <c r="K472" s="37"/>
      <c r="L472" s="23"/>
      <c r="M472" s="23"/>
    </row>
    <row r="473" ht="15.75" customHeight="1">
      <c r="A473" s="23"/>
      <c r="B473" s="24"/>
      <c r="C473" s="25"/>
      <c r="D473" s="26"/>
      <c r="E473" s="26"/>
      <c r="F473" s="26"/>
      <c r="G473" s="37"/>
      <c r="H473" s="37"/>
      <c r="I473" s="37"/>
      <c r="J473" s="37"/>
      <c r="K473" s="37"/>
      <c r="L473" s="23"/>
      <c r="M473" s="23"/>
    </row>
    <row r="474" ht="15.75" customHeight="1">
      <c r="A474" s="23"/>
      <c r="B474" s="24"/>
      <c r="C474" s="25"/>
      <c r="D474" s="26"/>
      <c r="E474" s="26"/>
      <c r="F474" s="26"/>
      <c r="G474" s="37"/>
      <c r="H474" s="37"/>
      <c r="I474" s="37"/>
      <c r="J474" s="37"/>
      <c r="K474" s="37"/>
      <c r="L474" s="23"/>
      <c r="M474" s="23"/>
    </row>
    <row r="475" ht="15.75" customHeight="1">
      <c r="A475" s="23"/>
      <c r="B475" s="24"/>
      <c r="C475" s="25"/>
      <c r="D475" s="26"/>
      <c r="E475" s="26"/>
      <c r="F475" s="26"/>
      <c r="G475" s="37"/>
      <c r="H475" s="37"/>
      <c r="I475" s="37"/>
      <c r="J475" s="37"/>
      <c r="K475" s="37"/>
      <c r="L475" s="23"/>
      <c r="M475" s="23"/>
    </row>
    <row r="476" ht="15.75" customHeight="1">
      <c r="A476" s="23"/>
      <c r="B476" s="24"/>
      <c r="C476" s="25"/>
      <c r="D476" s="26"/>
      <c r="E476" s="26"/>
      <c r="F476" s="26"/>
      <c r="G476" s="37"/>
      <c r="H476" s="37"/>
      <c r="I476" s="37"/>
      <c r="J476" s="37"/>
      <c r="K476" s="37"/>
      <c r="L476" s="23"/>
      <c r="M476" s="23"/>
    </row>
    <row r="477" ht="15.75" customHeight="1">
      <c r="A477" s="23"/>
      <c r="B477" s="24"/>
      <c r="C477" s="25"/>
      <c r="D477" s="26"/>
      <c r="E477" s="26"/>
      <c r="F477" s="26"/>
      <c r="G477" s="37"/>
      <c r="H477" s="37"/>
      <c r="I477" s="37"/>
      <c r="J477" s="37"/>
      <c r="K477" s="37"/>
      <c r="L477" s="23"/>
      <c r="M477" s="23"/>
    </row>
    <row r="478" ht="15.75" customHeight="1">
      <c r="A478" s="23"/>
      <c r="B478" s="24"/>
      <c r="C478" s="25"/>
      <c r="D478" s="26"/>
      <c r="E478" s="26"/>
      <c r="F478" s="26"/>
      <c r="G478" s="37"/>
      <c r="H478" s="37"/>
      <c r="I478" s="37"/>
      <c r="J478" s="37"/>
      <c r="K478" s="37"/>
      <c r="L478" s="23"/>
      <c r="M478" s="23"/>
    </row>
    <row r="479" ht="15.75" customHeight="1">
      <c r="A479" s="23"/>
      <c r="B479" s="24"/>
      <c r="C479" s="25"/>
      <c r="D479" s="26"/>
      <c r="E479" s="26"/>
      <c r="F479" s="26"/>
      <c r="G479" s="37"/>
      <c r="H479" s="37"/>
      <c r="I479" s="37"/>
      <c r="J479" s="37"/>
      <c r="K479" s="37"/>
      <c r="L479" s="23"/>
      <c r="M479" s="23"/>
    </row>
    <row r="480" ht="15.75" customHeight="1">
      <c r="A480" s="23"/>
      <c r="B480" s="24"/>
      <c r="C480" s="25"/>
      <c r="D480" s="26"/>
      <c r="E480" s="26"/>
      <c r="F480" s="26"/>
      <c r="G480" s="37"/>
      <c r="H480" s="37"/>
      <c r="I480" s="37"/>
      <c r="J480" s="37"/>
      <c r="K480" s="37"/>
      <c r="L480" s="23"/>
      <c r="M480" s="23"/>
    </row>
    <row r="481" ht="15.75" customHeight="1">
      <c r="A481" s="23"/>
      <c r="B481" s="24"/>
      <c r="C481" s="25"/>
      <c r="D481" s="26"/>
      <c r="E481" s="26"/>
      <c r="F481" s="26"/>
      <c r="G481" s="37"/>
      <c r="H481" s="37"/>
      <c r="I481" s="37"/>
      <c r="J481" s="37"/>
      <c r="K481" s="37"/>
      <c r="L481" s="23"/>
      <c r="M481" s="23"/>
    </row>
    <row r="482" ht="15.75" customHeight="1">
      <c r="A482" s="23"/>
      <c r="B482" s="24"/>
      <c r="C482" s="25"/>
      <c r="D482" s="26"/>
      <c r="E482" s="26"/>
      <c r="F482" s="26"/>
      <c r="G482" s="37"/>
      <c r="H482" s="37"/>
      <c r="I482" s="37"/>
      <c r="J482" s="37"/>
      <c r="K482" s="37"/>
      <c r="L482" s="23"/>
      <c r="M482" s="23"/>
    </row>
    <row r="483" ht="15.75" customHeight="1">
      <c r="A483" s="23"/>
      <c r="B483" s="24"/>
      <c r="C483" s="25"/>
      <c r="D483" s="26"/>
      <c r="E483" s="26"/>
      <c r="F483" s="26"/>
      <c r="G483" s="37"/>
      <c r="H483" s="37"/>
      <c r="I483" s="37"/>
      <c r="J483" s="37"/>
      <c r="K483" s="37"/>
      <c r="L483" s="23"/>
      <c r="M483" s="23"/>
    </row>
    <row r="484" ht="15.75" customHeight="1">
      <c r="A484" s="23"/>
      <c r="B484" s="24"/>
      <c r="C484" s="25"/>
      <c r="D484" s="26"/>
      <c r="E484" s="26"/>
      <c r="F484" s="26"/>
      <c r="G484" s="37"/>
      <c r="H484" s="37"/>
      <c r="I484" s="37"/>
      <c r="J484" s="37"/>
      <c r="K484" s="37"/>
      <c r="L484" s="23"/>
      <c r="M484" s="23"/>
    </row>
    <row r="485" ht="15.75" customHeight="1">
      <c r="A485" s="23"/>
      <c r="B485" s="24"/>
      <c r="C485" s="25"/>
      <c r="D485" s="26"/>
      <c r="E485" s="26"/>
      <c r="F485" s="26"/>
      <c r="G485" s="37"/>
      <c r="H485" s="37"/>
      <c r="I485" s="37"/>
      <c r="J485" s="37"/>
      <c r="K485" s="37"/>
      <c r="L485" s="23"/>
      <c r="M485" s="23"/>
    </row>
    <row r="486" ht="15.75" customHeight="1">
      <c r="A486" s="23"/>
      <c r="B486" s="24"/>
      <c r="C486" s="25"/>
      <c r="D486" s="26"/>
      <c r="E486" s="26"/>
      <c r="F486" s="26"/>
      <c r="G486" s="37"/>
      <c r="H486" s="37"/>
      <c r="I486" s="37"/>
      <c r="J486" s="37"/>
      <c r="K486" s="37"/>
      <c r="L486" s="23"/>
      <c r="M486" s="23"/>
    </row>
    <row r="487" ht="15.75" customHeight="1">
      <c r="A487" s="23"/>
      <c r="B487" s="24"/>
      <c r="C487" s="25"/>
      <c r="D487" s="26"/>
      <c r="E487" s="26"/>
      <c r="F487" s="26"/>
      <c r="G487" s="37"/>
      <c r="H487" s="37"/>
      <c r="I487" s="37"/>
      <c r="J487" s="37"/>
      <c r="K487" s="37"/>
      <c r="L487" s="23"/>
      <c r="M487" s="23"/>
    </row>
    <row r="488" ht="15.75" customHeight="1">
      <c r="A488" s="23"/>
      <c r="B488" s="24"/>
      <c r="C488" s="25"/>
      <c r="D488" s="26"/>
      <c r="E488" s="26"/>
      <c r="F488" s="26"/>
      <c r="G488" s="37"/>
      <c r="H488" s="37"/>
      <c r="I488" s="37"/>
      <c r="J488" s="37"/>
      <c r="K488" s="37"/>
      <c r="L488" s="23"/>
      <c r="M488" s="23"/>
    </row>
    <row r="489" ht="15.75" customHeight="1">
      <c r="A489" s="23"/>
      <c r="B489" s="24"/>
      <c r="C489" s="25"/>
      <c r="D489" s="26"/>
      <c r="E489" s="26"/>
      <c r="F489" s="26"/>
      <c r="G489" s="37"/>
      <c r="H489" s="37"/>
      <c r="I489" s="37"/>
      <c r="J489" s="37"/>
      <c r="K489" s="37"/>
      <c r="L489" s="23"/>
      <c r="M489" s="23"/>
    </row>
    <row r="490" ht="15.75" customHeight="1">
      <c r="A490" s="23"/>
      <c r="B490" s="24"/>
      <c r="C490" s="25"/>
      <c r="D490" s="26"/>
      <c r="E490" s="26"/>
      <c r="F490" s="26"/>
      <c r="G490" s="37"/>
      <c r="H490" s="37"/>
      <c r="I490" s="37"/>
      <c r="J490" s="37"/>
      <c r="K490" s="37"/>
      <c r="L490" s="23"/>
      <c r="M490" s="23"/>
    </row>
    <row r="491" ht="15.75" customHeight="1">
      <c r="A491" s="23"/>
      <c r="B491" s="24"/>
      <c r="C491" s="25"/>
      <c r="D491" s="26"/>
      <c r="E491" s="26"/>
      <c r="F491" s="26"/>
      <c r="G491" s="37"/>
      <c r="H491" s="37"/>
      <c r="I491" s="37"/>
      <c r="J491" s="37"/>
      <c r="K491" s="37"/>
      <c r="L491" s="23"/>
      <c r="M491" s="23"/>
    </row>
    <row r="492" ht="15.75" customHeight="1">
      <c r="A492" s="23"/>
      <c r="B492" s="24"/>
      <c r="C492" s="25"/>
      <c r="D492" s="26"/>
      <c r="E492" s="26"/>
      <c r="F492" s="26"/>
      <c r="G492" s="37"/>
      <c r="H492" s="37"/>
      <c r="I492" s="37"/>
      <c r="J492" s="37"/>
      <c r="K492" s="37"/>
      <c r="L492" s="23"/>
      <c r="M492" s="23"/>
    </row>
    <row r="493" ht="15.75" customHeight="1">
      <c r="A493" s="23"/>
      <c r="B493" s="24"/>
      <c r="C493" s="25"/>
      <c r="D493" s="26"/>
      <c r="E493" s="26"/>
      <c r="F493" s="26"/>
      <c r="G493" s="37"/>
      <c r="H493" s="37"/>
      <c r="I493" s="37"/>
      <c r="J493" s="37"/>
      <c r="K493" s="37"/>
      <c r="L493" s="23"/>
      <c r="M493" s="23"/>
    </row>
    <row r="494" ht="15.75" customHeight="1">
      <c r="A494" s="23"/>
      <c r="B494" s="24"/>
      <c r="C494" s="25"/>
      <c r="D494" s="26"/>
      <c r="E494" s="26"/>
      <c r="F494" s="26"/>
      <c r="G494" s="37"/>
      <c r="H494" s="37"/>
      <c r="I494" s="37"/>
      <c r="J494" s="37"/>
      <c r="K494" s="37"/>
      <c r="L494" s="23"/>
      <c r="M494" s="23"/>
    </row>
    <row r="495" ht="15.75" customHeight="1">
      <c r="A495" s="23"/>
      <c r="B495" s="24"/>
      <c r="C495" s="25"/>
      <c r="D495" s="26"/>
      <c r="E495" s="26"/>
      <c r="F495" s="26"/>
      <c r="G495" s="37"/>
      <c r="H495" s="37"/>
      <c r="I495" s="37"/>
      <c r="J495" s="37"/>
      <c r="K495" s="37"/>
      <c r="L495" s="23"/>
      <c r="M495" s="23"/>
    </row>
    <row r="496" ht="15.75" customHeight="1">
      <c r="A496" s="23"/>
      <c r="B496" s="24"/>
      <c r="C496" s="25"/>
      <c r="D496" s="26"/>
      <c r="E496" s="26"/>
      <c r="F496" s="26"/>
      <c r="G496" s="37"/>
      <c r="H496" s="37"/>
      <c r="I496" s="37"/>
      <c r="J496" s="37"/>
      <c r="K496" s="37"/>
      <c r="L496" s="23"/>
      <c r="M496" s="23"/>
    </row>
    <row r="497" ht="15.75" customHeight="1">
      <c r="A497" s="23"/>
      <c r="B497" s="24"/>
      <c r="C497" s="25"/>
      <c r="D497" s="26"/>
      <c r="E497" s="26"/>
      <c r="F497" s="26"/>
      <c r="G497" s="37"/>
      <c r="H497" s="37"/>
      <c r="I497" s="37"/>
      <c r="J497" s="37"/>
      <c r="K497" s="37"/>
      <c r="L497" s="23"/>
      <c r="M497" s="23"/>
    </row>
    <row r="498" ht="15.75" customHeight="1">
      <c r="A498" s="23"/>
      <c r="B498" s="24"/>
      <c r="C498" s="25"/>
      <c r="D498" s="26"/>
      <c r="E498" s="26"/>
      <c r="F498" s="26"/>
      <c r="G498" s="37"/>
      <c r="H498" s="37"/>
      <c r="I498" s="37"/>
      <c r="J498" s="37"/>
      <c r="K498" s="37"/>
      <c r="L498" s="23"/>
      <c r="M498" s="23"/>
    </row>
    <row r="499" ht="15.75" customHeight="1">
      <c r="A499" s="23"/>
      <c r="B499" s="24"/>
      <c r="C499" s="25"/>
      <c r="D499" s="26"/>
      <c r="E499" s="26"/>
      <c r="F499" s="26"/>
      <c r="G499" s="37"/>
      <c r="H499" s="37"/>
      <c r="I499" s="37"/>
      <c r="J499" s="37"/>
      <c r="K499" s="37"/>
      <c r="L499" s="23"/>
      <c r="M499" s="23"/>
    </row>
    <row r="500" ht="15.75" customHeight="1">
      <c r="A500" s="23"/>
      <c r="B500" s="24"/>
      <c r="C500" s="25"/>
      <c r="D500" s="26"/>
      <c r="E500" s="26"/>
      <c r="F500" s="26"/>
      <c r="G500" s="37"/>
      <c r="H500" s="37"/>
      <c r="I500" s="37"/>
      <c r="J500" s="37"/>
      <c r="K500" s="37"/>
      <c r="L500" s="23"/>
      <c r="M500" s="23"/>
    </row>
    <row r="501" ht="15.75" customHeight="1">
      <c r="A501" s="23"/>
      <c r="B501" s="24"/>
      <c r="C501" s="25"/>
      <c r="D501" s="26"/>
      <c r="E501" s="26"/>
      <c r="F501" s="26"/>
      <c r="G501" s="37"/>
      <c r="H501" s="37"/>
      <c r="I501" s="37"/>
      <c r="J501" s="37"/>
      <c r="K501" s="37"/>
      <c r="L501" s="23"/>
      <c r="M501" s="23"/>
    </row>
    <row r="502" ht="15.75" customHeight="1">
      <c r="A502" s="23"/>
      <c r="B502" s="24"/>
      <c r="C502" s="25"/>
      <c r="D502" s="26"/>
      <c r="E502" s="26"/>
      <c r="F502" s="26"/>
      <c r="G502" s="37"/>
      <c r="H502" s="37"/>
      <c r="I502" s="37"/>
      <c r="J502" s="37"/>
      <c r="K502" s="37"/>
      <c r="L502" s="23"/>
      <c r="M502" s="23"/>
    </row>
    <row r="503" ht="15.75" customHeight="1">
      <c r="A503" s="23"/>
      <c r="B503" s="24"/>
      <c r="C503" s="25"/>
      <c r="D503" s="26"/>
      <c r="E503" s="26"/>
      <c r="F503" s="26"/>
      <c r="G503" s="37"/>
      <c r="H503" s="37"/>
      <c r="I503" s="37"/>
      <c r="J503" s="37"/>
      <c r="K503" s="37"/>
      <c r="L503" s="23"/>
      <c r="M503" s="23"/>
    </row>
    <row r="504" ht="15.75" customHeight="1">
      <c r="A504" s="23"/>
      <c r="B504" s="24"/>
      <c r="C504" s="25"/>
      <c r="D504" s="26"/>
      <c r="E504" s="26"/>
      <c r="F504" s="26"/>
      <c r="G504" s="37"/>
      <c r="H504" s="37"/>
      <c r="I504" s="37"/>
      <c r="J504" s="37"/>
      <c r="K504" s="37"/>
      <c r="L504" s="23"/>
      <c r="M504" s="23"/>
    </row>
    <row r="505" ht="15.75" customHeight="1">
      <c r="A505" s="23"/>
      <c r="B505" s="24"/>
      <c r="C505" s="25"/>
      <c r="D505" s="26"/>
      <c r="E505" s="26"/>
      <c r="F505" s="26"/>
      <c r="G505" s="37"/>
      <c r="H505" s="37"/>
      <c r="I505" s="37"/>
      <c r="J505" s="37"/>
      <c r="K505" s="37"/>
      <c r="L505" s="23"/>
      <c r="M505" s="23"/>
    </row>
    <row r="506" ht="15.75" customHeight="1">
      <c r="A506" s="23"/>
      <c r="B506" s="24"/>
      <c r="C506" s="25"/>
      <c r="D506" s="26"/>
      <c r="E506" s="26"/>
      <c r="F506" s="26"/>
      <c r="G506" s="37"/>
      <c r="H506" s="37"/>
      <c r="I506" s="37"/>
      <c r="J506" s="37"/>
      <c r="K506" s="37"/>
      <c r="L506" s="23"/>
      <c r="M506" s="23"/>
    </row>
    <row r="507" ht="15.75" customHeight="1">
      <c r="A507" s="23"/>
      <c r="B507" s="24"/>
      <c r="C507" s="25"/>
      <c r="D507" s="26"/>
      <c r="E507" s="26"/>
      <c r="F507" s="26"/>
      <c r="G507" s="37"/>
      <c r="H507" s="37"/>
      <c r="I507" s="37"/>
      <c r="J507" s="37"/>
      <c r="K507" s="37"/>
      <c r="L507" s="23"/>
      <c r="M507" s="23"/>
    </row>
    <row r="508" ht="15.75" customHeight="1">
      <c r="A508" s="23"/>
      <c r="B508" s="24"/>
      <c r="C508" s="25"/>
      <c r="D508" s="26"/>
      <c r="E508" s="26"/>
      <c r="F508" s="26"/>
      <c r="G508" s="37"/>
      <c r="H508" s="37"/>
      <c r="I508" s="37"/>
      <c r="J508" s="37"/>
      <c r="K508" s="37"/>
      <c r="L508" s="23"/>
      <c r="M508" s="23"/>
    </row>
    <row r="509" ht="15.75" customHeight="1">
      <c r="A509" s="23"/>
      <c r="B509" s="24"/>
      <c r="C509" s="25"/>
      <c r="D509" s="26"/>
      <c r="E509" s="26"/>
      <c r="F509" s="26"/>
      <c r="G509" s="37"/>
      <c r="H509" s="37"/>
      <c r="I509" s="37"/>
      <c r="J509" s="37"/>
      <c r="K509" s="37"/>
      <c r="L509" s="23"/>
      <c r="M509" s="23"/>
    </row>
    <row r="510" ht="15.75" customHeight="1">
      <c r="A510" s="23"/>
      <c r="B510" s="24"/>
      <c r="C510" s="25"/>
      <c r="D510" s="26"/>
      <c r="E510" s="26"/>
      <c r="F510" s="26"/>
      <c r="G510" s="37"/>
      <c r="H510" s="37"/>
      <c r="I510" s="37"/>
      <c r="J510" s="37"/>
      <c r="K510" s="37"/>
      <c r="L510" s="23"/>
      <c r="M510" s="23"/>
    </row>
    <row r="511" ht="15.75" customHeight="1">
      <c r="A511" s="23"/>
      <c r="B511" s="24"/>
      <c r="C511" s="25"/>
      <c r="D511" s="26"/>
      <c r="E511" s="26"/>
      <c r="F511" s="26"/>
      <c r="G511" s="37"/>
      <c r="H511" s="37"/>
      <c r="I511" s="37"/>
      <c r="J511" s="37"/>
      <c r="K511" s="37"/>
      <c r="L511" s="23"/>
      <c r="M511" s="23"/>
    </row>
    <row r="512" ht="15.75" customHeight="1">
      <c r="A512" s="23"/>
      <c r="B512" s="24"/>
      <c r="C512" s="25"/>
      <c r="D512" s="26"/>
      <c r="E512" s="26"/>
      <c r="F512" s="26"/>
      <c r="G512" s="37"/>
      <c r="H512" s="37"/>
      <c r="I512" s="37"/>
      <c r="J512" s="37"/>
      <c r="K512" s="37"/>
      <c r="L512" s="23"/>
      <c r="M512" s="23"/>
    </row>
    <row r="513" ht="15.75" customHeight="1">
      <c r="A513" s="23"/>
      <c r="B513" s="24"/>
      <c r="C513" s="25"/>
      <c r="D513" s="26"/>
      <c r="E513" s="26"/>
      <c r="F513" s="26"/>
      <c r="G513" s="37"/>
      <c r="H513" s="37"/>
      <c r="I513" s="37"/>
      <c r="J513" s="37"/>
      <c r="K513" s="37"/>
      <c r="L513" s="23"/>
      <c r="M513" s="23"/>
    </row>
    <row r="514" ht="15.75" customHeight="1">
      <c r="A514" s="23"/>
      <c r="B514" s="24"/>
      <c r="C514" s="25"/>
      <c r="D514" s="26"/>
      <c r="E514" s="26"/>
      <c r="F514" s="26"/>
      <c r="G514" s="37"/>
      <c r="H514" s="37"/>
      <c r="I514" s="37"/>
      <c r="J514" s="37"/>
      <c r="K514" s="37"/>
      <c r="L514" s="23"/>
      <c r="M514" s="23"/>
    </row>
    <row r="515" ht="15.75" customHeight="1">
      <c r="A515" s="23"/>
      <c r="B515" s="24"/>
      <c r="C515" s="25"/>
      <c r="D515" s="26"/>
      <c r="E515" s="26"/>
      <c r="F515" s="26"/>
      <c r="G515" s="37"/>
      <c r="H515" s="37"/>
      <c r="I515" s="37"/>
      <c r="J515" s="37"/>
      <c r="K515" s="37"/>
      <c r="L515" s="23"/>
      <c r="M515" s="23"/>
    </row>
    <row r="516" ht="15.75" customHeight="1">
      <c r="A516" s="23"/>
      <c r="B516" s="24"/>
      <c r="C516" s="25"/>
      <c r="D516" s="26"/>
      <c r="E516" s="26"/>
      <c r="F516" s="26"/>
      <c r="G516" s="37"/>
      <c r="H516" s="37"/>
      <c r="I516" s="37"/>
      <c r="J516" s="37"/>
      <c r="K516" s="37"/>
      <c r="L516" s="23"/>
      <c r="M516" s="23"/>
    </row>
    <row r="517" ht="15.75" customHeight="1">
      <c r="A517" s="23"/>
      <c r="B517" s="24"/>
      <c r="C517" s="25"/>
      <c r="D517" s="26"/>
      <c r="E517" s="26"/>
      <c r="F517" s="26"/>
      <c r="G517" s="37"/>
      <c r="H517" s="37"/>
      <c r="I517" s="37"/>
      <c r="J517" s="37"/>
      <c r="K517" s="37"/>
      <c r="L517" s="23"/>
      <c r="M517" s="23"/>
    </row>
    <row r="518" ht="15.75" customHeight="1">
      <c r="A518" s="23"/>
      <c r="B518" s="24"/>
      <c r="C518" s="25"/>
      <c r="D518" s="26"/>
      <c r="E518" s="26"/>
      <c r="F518" s="26"/>
      <c r="G518" s="37"/>
      <c r="H518" s="37"/>
      <c r="I518" s="37"/>
      <c r="J518" s="37"/>
      <c r="K518" s="37"/>
      <c r="L518" s="23"/>
      <c r="M518" s="23"/>
    </row>
    <row r="519" ht="15.75" customHeight="1">
      <c r="A519" s="23"/>
      <c r="B519" s="24"/>
      <c r="C519" s="25"/>
      <c r="D519" s="26"/>
      <c r="E519" s="26"/>
      <c r="F519" s="26"/>
      <c r="G519" s="37"/>
      <c r="H519" s="37"/>
      <c r="I519" s="37"/>
      <c r="J519" s="37"/>
      <c r="K519" s="37"/>
      <c r="L519" s="23"/>
      <c r="M519" s="23"/>
    </row>
    <row r="520" ht="15.75" customHeight="1">
      <c r="A520" s="23"/>
      <c r="B520" s="24"/>
      <c r="C520" s="25"/>
      <c r="D520" s="26"/>
      <c r="E520" s="26"/>
      <c r="F520" s="26"/>
      <c r="G520" s="37"/>
      <c r="H520" s="37"/>
      <c r="I520" s="37"/>
      <c r="J520" s="37"/>
      <c r="K520" s="37"/>
      <c r="L520" s="23"/>
      <c r="M520" s="23"/>
    </row>
    <row r="521" ht="15.75" customHeight="1">
      <c r="A521" s="23"/>
      <c r="B521" s="24"/>
      <c r="C521" s="25"/>
      <c r="D521" s="26"/>
      <c r="E521" s="26"/>
      <c r="F521" s="26"/>
      <c r="G521" s="37"/>
      <c r="H521" s="37"/>
      <c r="I521" s="37"/>
      <c r="J521" s="37"/>
      <c r="K521" s="37"/>
      <c r="L521" s="23"/>
      <c r="M521" s="23"/>
    </row>
    <row r="522" ht="15.75" customHeight="1">
      <c r="A522" s="23"/>
      <c r="B522" s="24"/>
      <c r="C522" s="25"/>
      <c r="D522" s="26"/>
      <c r="E522" s="26"/>
      <c r="F522" s="26"/>
      <c r="G522" s="37"/>
      <c r="H522" s="37"/>
      <c r="I522" s="37"/>
      <c r="J522" s="37"/>
      <c r="K522" s="37"/>
      <c r="L522" s="23"/>
      <c r="M522" s="23"/>
    </row>
    <row r="523" ht="15.75" customHeight="1">
      <c r="A523" s="23"/>
      <c r="B523" s="24"/>
      <c r="C523" s="25"/>
      <c r="D523" s="26"/>
      <c r="E523" s="26"/>
      <c r="F523" s="26"/>
      <c r="G523" s="37"/>
      <c r="H523" s="37"/>
      <c r="I523" s="37"/>
      <c r="J523" s="37"/>
      <c r="K523" s="37"/>
      <c r="L523" s="23"/>
      <c r="M523" s="23"/>
    </row>
    <row r="524" ht="15.75" customHeight="1">
      <c r="A524" s="23"/>
      <c r="B524" s="24"/>
      <c r="C524" s="25"/>
      <c r="D524" s="26"/>
      <c r="E524" s="26"/>
      <c r="F524" s="26"/>
      <c r="G524" s="37"/>
      <c r="H524" s="37"/>
      <c r="I524" s="37"/>
      <c r="J524" s="37"/>
      <c r="K524" s="37"/>
      <c r="L524" s="23"/>
      <c r="M524" s="23"/>
    </row>
    <row r="525" ht="15.75" customHeight="1">
      <c r="A525" s="23"/>
      <c r="B525" s="24"/>
      <c r="C525" s="25"/>
      <c r="D525" s="26"/>
      <c r="E525" s="26"/>
      <c r="F525" s="26"/>
      <c r="G525" s="37"/>
      <c r="H525" s="37"/>
      <c r="I525" s="37"/>
      <c r="J525" s="37"/>
      <c r="K525" s="37"/>
      <c r="L525" s="23"/>
      <c r="M525" s="23"/>
    </row>
    <row r="526" ht="15.75" customHeight="1">
      <c r="A526" s="23"/>
      <c r="B526" s="24"/>
      <c r="C526" s="25"/>
      <c r="D526" s="26"/>
      <c r="E526" s="26"/>
      <c r="F526" s="26"/>
      <c r="G526" s="37"/>
      <c r="H526" s="37"/>
      <c r="I526" s="37"/>
      <c r="J526" s="37"/>
      <c r="K526" s="37"/>
      <c r="L526" s="23"/>
      <c r="M526" s="23"/>
    </row>
    <row r="527" ht="15.75" customHeight="1">
      <c r="A527" s="23"/>
      <c r="B527" s="24"/>
      <c r="C527" s="25"/>
      <c r="D527" s="26"/>
      <c r="E527" s="26"/>
      <c r="F527" s="26"/>
      <c r="G527" s="37"/>
      <c r="H527" s="37"/>
      <c r="I527" s="37"/>
      <c r="J527" s="37"/>
      <c r="K527" s="37"/>
      <c r="L527" s="23"/>
      <c r="M527" s="23"/>
    </row>
    <row r="528" ht="15.75" customHeight="1">
      <c r="A528" s="23"/>
      <c r="B528" s="24"/>
      <c r="C528" s="25"/>
      <c r="D528" s="26"/>
      <c r="E528" s="26"/>
      <c r="F528" s="26"/>
      <c r="G528" s="37"/>
      <c r="H528" s="37"/>
      <c r="I528" s="37"/>
      <c r="J528" s="37"/>
      <c r="K528" s="37"/>
      <c r="L528" s="23"/>
      <c r="M528" s="23"/>
    </row>
    <row r="529" ht="15.75" customHeight="1">
      <c r="A529" s="23"/>
      <c r="B529" s="24"/>
      <c r="C529" s="25"/>
      <c r="D529" s="26"/>
      <c r="E529" s="26"/>
      <c r="F529" s="26"/>
      <c r="G529" s="37"/>
      <c r="H529" s="37"/>
      <c r="I529" s="37"/>
      <c r="J529" s="37"/>
      <c r="K529" s="37"/>
      <c r="L529" s="23"/>
      <c r="M529" s="23"/>
    </row>
    <row r="530" ht="15.75" customHeight="1">
      <c r="A530" s="23"/>
      <c r="B530" s="24"/>
      <c r="C530" s="25"/>
      <c r="D530" s="26"/>
      <c r="E530" s="26"/>
      <c r="F530" s="26"/>
      <c r="G530" s="37"/>
      <c r="H530" s="37"/>
      <c r="I530" s="37"/>
      <c r="J530" s="37"/>
      <c r="K530" s="37"/>
      <c r="L530" s="23"/>
      <c r="M530" s="23"/>
    </row>
    <row r="531" ht="15.75" customHeight="1">
      <c r="A531" s="23"/>
      <c r="B531" s="24"/>
      <c r="C531" s="25"/>
      <c r="D531" s="26"/>
      <c r="E531" s="26"/>
      <c r="F531" s="26"/>
      <c r="G531" s="37"/>
      <c r="H531" s="37"/>
      <c r="I531" s="37"/>
      <c r="J531" s="37"/>
      <c r="K531" s="37"/>
      <c r="L531" s="23"/>
      <c r="M531" s="23"/>
    </row>
    <row r="532" ht="15.75" customHeight="1">
      <c r="A532" s="23"/>
      <c r="B532" s="24"/>
      <c r="C532" s="25"/>
      <c r="D532" s="26"/>
      <c r="E532" s="26"/>
      <c r="F532" s="26"/>
      <c r="G532" s="37"/>
      <c r="H532" s="37"/>
      <c r="I532" s="37"/>
      <c r="J532" s="37"/>
      <c r="K532" s="37"/>
      <c r="L532" s="23"/>
      <c r="M532" s="23"/>
    </row>
    <row r="533" ht="15.75" customHeight="1">
      <c r="A533" s="23"/>
      <c r="B533" s="24"/>
      <c r="C533" s="25"/>
      <c r="D533" s="26"/>
      <c r="E533" s="26"/>
      <c r="F533" s="26"/>
      <c r="G533" s="37"/>
      <c r="H533" s="37"/>
      <c r="I533" s="37"/>
      <c r="J533" s="37"/>
      <c r="K533" s="37"/>
      <c r="L533" s="23"/>
      <c r="M533" s="23"/>
    </row>
    <row r="534" ht="15.75" customHeight="1">
      <c r="A534" s="23"/>
      <c r="B534" s="24"/>
      <c r="C534" s="25"/>
      <c r="D534" s="26"/>
      <c r="E534" s="26"/>
      <c r="F534" s="26"/>
      <c r="G534" s="37"/>
      <c r="H534" s="37"/>
      <c r="I534" s="37"/>
      <c r="J534" s="37"/>
      <c r="K534" s="37"/>
      <c r="L534" s="23"/>
      <c r="M534" s="23"/>
    </row>
    <row r="535" ht="15.75" customHeight="1">
      <c r="A535" s="23"/>
      <c r="B535" s="24"/>
      <c r="C535" s="25"/>
      <c r="D535" s="26"/>
      <c r="E535" s="26"/>
      <c r="F535" s="26"/>
      <c r="G535" s="37"/>
      <c r="H535" s="37"/>
      <c r="I535" s="37"/>
      <c r="J535" s="37"/>
      <c r="K535" s="37"/>
      <c r="L535" s="23"/>
      <c r="M535" s="23"/>
    </row>
    <row r="536" ht="15.75" customHeight="1">
      <c r="A536" s="23"/>
      <c r="B536" s="24"/>
      <c r="C536" s="25"/>
      <c r="D536" s="26"/>
      <c r="E536" s="26"/>
      <c r="F536" s="26"/>
      <c r="G536" s="37"/>
      <c r="H536" s="37"/>
      <c r="I536" s="37"/>
      <c r="J536" s="37"/>
      <c r="K536" s="37"/>
      <c r="L536" s="23"/>
      <c r="M536" s="23"/>
    </row>
    <row r="537" ht="15.75" customHeight="1">
      <c r="A537" s="23"/>
      <c r="B537" s="24"/>
      <c r="C537" s="25"/>
      <c r="D537" s="26"/>
      <c r="E537" s="26"/>
      <c r="F537" s="26"/>
      <c r="G537" s="37"/>
      <c r="H537" s="37"/>
      <c r="I537" s="37"/>
      <c r="J537" s="37"/>
      <c r="K537" s="37"/>
      <c r="L537" s="23"/>
      <c r="M537" s="23"/>
    </row>
    <row r="538" ht="15.75" customHeight="1">
      <c r="A538" s="23"/>
      <c r="B538" s="24"/>
      <c r="C538" s="25"/>
      <c r="D538" s="26"/>
      <c r="E538" s="26"/>
      <c r="F538" s="26"/>
      <c r="G538" s="37"/>
      <c r="H538" s="37"/>
      <c r="I538" s="37"/>
      <c r="J538" s="37"/>
      <c r="K538" s="37"/>
      <c r="L538" s="23"/>
      <c r="M538" s="23"/>
    </row>
    <row r="539" ht="15.75" customHeight="1">
      <c r="A539" s="23"/>
      <c r="B539" s="24"/>
      <c r="C539" s="25"/>
      <c r="D539" s="26"/>
      <c r="E539" s="26"/>
      <c r="F539" s="26"/>
      <c r="G539" s="37"/>
      <c r="H539" s="37"/>
      <c r="I539" s="37"/>
      <c r="J539" s="37"/>
      <c r="K539" s="37"/>
      <c r="L539" s="23"/>
      <c r="M539" s="23"/>
    </row>
    <row r="540" ht="15.75" customHeight="1">
      <c r="A540" s="23"/>
      <c r="B540" s="24"/>
      <c r="C540" s="25"/>
      <c r="D540" s="26"/>
      <c r="E540" s="26"/>
      <c r="F540" s="26"/>
      <c r="G540" s="37"/>
      <c r="H540" s="37"/>
      <c r="I540" s="37"/>
      <c r="J540" s="37"/>
      <c r="K540" s="37"/>
      <c r="L540" s="23"/>
      <c r="M540" s="23"/>
    </row>
    <row r="541" ht="15.75" customHeight="1">
      <c r="A541" s="23"/>
      <c r="B541" s="24"/>
      <c r="C541" s="25"/>
      <c r="D541" s="26"/>
      <c r="E541" s="26"/>
      <c r="F541" s="26"/>
      <c r="G541" s="37"/>
      <c r="H541" s="37"/>
      <c r="I541" s="37"/>
      <c r="J541" s="37"/>
      <c r="K541" s="37"/>
      <c r="L541" s="23"/>
      <c r="M541" s="23"/>
    </row>
    <row r="542" ht="15.75" customHeight="1">
      <c r="A542" s="23"/>
      <c r="B542" s="24"/>
      <c r="C542" s="25"/>
      <c r="D542" s="26"/>
      <c r="E542" s="26"/>
      <c r="F542" s="26"/>
      <c r="G542" s="37"/>
      <c r="H542" s="37"/>
      <c r="I542" s="37"/>
      <c r="J542" s="37"/>
      <c r="K542" s="37"/>
      <c r="L542" s="23"/>
      <c r="M542" s="23"/>
    </row>
    <row r="543" ht="15.75" customHeight="1">
      <c r="A543" s="23"/>
      <c r="B543" s="24"/>
      <c r="C543" s="25"/>
      <c r="D543" s="26"/>
      <c r="E543" s="26"/>
      <c r="F543" s="26"/>
      <c r="G543" s="37"/>
      <c r="H543" s="37"/>
      <c r="I543" s="37"/>
      <c r="J543" s="37"/>
      <c r="K543" s="37"/>
      <c r="L543" s="23"/>
      <c r="M543" s="23"/>
    </row>
    <row r="544" ht="15.75" customHeight="1">
      <c r="A544" s="23"/>
      <c r="B544" s="24"/>
      <c r="C544" s="25"/>
      <c r="D544" s="26"/>
      <c r="E544" s="26"/>
      <c r="F544" s="26"/>
      <c r="G544" s="37"/>
      <c r="H544" s="37"/>
      <c r="I544" s="37"/>
      <c r="J544" s="37"/>
      <c r="K544" s="37"/>
      <c r="L544" s="23"/>
      <c r="M544" s="23"/>
    </row>
    <row r="545" ht="15.75" customHeight="1">
      <c r="A545" s="23"/>
      <c r="B545" s="24"/>
      <c r="C545" s="25"/>
      <c r="D545" s="26"/>
      <c r="E545" s="26"/>
      <c r="F545" s="26"/>
      <c r="G545" s="37"/>
      <c r="H545" s="37"/>
      <c r="I545" s="37"/>
      <c r="J545" s="37"/>
      <c r="K545" s="37"/>
      <c r="L545" s="23"/>
      <c r="M545" s="23"/>
    </row>
    <row r="546" ht="15.75" customHeight="1">
      <c r="A546" s="23"/>
      <c r="B546" s="24"/>
      <c r="C546" s="25"/>
      <c r="D546" s="26"/>
      <c r="E546" s="26"/>
      <c r="F546" s="26"/>
      <c r="G546" s="37"/>
      <c r="H546" s="37"/>
      <c r="I546" s="37"/>
      <c r="J546" s="37"/>
      <c r="K546" s="37"/>
      <c r="L546" s="23"/>
      <c r="M546" s="23"/>
    </row>
    <row r="547" ht="15.75" customHeight="1">
      <c r="A547" s="23"/>
      <c r="B547" s="24"/>
      <c r="C547" s="25"/>
      <c r="D547" s="26"/>
      <c r="E547" s="26"/>
      <c r="F547" s="26"/>
      <c r="G547" s="37"/>
      <c r="H547" s="37"/>
      <c r="I547" s="37"/>
      <c r="J547" s="37"/>
      <c r="K547" s="37"/>
      <c r="L547" s="23"/>
      <c r="M547" s="23"/>
    </row>
    <row r="548" ht="15.75" customHeight="1">
      <c r="A548" s="23"/>
      <c r="B548" s="24"/>
      <c r="C548" s="25"/>
      <c r="D548" s="26"/>
      <c r="E548" s="26"/>
      <c r="F548" s="26"/>
      <c r="G548" s="37"/>
      <c r="H548" s="37"/>
      <c r="I548" s="37"/>
      <c r="J548" s="37"/>
      <c r="K548" s="37"/>
      <c r="L548" s="23"/>
      <c r="M548" s="23"/>
    </row>
    <row r="549" ht="15.75" customHeight="1">
      <c r="A549" s="23"/>
      <c r="B549" s="24"/>
      <c r="C549" s="25"/>
      <c r="D549" s="26"/>
      <c r="E549" s="26"/>
      <c r="F549" s="26"/>
      <c r="G549" s="37"/>
      <c r="H549" s="37"/>
      <c r="I549" s="37"/>
      <c r="J549" s="37"/>
      <c r="K549" s="37"/>
      <c r="L549" s="23"/>
      <c r="M549" s="23"/>
    </row>
    <row r="550" ht="15.75" customHeight="1">
      <c r="A550" s="23"/>
      <c r="B550" s="24"/>
      <c r="C550" s="25"/>
      <c r="D550" s="26"/>
      <c r="E550" s="26"/>
      <c r="F550" s="26"/>
      <c r="G550" s="37"/>
      <c r="H550" s="37"/>
      <c r="I550" s="37"/>
      <c r="J550" s="37"/>
      <c r="K550" s="37"/>
      <c r="L550" s="23"/>
      <c r="M550" s="23"/>
    </row>
    <row r="551" ht="15.75" customHeight="1">
      <c r="A551" s="23"/>
      <c r="B551" s="24"/>
      <c r="C551" s="25"/>
      <c r="D551" s="26"/>
      <c r="E551" s="26"/>
      <c r="F551" s="26"/>
      <c r="G551" s="37"/>
      <c r="H551" s="37"/>
      <c r="I551" s="37"/>
      <c r="J551" s="37"/>
      <c r="K551" s="37"/>
      <c r="L551" s="23"/>
      <c r="M551" s="23"/>
    </row>
    <row r="552" ht="15.75" customHeight="1">
      <c r="A552" s="23"/>
      <c r="B552" s="24"/>
      <c r="C552" s="25"/>
      <c r="D552" s="26"/>
      <c r="E552" s="26"/>
      <c r="F552" s="26"/>
      <c r="G552" s="37"/>
      <c r="H552" s="37"/>
      <c r="I552" s="37"/>
      <c r="J552" s="37"/>
      <c r="K552" s="37"/>
      <c r="L552" s="23"/>
      <c r="M552" s="23"/>
    </row>
    <row r="553" ht="15.75" customHeight="1">
      <c r="A553" s="23"/>
      <c r="B553" s="24"/>
      <c r="C553" s="25"/>
      <c r="D553" s="26"/>
      <c r="E553" s="26"/>
      <c r="F553" s="26"/>
      <c r="G553" s="37"/>
      <c r="H553" s="37"/>
      <c r="I553" s="37"/>
      <c r="J553" s="37"/>
      <c r="K553" s="37"/>
      <c r="L553" s="23"/>
      <c r="M553" s="23"/>
    </row>
    <row r="554" ht="15.75" customHeight="1">
      <c r="A554" s="23"/>
      <c r="B554" s="24"/>
      <c r="C554" s="25"/>
      <c r="D554" s="26"/>
      <c r="E554" s="26"/>
      <c r="F554" s="26"/>
      <c r="G554" s="37"/>
      <c r="H554" s="37"/>
      <c r="I554" s="37"/>
      <c r="J554" s="37"/>
      <c r="K554" s="37"/>
      <c r="L554" s="23"/>
      <c r="M554" s="23"/>
    </row>
    <row r="555" ht="15.75" customHeight="1">
      <c r="A555" s="23"/>
      <c r="B555" s="24"/>
      <c r="C555" s="25"/>
      <c r="D555" s="26"/>
      <c r="E555" s="26"/>
      <c r="F555" s="26"/>
      <c r="G555" s="37"/>
      <c r="H555" s="37"/>
      <c r="I555" s="37"/>
      <c r="J555" s="37"/>
      <c r="K555" s="37"/>
      <c r="L555" s="23"/>
      <c r="M555" s="23"/>
    </row>
    <row r="556" ht="15.75" customHeight="1">
      <c r="A556" s="23"/>
      <c r="B556" s="24"/>
      <c r="C556" s="25"/>
      <c r="D556" s="26"/>
      <c r="E556" s="26"/>
      <c r="F556" s="26"/>
      <c r="G556" s="37"/>
      <c r="H556" s="37"/>
      <c r="I556" s="37"/>
      <c r="J556" s="37"/>
      <c r="K556" s="37"/>
      <c r="L556" s="23"/>
      <c r="M556" s="23"/>
    </row>
    <row r="557" ht="15.75" customHeight="1">
      <c r="A557" s="23"/>
      <c r="B557" s="24"/>
      <c r="C557" s="25"/>
      <c r="D557" s="26"/>
      <c r="E557" s="26"/>
      <c r="F557" s="26"/>
      <c r="G557" s="37"/>
      <c r="H557" s="37"/>
      <c r="I557" s="37"/>
      <c r="J557" s="37"/>
      <c r="K557" s="37"/>
      <c r="L557" s="23"/>
      <c r="M557" s="23"/>
    </row>
    <row r="558" ht="15.75" customHeight="1">
      <c r="A558" s="23"/>
      <c r="B558" s="24"/>
      <c r="C558" s="25"/>
      <c r="D558" s="26"/>
      <c r="E558" s="26"/>
      <c r="F558" s="26"/>
      <c r="G558" s="37"/>
      <c r="H558" s="37"/>
      <c r="I558" s="37"/>
      <c r="J558" s="37"/>
      <c r="K558" s="37"/>
      <c r="L558" s="23"/>
      <c r="M558" s="23"/>
    </row>
    <row r="559" ht="15.75" customHeight="1">
      <c r="A559" s="23"/>
      <c r="B559" s="24"/>
      <c r="C559" s="25"/>
      <c r="D559" s="26"/>
      <c r="E559" s="26"/>
      <c r="F559" s="26"/>
      <c r="G559" s="37"/>
      <c r="H559" s="37"/>
      <c r="I559" s="37"/>
      <c r="J559" s="37"/>
      <c r="K559" s="37"/>
      <c r="L559" s="23"/>
      <c r="M559" s="23"/>
    </row>
    <row r="560" ht="15.75" customHeight="1">
      <c r="A560" s="23"/>
      <c r="B560" s="24"/>
      <c r="C560" s="25"/>
      <c r="D560" s="26"/>
      <c r="E560" s="26"/>
      <c r="F560" s="26"/>
      <c r="G560" s="37"/>
      <c r="H560" s="37"/>
      <c r="I560" s="37"/>
      <c r="J560" s="37"/>
      <c r="K560" s="37"/>
      <c r="L560" s="23"/>
      <c r="M560" s="23"/>
    </row>
    <row r="561" ht="15.75" customHeight="1">
      <c r="A561" s="23"/>
      <c r="B561" s="24"/>
      <c r="C561" s="25"/>
      <c r="D561" s="26"/>
      <c r="E561" s="26"/>
      <c r="F561" s="26"/>
      <c r="G561" s="37"/>
      <c r="H561" s="37"/>
      <c r="I561" s="37"/>
      <c r="J561" s="37"/>
      <c r="K561" s="37"/>
      <c r="L561" s="23"/>
      <c r="M561" s="23"/>
    </row>
    <row r="562" ht="15.75" customHeight="1">
      <c r="A562" s="23"/>
      <c r="B562" s="24"/>
      <c r="C562" s="25"/>
      <c r="D562" s="26"/>
      <c r="E562" s="26"/>
      <c r="F562" s="26"/>
      <c r="G562" s="37"/>
      <c r="H562" s="37"/>
      <c r="I562" s="37"/>
      <c r="J562" s="37"/>
      <c r="K562" s="37"/>
      <c r="L562" s="23"/>
      <c r="M562" s="23"/>
    </row>
    <row r="563" ht="15.75" customHeight="1">
      <c r="A563" s="23"/>
      <c r="B563" s="24"/>
      <c r="C563" s="25"/>
      <c r="D563" s="26"/>
      <c r="E563" s="26"/>
      <c r="F563" s="26"/>
      <c r="G563" s="37"/>
      <c r="H563" s="37"/>
      <c r="I563" s="37"/>
      <c r="J563" s="37"/>
      <c r="K563" s="37"/>
      <c r="L563" s="23"/>
      <c r="M563" s="23"/>
    </row>
    <row r="564" ht="15.75" customHeight="1">
      <c r="A564" s="23"/>
      <c r="B564" s="24"/>
      <c r="C564" s="25"/>
      <c r="D564" s="26"/>
      <c r="E564" s="26"/>
      <c r="F564" s="26"/>
      <c r="G564" s="37"/>
      <c r="H564" s="37"/>
      <c r="I564" s="37"/>
      <c r="J564" s="37"/>
      <c r="K564" s="37"/>
      <c r="L564" s="23"/>
      <c r="M564" s="23"/>
    </row>
    <row r="565" ht="15.75" customHeight="1">
      <c r="A565" s="23"/>
      <c r="B565" s="24"/>
      <c r="C565" s="25"/>
      <c r="D565" s="26"/>
      <c r="E565" s="26"/>
      <c r="F565" s="26"/>
      <c r="G565" s="37"/>
      <c r="H565" s="37"/>
      <c r="I565" s="37"/>
      <c r="J565" s="37"/>
      <c r="K565" s="37"/>
      <c r="L565" s="23"/>
      <c r="M565" s="23"/>
    </row>
    <row r="566" ht="15.75" customHeight="1">
      <c r="A566" s="23"/>
      <c r="B566" s="24"/>
      <c r="C566" s="25"/>
      <c r="D566" s="26"/>
      <c r="E566" s="26"/>
      <c r="F566" s="26"/>
      <c r="G566" s="37"/>
      <c r="H566" s="37"/>
      <c r="I566" s="37"/>
      <c r="J566" s="37"/>
      <c r="K566" s="37"/>
      <c r="L566" s="23"/>
      <c r="M566" s="23"/>
    </row>
    <row r="567" ht="15.75" customHeight="1">
      <c r="A567" s="23"/>
      <c r="B567" s="24"/>
      <c r="C567" s="25"/>
      <c r="D567" s="26"/>
      <c r="E567" s="26"/>
      <c r="F567" s="26"/>
      <c r="G567" s="37"/>
      <c r="H567" s="37"/>
      <c r="I567" s="37"/>
      <c r="J567" s="37"/>
      <c r="K567" s="37"/>
      <c r="L567" s="23"/>
      <c r="M567" s="23"/>
    </row>
    <row r="568" ht="15.75" customHeight="1">
      <c r="A568" s="23"/>
      <c r="B568" s="24"/>
      <c r="C568" s="25"/>
      <c r="D568" s="26"/>
      <c r="E568" s="26"/>
      <c r="F568" s="26"/>
      <c r="G568" s="37"/>
      <c r="H568" s="37"/>
      <c r="I568" s="37"/>
      <c r="J568" s="37"/>
      <c r="K568" s="37"/>
      <c r="L568" s="23"/>
      <c r="M568" s="23"/>
    </row>
    <row r="569" ht="15.75" customHeight="1">
      <c r="A569" s="23"/>
      <c r="B569" s="24"/>
      <c r="C569" s="25"/>
      <c r="D569" s="26"/>
      <c r="E569" s="26"/>
      <c r="F569" s="26"/>
      <c r="G569" s="37"/>
      <c r="H569" s="37"/>
      <c r="I569" s="37"/>
      <c r="J569" s="37"/>
      <c r="K569" s="37"/>
      <c r="L569" s="23"/>
      <c r="M569" s="23"/>
    </row>
    <row r="570" ht="15.75" customHeight="1">
      <c r="A570" s="23"/>
      <c r="B570" s="24"/>
      <c r="C570" s="25"/>
      <c r="D570" s="26"/>
      <c r="E570" s="26"/>
      <c r="F570" s="26"/>
      <c r="G570" s="37"/>
      <c r="H570" s="37"/>
      <c r="I570" s="37"/>
      <c r="J570" s="37"/>
      <c r="K570" s="37"/>
      <c r="L570" s="23"/>
      <c r="M570" s="23"/>
    </row>
    <row r="571" ht="15.75" customHeight="1">
      <c r="A571" s="23"/>
      <c r="B571" s="24"/>
      <c r="C571" s="25"/>
      <c r="D571" s="26"/>
      <c r="E571" s="26"/>
      <c r="F571" s="26"/>
      <c r="G571" s="37"/>
      <c r="H571" s="37"/>
      <c r="I571" s="37"/>
      <c r="J571" s="37"/>
      <c r="K571" s="37"/>
      <c r="L571" s="23"/>
      <c r="M571" s="23"/>
    </row>
    <row r="572" ht="15.75" customHeight="1">
      <c r="A572" s="23"/>
      <c r="B572" s="24"/>
      <c r="C572" s="25"/>
      <c r="D572" s="26"/>
      <c r="E572" s="26"/>
      <c r="F572" s="26"/>
      <c r="G572" s="37"/>
      <c r="H572" s="37"/>
      <c r="I572" s="37"/>
      <c r="J572" s="37"/>
      <c r="K572" s="37"/>
      <c r="L572" s="23"/>
      <c r="M572" s="23"/>
    </row>
    <row r="573" ht="15.75" customHeight="1">
      <c r="A573" s="23"/>
      <c r="B573" s="24"/>
      <c r="C573" s="25"/>
      <c r="D573" s="26"/>
      <c r="E573" s="26"/>
      <c r="F573" s="26"/>
      <c r="G573" s="37"/>
      <c r="H573" s="37"/>
      <c r="I573" s="37"/>
      <c r="J573" s="37"/>
      <c r="K573" s="37"/>
      <c r="L573" s="23"/>
      <c r="M573" s="23"/>
    </row>
    <row r="574" ht="15.75" customHeight="1">
      <c r="A574" s="23"/>
      <c r="B574" s="24"/>
      <c r="C574" s="25"/>
      <c r="D574" s="26"/>
      <c r="E574" s="26"/>
      <c r="F574" s="26"/>
      <c r="G574" s="37"/>
      <c r="H574" s="37"/>
      <c r="I574" s="37"/>
      <c r="J574" s="37"/>
      <c r="K574" s="37"/>
      <c r="L574" s="23"/>
      <c r="M574" s="23"/>
    </row>
    <row r="575" ht="15.75" customHeight="1">
      <c r="A575" s="23"/>
      <c r="B575" s="24"/>
      <c r="C575" s="25"/>
      <c r="D575" s="26"/>
      <c r="E575" s="26"/>
      <c r="F575" s="26"/>
      <c r="G575" s="37"/>
      <c r="H575" s="37"/>
      <c r="I575" s="37"/>
      <c r="J575" s="37"/>
      <c r="K575" s="37"/>
      <c r="L575" s="23"/>
      <c r="M575" s="23"/>
    </row>
    <row r="576" ht="15.75" customHeight="1">
      <c r="A576" s="23"/>
      <c r="B576" s="24"/>
      <c r="C576" s="25"/>
      <c r="D576" s="26"/>
      <c r="E576" s="26"/>
      <c r="F576" s="26"/>
      <c r="G576" s="37"/>
      <c r="H576" s="37"/>
      <c r="I576" s="37"/>
      <c r="J576" s="37"/>
      <c r="K576" s="37"/>
      <c r="L576" s="23"/>
      <c r="M576" s="23"/>
    </row>
    <row r="577" ht="15.75" customHeight="1">
      <c r="A577" s="23"/>
      <c r="B577" s="24"/>
      <c r="C577" s="25"/>
      <c r="D577" s="26"/>
      <c r="E577" s="26"/>
      <c r="F577" s="26"/>
      <c r="G577" s="37"/>
      <c r="H577" s="37"/>
      <c r="I577" s="37"/>
      <c r="J577" s="37"/>
      <c r="K577" s="37"/>
      <c r="L577" s="23"/>
      <c r="M577" s="23"/>
    </row>
    <row r="578" ht="15.75" customHeight="1">
      <c r="A578" s="23"/>
      <c r="B578" s="24"/>
      <c r="C578" s="25"/>
      <c r="D578" s="26"/>
      <c r="E578" s="26"/>
      <c r="F578" s="26"/>
      <c r="G578" s="37"/>
      <c r="H578" s="37"/>
      <c r="I578" s="37"/>
      <c r="J578" s="37"/>
      <c r="K578" s="37"/>
      <c r="L578" s="23"/>
      <c r="M578" s="23"/>
    </row>
    <row r="579" ht="15.75" customHeight="1">
      <c r="A579" s="23"/>
      <c r="B579" s="24"/>
      <c r="C579" s="25"/>
      <c r="D579" s="26"/>
      <c r="E579" s="26"/>
      <c r="F579" s="26"/>
      <c r="G579" s="37"/>
      <c r="H579" s="37"/>
      <c r="I579" s="37"/>
      <c r="J579" s="37"/>
      <c r="K579" s="37"/>
      <c r="L579" s="23"/>
      <c r="M579" s="23"/>
    </row>
    <row r="580" ht="15.75" customHeight="1">
      <c r="A580" s="23"/>
      <c r="B580" s="24"/>
      <c r="C580" s="25"/>
      <c r="D580" s="26"/>
      <c r="E580" s="26"/>
      <c r="F580" s="26"/>
      <c r="G580" s="37"/>
      <c r="H580" s="37"/>
      <c r="I580" s="37"/>
      <c r="J580" s="37"/>
      <c r="K580" s="37"/>
      <c r="L580" s="23"/>
      <c r="M580" s="23"/>
    </row>
    <row r="581" ht="15.75" customHeight="1">
      <c r="A581" s="23"/>
      <c r="B581" s="24"/>
      <c r="C581" s="25"/>
      <c r="D581" s="26"/>
      <c r="E581" s="26"/>
      <c r="F581" s="26"/>
      <c r="G581" s="37"/>
      <c r="H581" s="37"/>
      <c r="I581" s="37"/>
      <c r="J581" s="37"/>
      <c r="K581" s="37"/>
      <c r="L581" s="23"/>
      <c r="M581" s="23"/>
    </row>
    <row r="582" ht="15.75" customHeight="1">
      <c r="A582" s="23"/>
      <c r="B582" s="24"/>
      <c r="C582" s="25"/>
      <c r="D582" s="26"/>
      <c r="E582" s="26"/>
      <c r="F582" s="26"/>
      <c r="G582" s="37"/>
      <c r="H582" s="37"/>
      <c r="I582" s="37"/>
      <c r="J582" s="37"/>
      <c r="K582" s="37"/>
      <c r="L582" s="23"/>
      <c r="M582" s="23"/>
    </row>
    <row r="583" ht="15.75" customHeight="1">
      <c r="A583" s="23"/>
      <c r="B583" s="24"/>
      <c r="C583" s="25"/>
      <c r="D583" s="26"/>
      <c r="E583" s="26"/>
      <c r="F583" s="26"/>
      <c r="G583" s="37"/>
      <c r="H583" s="37"/>
      <c r="I583" s="37"/>
      <c r="J583" s="37"/>
      <c r="K583" s="37"/>
      <c r="L583" s="23"/>
      <c r="M583" s="23"/>
    </row>
    <row r="584" ht="15.75" customHeight="1">
      <c r="A584" s="23"/>
      <c r="B584" s="24"/>
      <c r="C584" s="25"/>
      <c r="D584" s="26"/>
      <c r="E584" s="26"/>
      <c r="F584" s="26"/>
      <c r="G584" s="37"/>
      <c r="H584" s="37"/>
      <c r="I584" s="37"/>
      <c r="J584" s="37"/>
      <c r="K584" s="37"/>
      <c r="L584" s="23"/>
      <c r="M584" s="23"/>
    </row>
    <row r="585" ht="15.75" customHeight="1">
      <c r="A585" s="23"/>
      <c r="B585" s="24"/>
      <c r="C585" s="25"/>
      <c r="D585" s="26"/>
      <c r="E585" s="26"/>
      <c r="F585" s="26"/>
      <c r="G585" s="37"/>
      <c r="H585" s="37"/>
      <c r="I585" s="37"/>
      <c r="J585" s="37"/>
      <c r="K585" s="37"/>
      <c r="L585" s="23"/>
      <c r="M585" s="23"/>
    </row>
    <row r="586" ht="15.75" customHeight="1">
      <c r="A586" s="23"/>
      <c r="B586" s="24"/>
      <c r="C586" s="25"/>
      <c r="D586" s="26"/>
      <c r="E586" s="26"/>
      <c r="F586" s="26"/>
      <c r="G586" s="37"/>
      <c r="H586" s="37"/>
      <c r="I586" s="37"/>
      <c r="J586" s="37"/>
      <c r="K586" s="37"/>
      <c r="L586" s="23"/>
      <c r="M586" s="23"/>
    </row>
    <row r="587" ht="15.75" customHeight="1">
      <c r="A587" s="23"/>
      <c r="B587" s="24"/>
      <c r="C587" s="25"/>
      <c r="D587" s="26"/>
      <c r="E587" s="26"/>
      <c r="F587" s="26"/>
      <c r="G587" s="37"/>
      <c r="H587" s="37"/>
      <c r="I587" s="37"/>
      <c r="J587" s="37"/>
      <c r="K587" s="37"/>
      <c r="L587" s="23"/>
      <c r="M587" s="23"/>
    </row>
    <row r="588" ht="15.75" customHeight="1">
      <c r="A588" s="23"/>
      <c r="B588" s="24"/>
      <c r="C588" s="25"/>
      <c r="D588" s="26"/>
      <c r="E588" s="26"/>
      <c r="F588" s="26"/>
      <c r="G588" s="37"/>
      <c r="H588" s="37"/>
      <c r="I588" s="37"/>
      <c r="J588" s="37"/>
      <c r="K588" s="37"/>
      <c r="L588" s="23"/>
      <c r="M588" s="23"/>
    </row>
    <row r="589" ht="15.75" customHeight="1">
      <c r="A589" s="23"/>
      <c r="B589" s="24"/>
      <c r="C589" s="25"/>
      <c r="D589" s="26"/>
      <c r="E589" s="26"/>
      <c r="F589" s="26"/>
      <c r="G589" s="37"/>
      <c r="H589" s="37"/>
      <c r="I589" s="37"/>
      <c r="J589" s="37"/>
      <c r="K589" s="37"/>
      <c r="L589" s="23"/>
      <c r="M589" s="23"/>
    </row>
    <row r="590" ht="15.75" customHeight="1">
      <c r="A590" s="23"/>
      <c r="B590" s="24"/>
      <c r="C590" s="25"/>
      <c r="D590" s="26"/>
      <c r="E590" s="26"/>
      <c r="F590" s="26"/>
      <c r="G590" s="37"/>
      <c r="H590" s="37"/>
      <c r="I590" s="37"/>
      <c r="J590" s="37"/>
      <c r="K590" s="37"/>
      <c r="L590" s="23"/>
      <c r="M590" s="23"/>
    </row>
    <row r="591" ht="15.75" customHeight="1">
      <c r="A591" s="23"/>
      <c r="B591" s="24"/>
      <c r="C591" s="25"/>
      <c r="D591" s="26"/>
      <c r="E591" s="26"/>
      <c r="F591" s="26"/>
      <c r="G591" s="37"/>
      <c r="H591" s="37"/>
      <c r="I591" s="37"/>
      <c r="J591" s="37"/>
      <c r="K591" s="37"/>
      <c r="L591" s="23"/>
      <c r="M591" s="23"/>
    </row>
    <row r="592" ht="15.75" customHeight="1">
      <c r="A592" s="23"/>
      <c r="B592" s="24"/>
      <c r="C592" s="25"/>
      <c r="D592" s="26"/>
      <c r="E592" s="26"/>
      <c r="F592" s="26"/>
      <c r="G592" s="37"/>
      <c r="H592" s="37"/>
      <c r="I592" s="37"/>
      <c r="J592" s="37"/>
      <c r="K592" s="37"/>
      <c r="L592" s="23"/>
      <c r="M592" s="23"/>
    </row>
    <row r="593" ht="15.75" customHeight="1">
      <c r="A593" s="23"/>
      <c r="B593" s="24"/>
      <c r="C593" s="25"/>
      <c r="D593" s="26"/>
      <c r="E593" s="26"/>
      <c r="F593" s="26"/>
      <c r="G593" s="37"/>
      <c r="H593" s="37"/>
      <c r="I593" s="37"/>
      <c r="J593" s="37"/>
      <c r="K593" s="37"/>
      <c r="L593" s="23"/>
      <c r="M593" s="23"/>
    </row>
    <row r="594" ht="15.75" customHeight="1">
      <c r="A594" s="23"/>
      <c r="B594" s="24"/>
      <c r="C594" s="25"/>
      <c r="D594" s="26"/>
      <c r="E594" s="26"/>
      <c r="F594" s="26"/>
      <c r="G594" s="37"/>
      <c r="H594" s="37"/>
      <c r="I594" s="37"/>
      <c r="J594" s="37"/>
      <c r="K594" s="37"/>
      <c r="L594" s="23"/>
      <c r="M594" s="23"/>
    </row>
    <row r="595" ht="15.75" customHeight="1">
      <c r="A595" s="23"/>
      <c r="B595" s="24"/>
      <c r="C595" s="25"/>
      <c r="D595" s="26"/>
      <c r="E595" s="26"/>
      <c r="F595" s="26"/>
      <c r="G595" s="37"/>
      <c r="H595" s="37"/>
      <c r="I595" s="37"/>
      <c r="J595" s="37"/>
      <c r="K595" s="37"/>
      <c r="L595" s="23"/>
      <c r="M595" s="23"/>
    </row>
    <row r="596" ht="15.75" customHeight="1">
      <c r="A596" s="23"/>
      <c r="B596" s="24"/>
      <c r="C596" s="25"/>
      <c r="D596" s="26"/>
      <c r="E596" s="26"/>
      <c r="F596" s="26"/>
      <c r="G596" s="37"/>
      <c r="H596" s="37"/>
      <c r="I596" s="37"/>
      <c r="J596" s="37"/>
      <c r="K596" s="37"/>
      <c r="L596" s="23"/>
      <c r="M596" s="23"/>
    </row>
    <row r="597" ht="15.75" customHeight="1">
      <c r="A597" s="23"/>
      <c r="B597" s="24"/>
      <c r="C597" s="25"/>
      <c r="D597" s="26"/>
      <c r="E597" s="26"/>
      <c r="F597" s="26"/>
      <c r="G597" s="37"/>
      <c r="H597" s="37"/>
      <c r="I597" s="37"/>
      <c r="J597" s="37"/>
      <c r="K597" s="37"/>
      <c r="L597" s="23"/>
      <c r="M597" s="23"/>
    </row>
    <row r="598" ht="15.75" customHeight="1">
      <c r="A598" s="23"/>
      <c r="B598" s="24"/>
      <c r="C598" s="25"/>
      <c r="D598" s="26"/>
      <c r="E598" s="26"/>
      <c r="F598" s="26"/>
      <c r="G598" s="37"/>
      <c r="H598" s="37"/>
      <c r="I598" s="37"/>
      <c r="J598" s="37"/>
      <c r="K598" s="37"/>
      <c r="L598" s="23"/>
      <c r="M598" s="23"/>
    </row>
    <row r="599" ht="15.75" customHeight="1">
      <c r="A599" s="23"/>
      <c r="B599" s="24"/>
      <c r="C599" s="25"/>
      <c r="D599" s="26"/>
      <c r="E599" s="26"/>
      <c r="F599" s="26"/>
      <c r="G599" s="37"/>
      <c r="H599" s="37"/>
      <c r="I599" s="37"/>
      <c r="J599" s="37"/>
      <c r="K599" s="37"/>
      <c r="L599" s="23"/>
      <c r="M599" s="23"/>
    </row>
    <row r="600" ht="15.75" customHeight="1">
      <c r="A600" s="23"/>
      <c r="B600" s="24"/>
      <c r="C600" s="25"/>
      <c r="D600" s="26"/>
      <c r="E600" s="26"/>
      <c r="F600" s="26"/>
      <c r="G600" s="37"/>
      <c r="H600" s="37"/>
      <c r="I600" s="37"/>
      <c r="J600" s="37"/>
      <c r="K600" s="37"/>
      <c r="L600" s="23"/>
      <c r="M600" s="23"/>
    </row>
    <row r="601" ht="15.75" customHeight="1">
      <c r="A601" s="23"/>
      <c r="B601" s="24"/>
      <c r="C601" s="25"/>
      <c r="D601" s="26"/>
      <c r="E601" s="26"/>
      <c r="F601" s="26"/>
      <c r="G601" s="37"/>
      <c r="H601" s="37"/>
      <c r="I601" s="37"/>
      <c r="J601" s="37"/>
      <c r="K601" s="37"/>
      <c r="L601" s="23"/>
      <c r="M601" s="23"/>
    </row>
    <row r="602" ht="15.75" customHeight="1">
      <c r="A602" s="23"/>
      <c r="B602" s="24"/>
      <c r="C602" s="25"/>
      <c r="D602" s="26"/>
      <c r="E602" s="26"/>
      <c r="F602" s="26"/>
      <c r="G602" s="37"/>
      <c r="H602" s="37"/>
      <c r="I602" s="37"/>
      <c r="J602" s="37"/>
      <c r="K602" s="37"/>
      <c r="L602" s="23"/>
      <c r="M602" s="23"/>
    </row>
    <row r="603" ht="15.75" customHeight="1">
      <c r="A603" s="23"/>
      <c r="B603" s="24"/>
      <c r="C603" s="25"/>
      <c r="D603" s="26"/>
      <c r="E603" s="26"/>
      <c r="F603" s="26"/>
      <c r="G603" s="37"/>
      <c r="H603" s="37"/>
      <c r="I603" s="37"/>
      <c r="J603" s="37"/>
      <c r="K603" s="37"/>
      <c r="L603" s="23"/>
      <c r="M603" s="23"/>
    </row>
    <row r="604" ht="15.75" customHeight="1">
      <c r="A604" s="23"/>
      <c r="B604" s="24"/>
      <c r="C604" s="25"/>
      <c r="D604" s="26"/>
      <c r="E604" s="26"/>
      <c r="F604" s="26"/>
      <c r="G604" s="37"/>
      <c r="H604" s="37"/>
      <c r="I604" s="37"/>
      <c r="J604" s="37"/>
      <c r="K604" s="37"/>
      <c r="L604" s="23"/>
      <c r="M604" s="23"/>
    </row>
    <row r="605" ht="15.75" customHeight="1">
      <c r="A605" s="23"/>
      <c r="B605" s="24"/>
      <c r="C605" s="25"/>
      <c r="D605" s="26"/>
      <c r="E605" s="26"/>
      <c r="F605" s="26"/>
      <c r="G605" s="37"/>
      <c r="H605" s="37"/>
      <c r="I605" s="37"/>
      <c r="J605" s="37"/>
      <c r="K605" s="37"/>
      <c r="L605" s="23"/>
      <c r="M605" s="23"/>
    </row>
    <row r="606" ht="15.75" customHeight="1">
      <c r="A606" s="23"/>
      <c r="B606" s="24"/>
      <c r="C606" s="25"/>
      <c r="D606" s="26"/>
      <c r="E606" s="26"/>
      <c r="F606" s="26"/>
      <c r="G606" s="37"/>
      <c r="H606" s="37"/>
      <c r="I606" s="37"/>
      <c r="J606" s="37"/>
      <c r="K606" s="37"/>
      <c r="L606" s="23"/>
      <c r="M606" s="23"/>
    </row>
    <row r="607" ht="15.75" customHeight="1">
      <c r="A607" s="23"/>
      <c r="B607" s="24"/>
      <c r="C607" s="25"/>
      <c r="D607" s="26"/>
      <c r="E607" s="26"/>
      <c r="F607" s="26"/>
      <c r="G607" s="37"/>
      <c r="H607" s="37"/>
      <c r="I607" s="37"/>
      <c r="J607" s="37"/>
      <c r="K607" s="37"/>
      <c r="L607" s="23"/>
      <c r="M607" s="23"/>
    </row>
    <row r="608" ht="15.75" customHeight="1">
      <c r="A608" s="23"/>
      <c r="B608" s="24"/>
      <c r="C608" s="25"/>
      <c r="D608" s="26"/>
      <c r="E608" s="26"/>
      <c r="F608" s="26"/>
      <c r="G608" s="37"/>
      <c r="H608" s="37"/>
      <c r="I608" s="37"/>
      <c r="J608" s="37"/>
      <c r="K608" s="37"/>
      <c r="L608" s="23"/>
      <c r="M608" s="23"/>
    </row>
    <row r="609" ht="15.75" customHeight="1">
      <c r="A609" s="23"/>
      <c r="B609" s="24"/>
      <c r="C609" s="25"/>
      <c r="D609" s="26"/>
      <c r="E609" s="26"/>
      <c r="F609" s="26"/>
      <c r="G609" s="37"/>
      <c r="H609" s="37"/>
      <c r="I609" s="37"/>
      <c r="J609" s="37"/>
      <c r="K609" s="37"/>
      <c r="L609" s="23"/>
      <c r="M609" s="23"/>
    </row>
    <row r="610" ht="15.75" customHeight="1">
      <c r="A610" s="23"/>
      <c r="B610" s="24"/>
      <c r="C610" s="25"/>
      <c r="D610" s="26"/>
      <c r="E610" s="26"/>
      <c r="F610" s="26"/>
      <c r="G610" s="37"/>
      <c r="H610" s="37"/>
      <c r="I610" s="37"/>
      <c r="J610" s="37"/>
      <c r="K610" s="37"/>
      <c r="L610" s="23"/>
      <c r="M610" s="23"/>
    </row>
    <row r="611" ht="15.75" customHeight="1">
      <c r="A611" s="23"/>
      <c r="B611" s="24"/>
      <c r="C611" s="25"/>
      <c r="D611" s="26"/>
      <c r="E611" s="26"/>
      <c r="F611" s="26"/>
      <c r="G611" s="37"/>
      <c r="H611" s="37"/>
      <c r="I611" s="37"/>
      <c r="J611" s="37"/>
      <c r="K611" s="37"/>
      <c r="L611" s="23"/>
      <c r="M611" s="23"/>
    </row>
    <row r="612" ht="15.75" customHeight="1">
      <c r="A612" s="23"/>
      <c r="B612" s="24"/>
      <c r="C612" s="25"/>
      <c r="D612" s="26"/>
      <c r="E612" s="26"/>
      <c r="F612" s="26"/>
      <c r="G612" s="37"/>
      <c r="H612" s="37"/>
      <c r="I612" s="37"/>
      <c r="J612" s="37"/>
      <c r="K612" s="37"/>
      <c r="L612" s="23"/>
      <c r="M612" s="23"/>
    </row>
    <row r="613" ht="15.75" customHeight="1">
      <c r="A613" s="23"/>
      <c r="B613" s="24"/>
      <c r="C613" s="25"/>
      <c r="D613" s="26"/>
      <c r="E613" s="26"/>
      <c r="F613" s="26"/>
      <c r="G613" s="37"/>
      <c r="H613" s="37"/>
      <c r="I613" s="37"/>
      <c r="J613" s="37"/>
      <c r="K613" s="37"/>
      <c r="L613" s="23"/>
      <c r="M613" s="23"/>
    </row>
    <row r="614" ht="15.75" customHeight="1">
      <c r="A614" s="23"/>
      <c r="B614" s="24"/>
      <c r="C614" s="25"/>
      <c r="D614" s="26"/>
      <c r="E614" s="26"/>
      <c r="F614" s="26"/>
      <c r="G614" s="37"/>
      <c r="H614" s="37"/>
      <c r="I614" s="37"/>
      <c r="J614" s="37"/>
      <c r="K614" s="37"/>
      <c r="L614" s="23"/>
      <c r="M614" s="23"/>
    </row>
    <row r="615" ht="15.75" customHeight="1">
      <c r="A615" s="23"/>
      <c r="B615" s="24"/>
      <c r="C615" s="25"/>
      <c r="D615" s="26"/>
      <c r="E615" s="26"/>
      <c r="F615" s="26"/>
      <c r="G615" s="37"/>
      <c r="H615" s="37"/>
      <c r="I615" s="37"/>
      <c r="J615" s="37"/>
      <c r="K615" s="37"/>
      <c r="L615" s="23"/>
      <c r="M615" s="23"/>
    </row>
    <row r="616" ht="15.75" customHeight="1">
      <c r="A616" s="23"/>
      <c r="B616" s="24"/>
      <c r="C616" s="25"/>
      <c r="D616" s="26"/>
      <c r="E616" s="26"/>
      <c r="F616" s="26"/>
      <c r="G616" s="37"/>
      <c r="H616" s="37"/>
      <c r="I616" s="37"/>
      <c r="J616" s="37"/>
      <c r="K616" s="37"/>
      <c r="L616" s="23"/>
      <c r="M616" s="23"/>
    </row>
    <row r="617" ht="15.75" customHeight="1">
      <c r="A617" s="23"/>
      <c r="B617" s="24"/>
      <c r="C617" s="25"/>
      <c r="D617" s="26"/>
      <c r="E617" s="26"/>
      <c r="F617" s="26"/>
      <c r="G617" s="37"/>
      <c r="H617" s="37"/>
      <c r="I617" s="37"/>
      <c r="J617" s="37"/>
      <c r="K617" s="37"/>
      <c r="L617" s="23"/>
      <c r="M617" s="23"/>
    </row>
    <row r="618" ht="15.75" customHeight="1">
      <c r="A618" s="23"/>
      <c r="B618" s="24"/>
      <c r="C618" s="25"/>
      <c r="D618" s="26"/>
      <c r="E618" s="26"/>
      <c r="F618" s="26"/>
      <c r="G618" s="37"/>
      <c r="H618" s="37"/>
      <c r="I618" s="37"/>
      <c r="J618" s="37"/>
      <c r="K618" s="37"/>
      <c r="L618" s="23"/>
      <c r="M618" s="23"/>
    </row>
    <row r="619" ht="15.75" customHeight="1">
      <c r="A619" s="23"/>
      <c r="B619" s="24"/>
      <c r="C619" s="25"/>
      <c r="D619" s="26"/>
      <c r="E619" s="26"/>
      <c r="F619" s="26"/>
      <c r="G619" s="37"/>
      <c r="H619" s="37"/>
      <c r="I619" s="37"/>
      <c r="J619" s="37"/>
      <c r="K619" s="37"/>
      <c r="L619" s="23"/>
      <c r="M619" s="23"/>
    </row>
    <row r="620" ht="15.75" customHeight="1">
      <c r="A620" s="23"/>
      <c r="B620" s="24"/>
      <c r="C620" s="25"/>
      <c r="D620" s="26"/>
      <c r="E620" s="26"/>
      <c r="F620" s="26"/>
      <c r="G620" s="37"/>
      <c r="H620" s="37"/>
      <c r="I620" s="37"/>
      <c r="J620" s="37"/>
      <c r="K620" s="37"/>
      <c r="L620" s="23"/>
      <c r="M620" s="23"/>
    </row>
    <row r="621" ht="15.75" customHeight="1">
      <c r="A621" s="23"/>
      <c r="B621" s="24"/>
      <c r="C621" s="25"/>
      <c r="D621" s="26"/>
      <c r="E621" s="26"/>
      <c r="F621" s="26"/>
      <c r="G621" s="37"/>
      <c r="H621" s="37"/>
      <c r="I621" s="37"/>
      <c r="J621" s="37"/>
      <c r="K621" s="37"/>
      <c r="L621" s="23"/>
      <c r="M621" s="23"/>
    </row>
    <row r="622" ht="15.75" customHeight="1">
      <c r="A622" s="23"/>
      <c r="B622" s="24"/>
      <c r="C622" s="25"/>
      <c r="D622" s="26"/>
      <c r="E622" s="26"/>
      <c r="F622" s="26"/>
      <c r="G622" s="37"/>
      <c r="H622" s="37"/>
      <c r="I622" s="37"/>
      <c r="J622" s="37"/>
      <c r="K622" s="37"/>
      <c r="L622" s="23"/>
      <c r="M622" s="23"/>
    </row>
    <row r="623" ht="15.75" customHeight="1">
      <c r="A623" s="23"/>
      <c r="B623" s="24"/>
      <c r="C623" s="25"/>
      <c r="D623" s="26"/>
      <c r="E623" s="26"/>
      <c r="F623" s="26"/>
      <c r="G623" s="37"/>
      <c r="H623" s="37"/>
      <c r="I623" s="37"/>
      <c r="J623" s="37"/>
      <c r="K623" s="37"/>
      <c r="L623" s="23"/>
      <c r="M623" s="23"/>
    </row>
    <row r="624" ht="15.75" customHeight="1">
      <c r="A624" s="23"/>
      <c r="B624" s="24"/>
      <c r="C624" s="25"/>
      <c r="D624" s="26"/>
      <c r="E624" s="26"/>
      <c r="F624" s="26"/>
      <c r="G624" s="37"/>
      <c r="H624" s="37"/>
      <c r="I624" s="37"/>
      <c r="J624" s="37"/>
      <c r="K624" s="37"/>
      <c r="L624" s="23"/>
      <c r="M624" s="23"/>
    </row>
    <row r="625" ht="15.75" customHeight="1">
      <c r="A625" s="23"/>
      <c r="B625" s="24"/>
      <c r="C625" s="25"/>
      <c r="D625" s="26"/>
      <c r="E625" s="26"/>
      <c r="F625" s="26"/>
      <c r="G625" s="37"/>
      <c r="H625" s="37"/>
      <c r="I625" s="37"/>
      <c r="J625" s="37"/>
      <c r="K625" s="37"/>
      <c r="L625" s="23"/>
      <c r="M625" s="23"/>
    </row>
    <row r="626" ht="15.75" customHeight="1">
      <c r="A626" s="23"/>
      <c r="B626" s="24"/>
      <c r="C626" s="25"/>
      <c r="D626" s="26"/>
      <c r="E626" s="26"/>
      <c r="F626" s="26"/>
      <c r="G626" s="37"/>
      <c r="H626" s="37"/>
      <c r="I626" s="37"/>
      <c r="J626" s="37"/>
      <c r="K626" s="37"/>
      <c r="L626" s="23"/>
      <c r="M626" s="23"/>
    </row>
    <row r="627" ht="15.75" customHeight="1">
      <c r="A627" s="23"/>
      <c r="B627" s="24"/>
      <c r="C627" s="25"/>
      <c r="D627" s="26"/>
      <c r="E627" s="26"/>
      <c r="F627" s="26"/>
      <c r="G627" s="37"/>
      <c r="H627" s="37"/>
      <c r="I627" s="37"/>
      <c r="J627" s="37"/>
      <c r="K627" s="37"/>
      <c r="L627" s="23"/>
      <c r="M627" s="23"/>
    </row>
    <row r="628" ht="15.75" customHeight="1">
      <c r="A628" s="23"/>
      <c r="B628" s="24"/>
      <c r="C628" s="25"/>
      <c r="D628" s="26"/>
      <c r="E628" s="26"/>
      <c r="F628" s="26"/>
      <c r="G628" s="37"/>
      <c r="H628" s="37"/>
      <c r="I628" s="37"/>
      <c r="J628" s="37"/>
      <c r="K628" s="37"/>
      <c r="L628" s="23"/>
      <c r="M628" s="23"/>
    </row>
    <row r="629" ht="15.75" customHeight="1">
      <c r="A629" s="23"/>
      <c r="B629" s="24"/>
      <c r="C629" s="25"/>
      <c r="D629" s="26"/>
      <c r="E629" s="26"/>
      <c r="F629" s="26"/>
      <c r="G629" s="37"/>
      <c r="H629" s="37"/>
      <c r="I629" s="37"/>
      <c r="J629" s="37"/>
      <c r="K629" s="37"/>
      <c r="L629" s="23"/>
      <c r="M629" s="23"/>
    </row>
    <row r="630" ht="15.75" customHeight="1">
      <c r="A630" s="23"/>
      <c r="B630" s="24"/>
      <c r="C630" s="25"/>
      <c r="D630" s="26"/>
      <c r="E630" s="26"/>
      <c r="F630" s="26"/>
      <c r="G630" s="37"/>
      <c r="H630" s="37"/>
      <c r="I630" s="37"/>
      <c r="J630" s="37"/>
      <c r="K630" s="37"/>
      <c r="L630" s="23"/>
      <c r="M630" s="23"/>
    </row>
    <row r="631" ht="15.75" customHeight="1">
      <c r="A631" s="23"/>
      <c r="B631" s="24"/>
      <c r="C631" s="25"/>
      <c r="D631" s="26"/>
      <c r="E631" s="26"/>
      <c r="F631" s="26"/>
      <c r="G631" s="37"/>
      <c r="H631" s="37"/>
      <c r="I631" s="37"/>
      <c r="J631" s="37"/>
      <c r="K631" s="37"/>
      <c r="L631" s="23"/>
      <c r="M631" s="23"/>
    </row>
    <row r="632" ht="15.75" customHeight="1">
      <c r="A632" s="23"/>
      <c r="B632" s="24"/>
      <c r="C632" s="25"/>
      <c r="D632" s="26"/>
      <c r="E632" s="26"/>
      <c r="F632" s="26"/>
      <c r="G632" s="37"/>
      <c r="H632" s="37"/>
      <c r="I632" s="37"/>
      <c r="J632" s="37"/>
      <c r="K632" s="37"/>
      <c r="L632" s="23"/>
      <c r="M632" s="23"/>
    </row>
    <row r="633" ht="15.75" customHeight="1">
      <c r="A633" s="23"/>
      <c r="B633" s="24"/>
      <c r="C633" s="25"/>
      <c r="D633" s="26"/>
      <c r="E633" s="26"/>
      <c r="F633" s="26"/>
      <c r="G633" s="37"/>
      <c r="H633" s="37"/>
      <c r="I633" s="37"/>
      <c r="J633" s="37"/>
      <c r="K633" s="37"/>
      <c r="L633" s="23"/>
      <c r="M633" s="23"/>
    </row>
    <row r="634" ht="15.75" customHeight="1">
      <c r="A634" s="23"/>
      <c r="B634" s="24"/>
      <c r="C634" s="25"/>
      <c r="D634" s="26"/>
      <c r="E634" s="26"/>
      <c r="F634" s="26"/>
      <c r="G634" s="37"/>
      <c r="H634" s="37"/>
      <c r="I634" s="37"/>
      <c r="J634" s="37"/>
      <c r="K634" s="37"/>
      <c r="L634" s="23"/>
      <c r="M634" s="23"/>
    </row>
    <row r="635" ht="15.75" customHeight="1">
      <c r="A635" s="23"/>
      <c r="B635" s="24"/>
      <c r="C635" s="25"/>
      <c r="D635" s="26"/>
      <c r="E635" s="26"/>
      <c r="F635" s="26"/>
      <c r="G635" s="37"/>
      <c r="H635" s="37"/>
      <c r="I635" s="37"/>
      <c r="J635" s="37"/>
      <c r="K635" s="37"/>
      <c r="L635" s="23"/>
      <c r="M635" s="23"/>
    </row>
    <row r="636" ht="15.75" customHeight="1">
      <c r="A636" s="23"/>
      <c r="B636" s="24"/>
      <c r="C636" s="25"/>
      <c r="D636" s="26"/>
      <c r="E636" s="26"/>
      <c r="F636" s="26"/>
      <c r="G636" s="37"/>
      <c r="H636" s="37"/>
      <c r="I636" s="37"/>
      <c r="J636" s="37"/>
      <c r="K636" s="37"/>
      <c r="L636" s="23"/>
      <c r="M636" s="23"/>
    </row>
    <row r="637" ht="15.75" customHeight="1">
      <c r="A637" s="23"/>
      <c r="B637" s="24"/>
      <c r="C637" s="25"/>
      <c r="D637" s="26"/>
      <c r="E637" s="26"/>
      <c r="F637" s="26"/>
      <c r="G637" s="37"/>
      <c r="H637" s="37"/>
      <c r="I637" s="37"/>
      <c r="J637" s="37"/>
      <c r="K637" s="37"/>
      <c r="L637" s="23"/>
      <c r="M637" s="23"/>
    </row>
    <row r="638" ht="15.75" customHeight="1">
      <c r="A638" s="23"/>
      <c r="B638" s="24"/>
      <c r="C638" s="25"/>
      <c r="D638" s="26"/>
      <c r="E638" s="26"/>
      <c r="F638" s="26"/>
      <c r="G638" s="37"/>
      <c r="H638" s="37"/>
      <c r="I638" s="37"/>
      <c r="J638" s="37"/>
      <c r="K638" s="37"/>
      <c r="L638" s="23"/>
      <c r="M638" s="23"/>
    </row>
    <row r="639" ht="15.75" customHeight="1">
      <c r="A639" s="23"/>
      <c r="B639" s="24"/>
      <c r="C639" s="25"/>
      <c r="D639" s="26"/>
      <c r="E639" s="26"/>
      <c r="F639" s="26"/>
      <c r="G639" s="37"/>
      <c r="H639" s="37"/>
      <c r="I639" s="37"/>
      <c r="J639" s="37"/>
      <c r="K639" s="37"/>
      <c r="L639" s="23"/>
      <c r="M639" s="23"/>
    </row>
    <row r="640" ht="15.75" customHeight="1">
      <c r="A640" s="23"/>
      <c r="B640" s="24"/>
      <c r="C640" s="25"/>
      <c r="D640" s="26"/>
      <c r="E640" s="26"/>
      <c r="F640" s="26"/>
      <c r="G640" s="37"/>
      <c r="H640" s="37"/>
      <c r="I640" s="37"/>
      <c r="J640" s="37"/>
      <c r="K640" s="37"/>
      <c r="L640" s="23"/>
      <c r="M640" s="23"/>
    </row>
    <row r="641" ht="15.75" customHeight="1">
      <c r="A641" s="23"/>
      <c r="B641" s="24"/>
      <c r="C641" s="25"/>
      <c r="D641" s="26"/>
      <c r="E641" s="26"/>
      <c r="F641" s="26"/>
      <c r="G641" s="37"/>
      <c r="H641" s="37"/>
      <c r="I641" s="37"/>
      <c r="J641" s="37"/>
      <c r="K641" s="37"/>
      <c r="L641" s="23"/>
      <c r="M641" s="23"/>
    </row>
    <row r="642" ht="15.75" customHeight="1">
      <c r="A642" s="23"/>
      <c r="B642" s="24"/>
      <c r="C642" s="25"/>
      <c r="D642" s="26"/>
      <c r="E642" s="26"/>
      <c r="F642" s="26"/>
      <c r="G642" s="37"/>
      <c r="H642" s="37"/>
      <c r="I642" s="37"/>
      <c r="J642" s="37"/>
      <c r="K642" s="37"/>
      <c r="L642" s="23"/>
      <c r="M642" s="23"/>
    </row>
    <row r="643" ht="15.75" customHeight="1">
      <c r="A643" s="23"/>
      <c r="B643" s="24"/>
      <c r="C643" s="25"/>
      <c r="D643" s="26"/>
      <c r="E643" s="26"/>
      <c r="F643" s="26"/>
      <c r="G643" s="37"/>
      <c r="H643" s="37"/>
      <c r="I643" s="37"/>
      <c r="J643" s="37"/>
      <c r="K643" s="37"/>
      <c r="L643" s="23"/>
      <c r="M643" s="23"/>
    </row>
    <row r="644" ht="15.75" customHeight="1">
      <c r="A644" s="23"/>
      <c r="B644" s="24"/>
      <c r="C644" s="25"/>
      <c r="D644" s="26"/>
      <c r="E644" s="26"/>
      <c r="F644" s="26"/>
      <c r="G644" s="37"/>
      <c r="H644" s="37"/>
      <c r="I644" s="37"/>
      <c r="J644" s="37"/>
      <c r="K644" s="37"/>
      <c r="L644" s="23"/>
      <c r="M644" s="23"/>
    </row>
    <row r="645" ht="15.75" customHeight="1">
      <c r="A645" s="23"/>
      <c r="B645" s="24"/>
      <c r="C645" s="25"/>
      <c r="D645" s="26"/>
      <c r="E645" s="26"/>
      <c r="F645" s="26"/>
      <c r="G645" s="37"/>
      <c r="H645" s="37"/>
      <c r="I645" s="37"/>
      <c r="J645" s="37"/>
      <c r="K645" s="37"/>
      <c r="L645" s="23"/>
      <c r="M645" s="23"/>
    </row>
    <row r="646" ht="15.75" customHeight="1">
      <c r="A646" s="23"/>
      <c r="B646" s="24"/>
      <c r="C646" s="25"/>
      <c r="D646" s="26"/>
      <c r="E646" s="26"/>
      <c r="F646" s="26"/>
      <c r="G646" s="37"/>
      <c r="H646" s="37"/>
      <c r="I646" s="37"/>
      <c r="J646" s="37"/>
      <c r="K646" s="37"/>
      <c r="L646" s="23"/>
      <c r="M646" s="23"/>
    </row>
    <row r="647" ht="15.75" customHeight="1">
      <c r="A647" s="23"/>
      <c r="B647" s="24"/>
      <c r="C647" s="25"/>
      <c r="D647" s="26"/>
      <c r="E647" s="26"/>
      <c r="F647" s="26"/>
      <c r="G647" s="37"/>
      <c r="H647" s="37"/>
      <c r="I647" s="37"/>
      <c r="J647" s="37"/>
      <c r="K647" s="37"/>
      <c r="L647" s="23"/>
      <c r="M647" s="23"/>
    </row>
    <row r="648" ht="15.75" customHeight="1">
      <c r="A648" s="23"/>
      <c r="B648" s="24"/>
      <c r="C648" s="25"/>
      <c r="D648" s="26"/>
      <c r="E648" s="26"/>
      <c r="F648" s="26"/>
      <c r="G648" s="37"/>
      <c r="H648" s="37"/>
      <c r="I648" s="37"/>
      <c r="J648" s="37"/>
      <c r="K648" s="37"/>
      <c r="L648" s="23"/>
      <c r="M648" s="23"/>
    </row>
    <row r="649" ht="15.75" customHeight="1">
      <c r="A649" s="23"/>
      <c r="B649" s="24"/>
      <c r="C649" s="25"/>
      <c r="D649" s="26"/>
      <c r="E649" s="26"/>
      <c r="F649" s="26"/>
      <c r="G649" s="37"/>
      <c r="H649" s="37"/>
      <c r="I649" s="37"/>
      <c r="J649" s="37"/>
      <c r="K649" s="37"/>
      <c r="L649" s="23"/>
      <c r="M649" s="23"/>
    </row>
    <row r="650" ht="15.75" customHeight="1">
      <c r="A650" s="23"/>
      <c r="B650" s="24"/>
      <c r="C650" s="25"/>
      <c r="D650" s="26"/>
      <c r="E650" s="26"/>
      <c r="F650" s="26"/>
      <c r="G650" s="37"/>
      <c r="H650" s="37"/>
      <c r="I650" s="37"/>
      <c r="J650" s="37"/>
      <c r="K650" s="37"/>
      <c r="L650" s="23"/>
      <c r="M650" s="23"/>
    </row>
    <row r="651" ht="15.75" customHeight="1">
      <c r="A651" s="23"/>
      <c r="B651" s="24"/>
      <c r="C651" s="25"/>
      <c r="D651" s="26"/>
      <c r="E651" s="26"/>
      <c r="F651" s="26"/>
      <c r="G651" s="37"/>
      <c r="H651" s="37"/>
      <c r="I651" s="37"/>
      <c r="J651" s="37"/>
      <c r="K651" s="37"/>
      <c r="L651" s="23"/>
      <c r="M651" s="23"/>
    </row>
    <row r="652" ht="15.75" customHeight="1">
      <c r="A652" s="23"/>
      <c r="B652" s="24"/>
      <c r="C652" s="25"/>
      <c r="D652" s="26"/>
      <c r="E652" s="26"/>
      <c r="F652" s="26"/>
      <c r="G652" s="37"/>
      <c r="H652" s="37"/>
      <c r="I652" s="37"/>
      <c r="J652" s="37"/>
      <c r="K652" s="37"/>
      <c r="L652" s="23"/>
      <c r="M652" s="23"/>
    </row>
    <row r="653" ht="15.75" customHeight="1">
      <c r="A653" s="23"/>
      <c r="B653" s="24"/>
      <c r="C653" s="25"/>
      <c r="D653" s="26"/>
      <c r="E653" s="26"/>
      <c r="F653" s="26"/>
      <c r="G653" s="37"/>
      <c r="H653" s="37"/>
      <c r="I653" s="37"/>
      <c r="J653" s="37"/>
      <c r="K653" s="37"/>
      <c r="L653" s="23"/>
      <c r="M653" s="23"/>
    </row>
    <row r="654" ht="15.75" customHeight="1">
      <c r="A654" s="23"/>
      <c r="B654" s="24"/>
      <c r="C654" s="25"/>
      <c r="D654" s="26"/>
      <c r="E654" s="26"/>
      <c r="F654" s="26"/>
      <c r="G654" s="37"/>
      <c r="H654" s="37"/>
      <c r="I654" s="37"/>
      <c r="J654" s="37"/>
      <c r="K654" s="37"/>
      <c r="L654" s="23"/>
      <c r="M654" s="23"/>
    </row>
    <row r="655" ht="15.75" customHeight="1">
      <c r="A655" s="23"/>
      <c r="B655" s="24"/>
      <c r="C655" s="25"/>
      <c r="D655" s="26"/>
      <c r="E655" s="26"/>
      <c r="F655" s="26"/>
      <c r="G655" s="37"/>
      <c r="H655" s="37"/>
      <c r="I655" s="37"/>
      <c r="J655" s="37"/>
      <c r="K655" s="37"/>
      <c r="L655" s="23"/>
      <c r="M655" s="23"/>
    </row>
    <row r="656" ht="15.75" customHeight="1">
      <c r="A656" s="23"/>
      <c r="B656" s="24"/>
      <c r="C656" s="25"/>
      <c r="D656" s="26"/>
      <c r="E656" s="26"/>
      <c r="F656" s="26"/>
      <c r="G656" s="37"/>
      <c r="H656" s="37"/>
      <c r="I656" s="37"/>
      <c r="J656" s="37"/>
      <c r="K656" s="37"/>
      <c r="L656" s="23"/>
      <c r="M656" s="23"/>
    </row>
    <row r="657" ht="15.75" customHeight="1">
      <c r="A657" s="23"/>
      <c r="B657" s="24"/>
      <c r="C657" s="25"/>
      <c r="D657" s="26"/>
      <c r="E657" s="26"/>
      <c r="F657" s="26"/>
      <c r="G657" s="37"/>
      <c r="H657" s="37"/>
      <c r="I657" s="37"/>
      <c r="J657" s="37"/>
      <c r="K657" s="37"/>
      <c r="L657" s="23"/>
      <c r="M657" s="23"/>
    </row>
    <row r="658" ht="15.75" customHeight="1">
      <c r="A658" s="23"/>
      <c r="B658" s="24"/>
      <c r="C658" s="25"/>
      <c r="D658" s="26"/>
      <c r="E658" s="26"/>
      <c r="F658" s="26"/>
      <c r="G658" s="37"/>
      <c r="H658" s="37"/>
      <c r="I658" s="37"/>
      <c r="J658" s="37"/>
      <c r="K658" s="37"/>
      <c r="L658" s="23"/>
      <c r="M658" s="23"/>
    </row>
    <row r="659" ht="15.75" customHeight="1">
      <c r="A659" s="23"/>
      <c r="B659" s="24"/>
      <c r="C659" s="25"/>
      <c r="D659" s="26"/>
      <c r="E659" s="26"/>
      <c r="F659" s="26"/>
      <c r="G659" s="37"/>
      <c r="H659" s="37"/>
      <c r="I659" s="37"/>
      <c r="J659" s="37"/>
      <c r="K659" s="37"/>
      <c r="L659" s="23"/>
      <c r="M659" s="23"/>
    </row>
    <row r="660" ht="15.75" customHeight="1">
      <c r="A660" s="23"/>
      <c r="B660" s="24"/>
      <c r="C660" s="25"/>
      <c r="D660" s="26"/>
      <c r="E660" s="26"/>
      <c r="F660" s="26"/>
      <c r="G660" s="37"/>
      <c r="H660" s="37"/>
      <c r="I660" s="37"/>
      <c r="J660" s="37"/>
      <c r="K660" s="37"/>
      <c r="L660" s="23"/>
      <c r="M660" s="23"/>
    </row>
    <row r="661" ht="15.75" customHeight="1">
      <c r="A661" s="23"/>
      <c r="B661" s="24"/>
      <c r="C661" s="25"/>
      <c r="D661" s="26"/>
      <c r="E661" s="26"/>
      <c r="F661" s="26"/>
      <c r="G661" s="37"/>
      <c r="H661" s="37"/>
      <c r="I661" s="37"/>
      <c r="J661" s="37"/>
      <c r="K661" s="37"/>
      <c r="L661" s="23"/>
      <c r="M661" s="23"/>
    </row>
    <row r="662" ht="15.75" customHeight="1">
      <c r="A662" s="23"/>
      <c r="B662" s="24"/>
      <c r="C662" s="25"/>
      <c r="D662" s="26"/>
      <c r="E662" s="26"/>
      <c r="F662" s="26"/>
      <c r="G662" s="37"/>
      <c r="H662" s="37"/>
      <c r="I662" s="37"/>
      <c r="J662" s="37"/>
      <c r="K662" s="37"/>
      <c r="L662" s="23"/>
      <c r="M662" s="23"/>
    </row>
    <row r="663" ht="15.75" customHeight="1">
      <c r="A663" s="23"/>
      <c r="B663" s="24"/>
      <c r="C663" s="25"/>
      <c r="D663" s="26"/>
      <c r="E663" s="26"/>
      <c r="F663" s="26"/>
      <c r="G663" s="37"/>
      <c r="H663" s="37"/>
      <c r="I663" s="37"/>
      <c r="J663" s="37"/>
      <c r="K663" s="37"/>
      <c r="L663" s="23"/>
      <c r="M663" s="23"/>
    </row>
    <row r="664" ht="15.75" customHeight="1">
      <c r="A664" s="23"/>
      <c r="B664" s="24"/>
      <c r="C664" s="25"/>
      <c r="D664" s="26"/>
      <c r="E664" s="26"/>
      <c r="F664" s="26"/>
      <c r="G664" s="37"/>
      <c r="H664" s="37"/>
      <c r="I664" s="37"/>
      <c r="J664" s="37"/>
      <c r="K664" s="37"/>
      <c r="L664" s="23"/>
      <c r="M664" s="23"/>
    </row>
    <row r="665" ht="15.75" customHeight="1">
      <c r="A665" s="23"/>
      <c r="B665" s="24"/>
      <c r="C665" s="25"/>
      <c r="D665" s="26"/>
      <c r="E665" s="26"/>
      <c r="F665" s="26"/>
      <c r="G665" s="37"/>
      <c r="H665" s="37"/>
      <c r="I665" s="37"/>
      <c r="J665" s="37"/>
      <c r="K665" s="37"/>
      <c r="L665" s="23"/>
      <c r="M665" s="23"/>
    </row>
    <row r="666" ht="15.75" customHeight="1">
      <c r="A666" s="23"/>
      <c r="B666" s="24"/>
      <c r="C666" s="25"/>
      <c r="D666" s="26"/>
      <c r="E666" s="26"/>
      <c r="F666" s="26"/>
      <c r="G666" s="37"/>
      <c r="H666" s="37"/>
      <c r="I666" s="37"/>
      <c r="J666" s="37"/>
      <c r="K666" s="37"/>
      <c r="L666" s="23"/>
      <c r="M666" s="23"/>
    </row>
    <row r="667" ht="15.75" customHeight="1">
      <c r="A667" s="23"/>
      <c r="B667" s="24"/>
      <c r="C667" s="25"/>
      <c r="D667" s="26"/>
      <c r="E667" s="26"/>
      <c r="F667" s="26"/>
      <c r="G667" s="37"/>
      <c r="H667" s="37"/>
      <c r="I667" s="37"/>
      <c r="J667" s="37"/>
      <c r="K667" s="37"/>
      <c r="L667" s="23"/>
      <c r="M667" s="23"/>
    </row>
    <row r="668" ht="15.75" customHeight="1">
      <c r="A668" s="23"/>
      <c r="B668" s="24"/>
      <c r="C668" s="25"/>
      <c r="D668" s="26"/>
      <c r="E668" s="26"/>
      <c r="F668" s="26"/>
      <c r="G668" s="37"/>
      <c r="H668" s="37"/>
      <c r="I668" s="37"/>
      <c r="J668" s="37"/>
      <c r="K668" s="37"/>
      <c r="L668" s="23"/>
      <c r="M668" s="23"/>
    </row>
    <row r="669" ht="15.75" customHeight="1">
      <c r="A669" s="23"/>
      <c r="B669" s="24"/>
      <c r="C669" s="25"/>
      <c r="D669" s="26"/>
      <c r="E669" s="26"/>
      <c r="F669" s="26"/>
      <c r="G669" s="37"/>
      <c r="H669" s="37"/>
      <c r="I669" s="37"/>
      <c r="J669" s="37"/>
      <c r="K669" s="37"/>
      <c r="L669" s="23"/>
      <c r="M669" s="23"/>
    </row>
    <row r="670" ht="15.75" customHeight="1">
      <c r="A670" s="23"/>
      <c r="B670" s="24"/>
      <c r="C670" s="25"/>
      <c r="D670" s="26"/>
      <c r="E670" s="26"/>
      <c r="F670" s="26"/>
      <c r="G670" s="37"/>
      <c r="H670" s="37"/>
      <c r="I670" s="37"/>
      <c r="J670" s="37"/>
      <c r="K670" s="37"/>
      <c r="L670" s="23"/>
      <c r="M670" s="23"/>
    </row>
    <row r="671" ht="15.75" customHeight="1">
      <c r="A671" s="23"/>
      <c r="B671" s="24"/>
      <c r="C671" s="25"/>
      <c r="D671" s="26"/>
      <c r="E671" s="26"/>
      <c r="F671" s="26"/>
      <c r="G671" s="37"/>
      <c r="H671" s="37"/>
      <c r="I671" s="37"/>
      <c r="J671" s="37"/>
      <c r="K671" s="37"/>
      <c r="L671" s="23"/>
      <c r="M671" s="23"/>
    </row>
    <row r="672" ht="15.75" customHeight="1">
      <c r="A672" s="23"/>
      <c r="B672" s="24"/>
      <c r="C672" s="25"/>
      <c r="D672" s="26"/>
      <c r="E672" s="26"/>
      <c r="F672" s="26"/>
      <c r="G672" s="37"/>
      <c r="H672" s="37"/>
      <c r="I672" s="37"/>
      <c r="J672" s="37"/>
      <c r="K672" s="37"/>
      <c r="L672" s="23"/>
      <c r="M672" s="23"/>
    </row>
    <row r="673" ht="15.75" customHeight="1">
      <c r="A673" s="23"/>
      <c r="B673" s="24"/>
      <c r="C673" s="25"/>
      <c r="D673" s="26"/>
      <c r="E673" s="26"/>
      <c r="F673" s="26"/>
      <c r="G673" s="37"/>
      <c r="H673" s="37"/>
      <c r="I673" s="37"/>
      <c r="J673" s="37"/>
      <c r="K673" s="37"/>
      <c r="L673" s="23"/>
      <c r="M673" s="23"/>
    </row>
    <row r="674" ht="15.75" customHeight="1">
      <c r="A674" s="23"/>
      <c r="B674" s="24"/>
      <c r="C674" s="25"/>
      <c r="D674" s="26"/>
      <c r="E674" s="26"/>
      <c r="F674" s="26"/>
      <c r="G674" s="37"/>
      <c r="H674" s="37"/>
      <c r="I674" s="37"/>
      <c r="J674" s="37"/>
      <c r="K674" s="37"/>
      <c r="L674" s="23"/>
      <c r="M674" s="23"/>
    </row>
    <row r="675" ht="15.75" customHeight="1">
      <c r="A675" s="23"/>
      <c r="B675" s="24"/>
      <c r="C675" s="25"/>
      <c r="D675" s="26"/>
      <c r="E675" s="26"/>
      <c r="F675" s="26"/>
      <c r="G675" s="37"/>
      <c r="H675" s="37"/>
      <c r="I675" s="37"/>
      <c r="J675" s="37"/>
      <c r="K675" s="37"/>
      <c r="L675" s="23"/>
      <c r="M675" s="23"/>
    </row>
    <row r="676" ht="15.75" customHeight="1">
      <c r="A676" s="23"/>
      <c r="B676" s="24"/>
      <c r="C676" s="25"/>
      <c r="D676" s="26"/>
      <c r="E676" s="26"/>
      <c r="F676" s="26"/>
      <c r="G676" s="37"/>
      <c r="H676" s="37"/>
      <c r="I676" s="37"/>
      <c r="J676" s="37"/>
      <c r="K676" s="37"/>
      <c r="L676" s="23"/>
      <c r="M676" s="23"/>
    </row>
    <row r="677" ht="15.75" customHeight="1">
      <c r="A677" s="23"/>
      <c r="B677" s="24"/>
      <c r="C677" s="25"/>
      <c r="D677" s="26"/>
      <c r="E677" s="26"/>
      <c r="F677" s="26"/>
      <c r="G677" s="37"/>
      <c r="H677" s="37"/>
      <c r="I677" s="37"/>
      <c r="J677" s="37"/>
      <c r="K677" s="37"/>
      <c r="L677" s="23"/>
      <c r="M677" s="23"/>
    </row>
    <row r="678" ht="15.75" customHeight="1">
      <c r="A678" s="23"/>
      <c r="B678" s="24"/>
      <c r="C678" s="25"/>
      <c r="D678" s="26"/>
      <c r="E678" s="26"/>
      <c r="F678" s="26"/>
      <c r="G678" s="37"/>
      <c r="H678" s="37"/>
      <c r="I678" s="37"/>
      <c r="J678" s="37"/>
      <c r="K678" s="37"/>
      <c r="L678" s="23"/>
      <c r="M678" s="23"/>
    </row>
    <row r="679" ht="15.75" customHeight="1">
      <c r="A679" s="23"/>
      <c r="B679" s="24"/>
      <c r="C679" s="25"/>
      <c r="D679" s="26"/>
      <c r="E679" s="26"/>
      <c r="F679" s="26"/>
      <c r="G679" s="37"/>
      <c r="H679" s="37"/>
      <c r="I679" s="37"/>
      <c r="J679" s="37"/>
      <c r="K679" s="37"/>
      <c r="L679" s="23"/>
      <c r="M679" s="23"/>
    </row>
    <row r="680" ht="15.75" customHeight="1">
      <c r="A680" s="23"/>
      <c r="B680" s="24"/>
      <c r="C680" s="25"/>
      <c r="D680" s="26"/>
      <c r="E680" s="26"/>
      <c r="F680" s="26"/>
      <c r="G680" s="37"/>
      <c r="H680" s="37"/>
      <c r="I680" s="37"/>
      <c r="J680" s="37"/>
      <c r="K680" s="37"/>
      <c r="L680" s="23"/>
      <c r="M680" s="23"/>
    </row>
    <row r="681" ht="15.75" customHeight="1">
      <c r="A681" s="23"/>
      <c r="B681" s="24"/>
      <c r="C681" s="25"/>
      <c r="D681" s="26"/>
      <c r="E681" s="26"/>
      <c r="F681" s="26"/>
      <c r="G681" s="37"/>
      <c r="H681" s="37"/>
      <c r="I681" s="37"/>
      <c r="J681" s="37"/>
      <c r="K681" s="37"/>
      <c r="L681" s="23"/>
      <c r="M681" s="23"/>
    </row>
    <row r="682" ht="15.75" customHeight="1">
      <c r="A682" s="23"/>
      <c r="B682" s="24"/>
      <c r="C682" s="25"/>
      <c r="D682" s="26"/>
      <c r="E682" s="26"/>
      <c r="F682" s="26"/>
      <c r="G682" s="37"/>
      <c r="H682" s="37"/>
      <c r="I682" s="37"/>
      <c r="J682" s="37"/>
      <c r="K682" s="37"/>
      <c r="L682" s="23"/>
      <c r="M682" s="23"/>
    </row>
    <row r="683" ht="15.75" customHeight="1">
      <c r="A683" s="23"/>
      <c r="B683" s="24"/>
      <c r="C683" s="25"/>
      <c r="D683" s="26"/>
      <c r="E683" s="26"/>
      <c r="F683" s="26"/>
      <c r="G683" s="37"/>
      <c r="H683" s="37"/>
      <c r="I683" s="37"/>
      <c r="J683" s="37"/>
      <c r="K683" s="37"/>
      <c r="L683" s="23"/>
      <c r="M683" s="23"/>
    </row>
    <row r="684" ht="15.75" customHeight="1">
      <c r="A684" s="23"/>
      <c r="B684" s="24"/>
      <c r="C684" s="25"/>
      <c r="D684" s="26"/>
      <c r="E684" s="26"/>
      <c r="F684" s="26"/>
      <c r="G684" s="37"/>
      <c r="H684" s="37"/>
      <c r="I684" s="37"/>
      <c r="J684" s="37"/>
      <c r="K684" s="37"/>
      <c r="L684" s="23"/>
      <c r="M684" s="23"/>
    </row>
    <row r="685" ht="15.75" customHeight="1">
      <c r="A685" s="23"/>
      <c r="B685" s="24"/>
      <c r="C685" s="25"/>
      <c r="D685" s="26"/>
      <c r="E685" s="26"/>
      <c r="F685" s="26"/>
      <c r="G685" s="37"/>
      <c r="H685" s="37"/>
      <c r="I685" s="37"/>
      <c r="J685" s="37"/>
      <c r="K685" s="37"/>
      <c r="L685" s="23"/>
      <c r="M685" s="23"/>
    </row>
    <row r="686" ht="15.75" customHeight="1">
      <c r="A686" s="23"/>
      <c r="B686" s="24"/>
      <c r="C686" s="25"/>
      <c r="D686" s="26"/>
      <c r="E686" s="26"/>
      <c r="F686" s="26"/>
      <c r="G686" s="37"/>
      <c r="H686" s="37"/>
      <c r="I686" s="37"/>
      <c r="J686" s="37"/>
      <c r="K686" s="37"/>
      <c r="L686" s="23"/>
      <c r="M686" s="23"/>
    </row>
    <row r="687" ht="15.75" customHeight="1">
      <c r="A687" s="23"/>
      <c r="B687" s="24"/>
      <c r="C687" s="25"/>
      <c r="D687" s="26"/>
      <c r="E687" s="26"/>
      <c r="F687" s="26"/>
      <c r="G687" s="37"/>
      <c r="H687" s="37"/>
      <c r="I687" s="37"/>
      <c r="J687" s="37"/>
      <c r="K687" s="37"/>
      <c r="L687" s="23"/>
      <c r="M687" s="23"/>
    </row>
    <row r="688" ht="15.75" customHeight="1">
      <c r="A688" s="23"/>
      <c r="B688" s="24"/>
      <c r="C688" s="25"/>
      <c r="D688" s="26"/>
      <c r="E688" s="26"/>
      <c r="F688" s="26"/>
      <c r="G688" s="37"/>
      <c r="H688" s="37"/>
      <c r="I688" s="37"/>
      <c r="J688" s="37"/>
      <c r="K688" s="37"/>
      <c r="L688" s="23"/>
      <c r="M688" s="23"/>
    </row>
    <row r="689" ht="15.75" customHeight="1">
      <c r="A689" s="23"/>
      <c r="B689" s="24"/>
      <c r="C689" s="25"/>
      <c r="D689" s="26"/>
      <c r="E689" s="26"/>
      <c r="F689" s="26"/>
      <c r="G689" s="37"/>
      <c r="H689" s="37"/>
      <c r="I689" s="37"/>
      <c r="J689" s="37"/>
      <c r="K689" s="37"/>
      <c r="L689" s="23"/>
      <c r="M689" s="23"/>
    </row>
    <row r="690" ht="15.75" customHeight="1">
      <c r="A690" s="23"/>
      <c r="B690" s="24"/>
      <c r="C690" s="25"/>
      <c r="D690" s="26"/>
      <c r="E690" s="26"/>
      <c r="F690" s="26"/>
      <c r="G690" s="37"/>
      <c r="H690" s="37"/>
      <c r="I690" s="37"/>
      <c r="J690" s="37"/>
      <c r="K690" s="37"/>
      <c r="L690" s="23"/>
      <c r="M690" s="23"/>
    </row>
    <row r="691" ht="15.75" customHeight="1">
      <c r="A691" s="23"/>
      <c r="B691" s="24"/>
      <c r="C691" s="25"/>
      <c r="D691" s="26"/>
      <c r="E691" s="26"/>
      <c r="F691" s="26"/>
      <c r="G691" s="37"/>
      <c r="H691" s="37"/>
      <c r="I691" s="37"/>
      <c r="J691" s="37"/>
      <c r="K691" s="37"/>
      <c r="L691" s="23"/>
      <c r="M691" s="23"/>
    </row>
    <row r="692" ht="15.75" customHeight="1">
      <c r="A692" s="23"/>
      <c r="B692" s="24"/>
      <c r="C692" s="25"/>
      <c r="D692" s="26"/>
      <c r="E692" s="26"/>
      <c r="F692" s="26"/>
      <c r="G692" s="37"/>
      <c r="H692" s="37"/>
      <c r="I692" s="37"/>
      <c r="J692" s="37"/>
      <c r="K692" s="37"/>
      <c r="L692" s="23"/>
      <c r="M692" s="23"/>
    </row>
    <row r="693" ht="15.75" customHeight="1">
      <c r="A693" s="23"/>
      <c r="B693" s="24"/>
      <c r="C693" s="25"/>
      <c r="D693" s="26"/>
      <c r="E693" s="26"/>
      <c r="F693" s="26"/>
      <c r="G693" s="37"/>
      <c r="H693" s="37"/>
      <c r="I693" s="37"/>
      <c r="J693" s="37"/>
      <c r="K693" s="37"/>
      <c r="L693" s="23"/>
      <c r="M693" s="23"/>
    </row>
    <row r="694" ht="15.75" customHeight="1">
      <c r="A694" s="23"/>
      <c r="B694" s="24"/>
      <c r="C694" s="25"/>
      <c r="D694" s="26"/>
      <c r="E694" s="26"/>
      <c r="F694" s="26"/>
      <c r="G694" s="37"/>
      <c r="H694" s="37"/>
      <c r="I694" s="37"/>
      <c r="J694" s="37"/>
      <c r="K694" s="37"/>
      <c r="L694" s="23"/>
      <c r="M694" s="23"/>
    </row>
    <row r="695" ht="15.75" customHeight="1">
      <c r="A695" s="23"/>
      <c r="B695" s="24"/>
      <c r="C695" s="25"/>
      <c r="D695" s="26"/>
      <c r="E695" s="26"/>
      <c r="F695" s="26"/>
      <c r="G695" s="37"/>
      <c r="H695" s="37"/>
      <c r="I695" s="37"/>
      <c r="J695" s="37"/>
      <c r="K695" s="37"/>
      <c r="L695" s="23"/>
      <c r="M695" s="23"/>
    </row>
    <row r="696" ht="15.75" customHeight="1">
      <c r="A696" s="23"/>
      <c r="B696" s="24"/>
      <c r="C696" s="25"/>
      <c r="D696" s="26"/>
      <c r="E696" s="26"/>
      <c r="F696" s="26"/>
      <c r="G696" s="37"/>
      <c r="H696" s="37"/>
      <c r="I696" s="37"/>
      <c r="J696" s="37"/>
      <c r="K696" s="37"/>
      <c r="L696" s="23"/>
      <c r="M696" s="23"/>
    </row>
    <row r="697" ht="15.75" customHeight="1">
      <c r="A697" s="23"/>
      <c r="B697" s="24"/>
      <c r="C697" s="25"/>
      <c r="D697" s="26"/>
      <c r="E697" s="26"/>
      <c r="F697" s="26"/>
      <c r="G697" s="37"/>
      <c r="H697" s="37"/>
      <c r="I697" s="37"/>
      <c r="J697" s="37"/>
      <c r="K697" s="37"/>
      <c r="L697" s="23"/>
      <c r="M697" s="23"/>
    </row>
    <row r="698" ht="15.75" customHeight="1">
      <c r="A698" s="23"/>
      <c r="B698" s="24"/>
      <c r="C698" s="25"/>
      <c r="D698" s="26"/>
      <c r="E698" s="26"/>
      <c r="F698" s="26"/>
      <c r="G698" s="37"/>
      <c r="H698" s="37"/>
      <c r="I698" s="37"/>
      <c r="J698" s="37"/>
      <c r="K698" s="37"/>
      <c r="L698" s="23"/>
      <c r="M698" s="23"/>
    </row>
    <row r="699" ht="15.75" customHeight="1">
      <c r="A699" s="23"/>
      <c r="B699" s="24"/>
      <c r="C699" s="25"/>
      <c r="D699" s="26"/>
      <c r="E699" s="26"/>
      <c r="F699" s="26"/>
      <c r="G699" s="37"/>
      <c r="H699" s="37"/>
      <c r="I699" s="37"/>
      <c r="J699" s="37"/>
      <c r="K699" s="37"/>
      <c r="L699" s="23"/>
      <c r="M699" s="23"/>
    </row>
    <row r="700" ht="15.75" customHeight="1">
      <c r="A700" s="23"/>
      <c r="B700" s="24"/>
      <c r="C700" s="25"/>
      <c r="D700" s="26"/>
      <c r="E700" s="26"/>
      <c r="F700" s="26"/>
      <c r="G700" s="37"/>
      <c r="H700" s="37"/>
      <c r="I700" s="37"/>
      <c r="J700" s="37"/>
      <c r="K700" s="37"/>
      <c r="L700" s="23"/>
      <c r="M700" s="23"/>
    </row>
    <row r="701" ht="15.75" customHeight="1">
      <c r="A701" s="23"/>
      <c r="B701" s="24"/>
      <c r="C701" s="25"/>
      <c r="D701" s="26"/>
      <c r="E701" s="26"/>
      <c r="F701" s="26"/>
      <c r="G701" s="37"/>
      <c r="H701" s="37"/>
      <c r="I701" s="37"/>
      <c r="J701" s="37"/>
      <c r="K701" s="37"/>
      <c r="L701" s="23"/>
      <c r="M701" s="23"/>
    </row>
    <row r="702" ht="15.75" customHeight="1">
      <c r="A702" s="23"/>
      <c r="B702" s="24"/>
      <c r="C702" s="25"/>
      <c r="D702" s="26"/>
      <c r="E702" s="26"/>
      <c r="F702" s="26"/>
      <c r="G702" s="37"/>
      <c r="H702" s="37"/>
      <c r="I702" s="37"/>
      <c r="J702" s="37"/>
      <c r="K702" s="37"/>
      <c r="L702" s="23"/>
      <c r="M702" s="23"/>
    </row>
    <row r="703" ht="15.75" customHeight="1">
      <c r="A703" s="23"/>
      <c r="B703" s="24"/>
      <c r="C703" s="25"/>
      <c r="D703" s="26"/>
      <c r="E703" s="26"/>
      <c r="F703" s="26"/>
      <c r="G703" s="37"/>
      <c r="H703" s="37"/>
      <c r="I703" s="37"/>
      <c r="J703" s="37"/>
      <c r="K703" s="37"/>
      <c r="L703" s="23"/>
      <c r="M703" s="23"/>
    </row>
    <row r="704" ht="15.75" customHeight="1">
      <c r="A704" s="23"/>
      <c r="B704" s="24"/>
      <c r="C704" s="25"/>
      <c r="D704" s="26"/>
      <c r="E704" s="26"/>
      <c r="F704" s="26"/>
      <c r="G704" s="37"/>
      <c r="H704" s="37"/>
      <c r="I704" s="37"/>
      <c r="J704" s="37"/>
      <c r="K704" s="37"/>
      <c r="L704" s="23"/>
      <c r="M704" s="23"/>
    </row>
    <row r="705" ht="15.75" customHeight="1">
      <c r="A705" s="23"/>
      <c r="B705" s="24"/>
      <c r="C705" s="25"/>
      <c r="D705" s="26"/>
      <c r="E705" s="26"/>
      <c r="F705" s="26"/>
      <c r="G705" s="37"/>
      <c r="H705" s="37"/>
      <c r="I705" s="37"/>
      <c r="J705" s="37"/>
      <c r="K705" s="37"/>
      <c r="L705" s="23"/>
      <c r="M705" s="23"/>
    </row>
    <row r="706" ht="15.75" customHeight="1">
      <c r="A706" s="23"/>
      <c r="B706" s="24"/>
      <c r="C706" s="25"/>
      <c r="D706" s="26"/>
      <c r="E706" s="26"/>
      <c r="F706" s="26"/>
      <c r="G706" s="37"/>
      <c r="H706" s="37"/>
      <c r="I706" s="37"/>
      <c r="J706" s="37"/>
      <c r="K706" s="37"/>
      <c r="L706" s="23"/>
      <c r="M706" s="23"/>
    </row>
    <row r="707" ht="15.75" customHeight="1">
      <c r="A707" s="23"/>
      <c r="B707" s="24"/>
      <c r="C707" s="25"/>
      <c r="D707" s="26"/>
      <c r="E707" s="26"/>
      <c r="F707" s="26"/>
      <c r="G707" s="37"/>
      <c r="H707" s="37"/>
      <c r="I707" s="37"/>
      <c r="J707" s="37"/>
      <c r="K707" s="37"/>
      <c r="L707" s="23"/>
      <c r="M707" s="23"/>
    </row>
    <row r="708" ht="15.75" customHeight="1">
      <c r="A708" s="23"/>
      <c r="B708" s="24"/>
      <c r="C708" s="25"/>
      <c r="D708" s="26"/>
      <c r="E708" s="26"/>
      <c r="F708" s="26"/>
      <c r="G708" s="37"/>
      <c r="H708" s="37"/>
      <c r="I708" s="37"/>
      <c r="J708" s="37"/>
      <c r="K708" s="37"/>
      <c r="L708" s="23"/>
      <c r="M708" s="23"/>
    </row>
    <row r="709" ht="15.75" customHeight="1">
      <c r="A709" s="23"/>
      <c r="B709" s="24"/>
      <c r="C709" s="25"/>
      <c r="D709" s="26"/>
      <c r="E709" s="26"/>
      <c r="F709" s="26"/>
      <c r="G709" s="37"/>
      <c r="H709" s="37"/>
      <c r="I709" s="37"/>
      <c r="J709" s="37"/>
      <c r="K709" s="37"/>
      <c r="L709" s="23"/>
      <c r="M709" s="23"/>
    </row>
    <row r="710" ht="15.75" customHeight="1">
      <c r="A710" s="23"/>
      <c r="B710" s="24"/>
      <c r="C710" s="25"/>
      <c r="D710" s="26"/>
      <c r="E710" s="26"/>
      <c r="F710" s="26"/>
      <c r="G710" s="37"/>
      <c r="H710" s="37"/>
      <c r="I710" s="37"/>
      <c r="J710" s="37"/>
      <c r="K710" s="37"/>
      <c r="L710" s="23"/>
      <c r="M710" s="23"/>
    </row>
    <row r="711" ht="15.75" customHeight="1">
      <c r="A711" s="23"/>
      <c r="B711" s="24"/>
      <c r="C711" s="25"/>
      <c r="D711" s="26"/>
      <c r="E711" s="26"/>
      <c r="F711" s="26"/>
      <c r="G711" s="37"/>
      <c r="H711" s="37"/>
      <c r="I711" s="37"/>
      <c r="J711" s="37"/>
      <c r="K711" s="37"/>
      <c r="L711" s="23"/>
      <c r="M711" s="23"/>
    </row>
    <row r="712" ht="15.75" customHeight="1">
      <c r="A712" s="23"/>
      <c r="B712" s="24"/>
      <c r="C712" s="25"/>
      <c r="D712" s="26"/>
      <c r="E712" s="26"/>
      <c r="F712" s="26"/>
      <c r="G712" s="37"/>
      <c r="H712" s="37"/>
      <c r="I712" s="37"/>
      <c r="J712" s="37"/>
      <c r="K712" s="37"/>
      <c r="L712" s="23"/>
      <c r="M712" s="23"/>
    </row>
    <row r="713" ht="15.75" customHeight="1">
      <c r="A713" s="23"/>
      <c r="B713" s="24"/>
      <c r="C713" s="25"/>
      <c r="D713" s="26"/>
      <c r="E713" s="26"/>
      <c r="F713" s="26"/>
      <c r="G713" s="37"/>
      <c r="H713" s="37"/>
      <c r="I713" s="37"/>
      <c r="J713" s="37"/>
      <c r="K713" s="37"/>
      <c r="L713" s="23"/>
      <c r="M713" s="23"/>
    </row>
    <row r="714" ht="15.75" customHeight="1">
      <c r="A714" s="23"/>
      <c r="B714" s="24"/>
      <c r="C714" s="25"/>
      <c r="D714" s="26"/>
      <c r="E714" s="26"/>
      <c r="F714" s="26"/>
      <c r="G714" s="37"/>
      <c r="H714" s="37"/>
      <c r="I714" s="37"/>
      <c r="J714" s="37"/>
      <c r="K714" s="37"/>
      <c r="L714" s="23"/>
      <c r="M714" s="23"/>
    </row>
    <row r="715" ht="15.75" customHeight="1">
      <c r="A715" s="23"/>
      <c r="B715" s="24"/>
      <c r="C715" s="25"/>
      <c r="D715" s="26"/>
      <c r="E715" s="26"/>
      <c r="F715" s="26"/>
      <c r="G715" s="37"/>
      <c r="H715" s="37"/>
      <c r="I715" s="37"/>
      <c r="J715" s="37"/>
      <c r="K715" s="37"/>
      <c r="L715" s="23"/>
      <c r="M715" s="23"/>
    </row>
    <row r="716" ht="15.75" customHeight="1">
      <c r="A716" s="23"/>
      <c r="B716" s="24"/>
      <c r="C716" s="25"/>
      <c r="D716" s="26"/>
      <c r="E716" s="26"/>
      <c r="F716" s="26"/>
      <c r="G716" s="37"/>
      <c r="H716" s="37"/>
      <c r="I716" s="37"/>
      <c r="J716" s="37"/>
      <c r="K716" s="37"/>
      <c r="L716" s="23"/>
      <c r="M716" s="23"/>
    </row>
    <row r="717" ht="15.75" customHeight="1">
      <c r="A717" s="23"/>
      <c r="B717" s="24"/>
      <c r="C717" s="25"/>
      <c r="D717" s="26"/>
      <c r="E717" s="26"/>
      <c r="F717" s="26"/>
      <c r="G717" s="37"/>
      <c r="H717" s="37"/>
      <c r="I717" s="37"/>
      <c r="J717" s="37"/>
      <c r="K717" s="37"/>
      <c r="L717" s="23"/>
      <c r="M717" s="23"/>
    </row>
    <row r="718" ht="15.75" customHeight="1">
      <c r="A718" s="23"/>
      <c r="B718" s="24"/>
      <c r="C718" s="25"/>
      <c r="D718" s="26"/>
      <c r="E718" s="26"/>
      <c r="F718" s="26"/>
      <c r="G718" s="37"/>
      <c r="H718" s="37"/>
      <c r="I718" s="37"/>
      <c r="J718" s="37"/>
      <c r="K718" s="37"/>
      <c r="L718" s="23"/>
      <c r="M718" s="23"/>
    </row>
    <row r="719" ht="15.75" customHeight="1">
      <c r="A719" s="23"/>
      <c r="B719" s="24"/>
      <c r="C719" s="25"/>
      <c r="D719" s="26"/>
      <c r="E719" s="26"/>
      <c r="F719" s="26"/>
      <c r="G719" s="37"/>
      <c r="H719" s="37"/>
      <c r="I719" s="37"/>
      <c r="J719" s="37"/>
      <c r="K719" s="37"/>
      <c r="L719" s="23"/>
      <c r="M719" s="23"/>
    </row>
    <row r="720" ht="15.75" customHeight="1">
      <c r="A720" s="23"/>
      <c r="B720" s="24"/>
      <c r="C720" s="25"/>
      <c r="D720" s="26"/>
      <c r="E720" s="26"/>
      <c r="F720" s="26"/>
      <c r="G720" s="37"/>
      <c r="H720" s="37"/>
      <c r="I720" s="37"/>
      <c r="J720" s="37"/>
      <c r="K720" s="37"/>
      <c r="L720" s="23"/>
      <c r="M720" s="23"/>
    </row>
    <row r="721" ht="15.75" customHeight="1">
      <c r="A721" s="23"/>
      <c r="B721" s="24"/>
      <c r="C721" s="25"/>
      <c r="D721" s="26"/>
      <c r="E721" s="26"/>
      <c r="F721" s="26"/>
      <c r="G721" s="37"/>
      <c r="H721" s="37"/>
      <c r="I721" s="37"/>
      <c r="J721" s="37"/>
      <c r="K721" s="37"/>
      <c r="L721" s="23"/>
      <c r="M721" s="23"/>
    </row>
    <row r="722" ht="15.75" customHeight="1">
      <c r="A722" s="23"/>
      <c r="B722" s="24"/>
      <c r="C722" s="25"/>
      <c r="D722" s="26"/>
      <c r="E722" s="26"/>
      <c r="F722" s="26"/>
      <c r="G722" s="37"/>
      <c r="H722" s="37"/>
      <c r="I722" s="37"/>
      <c r="J722" s="37"/>
      <c r="K722" s="37"/>
      <c r="L722" s="23"/>
      <c r="M722" s="23"/>
    </row>
    <row r="723" ht="15.75" customHeight="1">
      <c r="A723" s="23"/>
      <c r="B723" s="24"/>
      <c r="C723" s="25"/>
      <c r="D723" s="26"/>
      <c r="E723" s="26"/>
      <c r="F723" s="26"/>
      <c r="G723" s="37"/>
      <c r="H723" s="37"/>
      <c r="I723" s="37"/>
      <c r="J723" s="37"/>
      <c r="K723" s="37"/>
      <c r="L723" s="23"/>
      <c r="M723" s="23"/>
    </row>
    <row r="724" ht="15.75" customHeight="1">
      <c r="A724" s="23"/>
      <c r="B724" s="24"/>
      <c r="C724" s="25"/>
      <c r="D724" s="26"/>
      <c r="E724" s="26"/>
      <c r="F724" s="26"/>
      <c r="G724" s="37"/>
      <c r="H724" s="37"/>
      <c r="I724" s="37"/>
      <c r="J724" s="37"/>
      <c r="K724" s="37"/>
      <c r="L724" s="23"/>
      <c r="M724" s="23"/>
    </row>
    <row r="725" ht="15.75" customHeight="1">
      <c r="A725" s="23"/>
      <c r="B725" s="24"/>
      <c r="C725" s="25"/>
      <c r="D725" s="26"/>
      <c r="E725" s="26"/>
      <c r="F725" s="26"/>
      <c r="G725" s="37"/>
      <c r="H725" s="37"/>
      <c r="I725" s="37"/>
      <c r="J725" s="37"/>
      <c r="K725" s="37"/>
      <c r="L725" s="23"/>
      <c r="M725" s="23"/>
    </row>
    <row r="726" ht="15.75" customHeight="1">
      <c r="A726" s="23"/>
      <c r="B726" s="24"/>
      <c r="C726" s="25"/>
      <c r="D726" s="26"/>
      <c r="E726" s="26"/>
      <c r="F726" s="26"/>
      <c r="G726" s="37"/>
      <c r="H726" s="37"/>
      <c r="I726" s="37"/>
      <c r="J726" s="37"/>
      <c r="K726" s="37"/>
      <c r="L726" s="23"/>
      <c r="M726" s="23"/>
    </row>
    <row r="727" ht="15.75" customHeight="1">
      <c r="A727" s="23"/>
      <c r="B727" s="24"/>
      <c r="C727" s="25"/>
      <c r="D727" s="26"/>
      <c r="E727" s="26"/>
      <c r="F727" s="26"/>
      <c r="G727" s="37"/>
      <c r="H727" s="37"/>
      <c r="I727" s="37"/>
      <c r="J727" s="37"/>
      <c r="K727" s="37"/>
      <c r="L727" s="23"/>
      <c r="M727" s="23"/>
    </row>
    <row r="728" ht="15.75" customHeight="1">
      <c r="A728" s="23"/>
      <c r="B728" s="24"/>
      <c r="C728" s="25"/>
      <c r="D728" s="26"/>
      <c r="E728" s="26"/>
      <c r="F728" s="26"/>
      <c r="G728" s="37"/>
      <c r="H728" s="37"/>
      <c r="I728" s="37"/>
      <c r="J728" s="37"/>
      <c r="K728" s="37"/>
      <c r="L728" s="23"/>
      <c r="M728" s="23"/>
    </row>
    <row r="729" ht="15.75" customHeight="1">
      <c r="A729" s="23"/>
      <c r="B729" s="24"/>
      <c r="C729" s="25"/>
      <c r="D729" s="26"/>
      <c r="E729" s="26"/>
      <c r="F729" s="26"/>
      <c r="G729" s="37"/>
      <c r="H729" s="37"/>
      <c r="I729" s="37"/>
      <c r="J729" s="37"/>
      <c r="K729" s="37"/>
      <c r="L729" s="23"/>
      <c r="M729" s="23"/>
    </row>
    <row r="730" ht="15.75" customHeight="1">
      <c r="A730" s="23"/>
      <c r="B730" s="24"/>
      <c r="C730" s="25"/>
      <c r="D730" s="26"/>
      <c r="E730" s="26"/>
      <c r="F730" s="26"/>
      <c r="G730" s="37"/>
      <c r="H730" s="37"/>
      <c r="I730" s="37"/>
      <c r="J730" s="37"/>
      <c r="K730" s="37"/>
      <c r="L730" s="23"/>
      <c r="M730" s="23"/>
    </row>
    <row r="731" ht="15.75" customHeight="1">
      <c r="A731" s="23"/>
      <c r="B731" s="24"/>
      <c r="C731" s="25"/>
      <c r="D731" s="26"/>
      <c r="E731" s="26"/>
      <c r="F731" s="26"/>
      <c r="G731" s="37"/>
      <c r="H731" s="37"/>
      <c r="I731" s="37"/>
      <c r="J731" s="37"/>
      <c r="K731" s="37"/>
      <c r="L731" s="23"/>
      <c r="M731" s="23"/>
    </row>
    <row r="732" ht="15.75" customHeight="1">
      <c r="A732" s="23"/>
      <c r="B732" s="24"/>
      <c r="C732" s="25"/>
      <c r="D732" s="26"/>
      <c r="E732" s="26"/>
      <c r="F732" s="26"/>
      <c r="G732" s="37"/>
      <c r="H732" s="37"/>
      <c r="I732" s="37"/>
      <c r="J732" s="37"/>
      <c r="K732" s="37"/>
      <c r="L732" s="23"/>
      <c r="M732" s="23"/>
    </row>
    <row r="733" ht="15.75" customHeight="1">
      <c r="A733" s="23"/>
      <c r="B733" s="24"/>
      <c r="C733" s="25"/>
      <c r="D733" s="26"/>
      <c r="E733" s="26"/>
      <c r="F733" s="26"/>
      <c r="G733" s="37"/>
      <c r="H733" s="37"/>
      <c r="I733" s="37"/>
      <c r="J733" s="37"/>
      <c r="K733" s="37"/>
      <c r="L733" s="23"/>
      <c r="M733" s="23"/>
    </row>
    <row r="734" ht="15.75" customHeight="1">
      <c r="A734" s="23"/>
      <c r="B734" s="24"/>
      <c r="C734" s="25"/>
      <c r="D734" s="26"/>
      <c r="E734" s="26"/>
      <c r="F734" s="26"/>
      <c r="G734" s="37"/>
      <c r="H734" s="37"/>
      <c r="I734" s="37"/>
      <c r="J734" s="37"/>
      <c r="K734" s="37"/>
      <c r="L734" s="23"/>
      <c r="M734" s="23"/>
    </row>
    <row r="735" ht="15.75" customHeight="1">
      <c r="A735" s="23"/>
      <c r="B735" s="24"/>
      <c r="C735" s="25"/>
      <c r="D735" s="26"/>
      <c r="E735" s="26"/>
      <c r="F735" s="26"/>
      <c r="G735" s="37"/>
      <c r="H735" s="37"/>
      <c r="I735" s="37"/>
      <c r="J735" s="37"/>
      <c r="K735" s="37"/>
      <c r="L735" s="23"/>
      <c r="M735" s="23"/>
    </row>
    <row r="736" ht="15.75" customHeight="1">
      <c r="A736" s="23"/>
      <c r="B736" s="24"/>
      <c r="C736" s="25"/>
      <c r="D736" s="26"/>
      <c r="E736" s="26"/>
      <c r="F736" s="26"/>
      <c r="G736" s="37"/>
      <c r="H736" s="37"/>
      <c r="I736" s="37"/>
      <c r="J736" s="37"/>
      <c r="K736" s="37"/>
      <c r="L736" s="23"/>
      <c r="M736" s="23"/>
    </row>
    <row r="737" ht="15.75" customHeight="1">
      <c r="A737" s="23"/>
      <c r="B737" s="24"/>
      <c r="C737" s="25"/>
      <c r="D737" s="26"/>
      <c r="E737" s="26"/>
      <c r="F737" s="26"/>
      <c r="G737" s="37"/>
      <c r="H737" s="37"/>
      <c r="I737" s="37"/>
      <c r="J737" s="37"/>
      <c r="K737" s="37"/>
      <c r="L737" s="23"/>
      <c r="M737" s="23"/>
    </row>
    <row r="738" ht="15.75" customHeight="1">
      <c r="A738" s="23"/>
      <c r="B738" s="24"/>
      <c r="C738" s="25"/>
      <c r="D738" s="26"/>
      <c r="E738" s="26"/>
      <c r="F738" s="26"/>
      <c r="G738" s="37"/>
      <c r="H738" s="37"/>
      <c r="I738" s="37"/>
      <c r="J738" s="37"/>
      <c r="K738" s="37"/>
      <c r="L738" s="23"/>
      <c r="M738" s="23"/>
    </row>
    <row r="739" ht="15.75" customHeight="1">
      <c r="A739" s="23"/>
      <c r="B739" s="24"/>
      <c r="C739" s="25"/>
      <c r="D739" s="26"/>
      <c r="E739" s="26"/>
      <c r="F739" s="26"/>
      <c r="G739" s="37"/>
      <c r="H739" s="37"/>
      <c r="I739" s="37"/>
      <c r="J739" s="37"/>
      <c r="K739" s="37"/>
      <c r="L739" s="23"/>
      <c r="M739" s="23"/>
    </row>
    <row r="740" ht="15.75" customHeight="1">
      <c r="A740" s="23"/>
      <c r="B740" s="24"/>
      <c r="C740" s="25"/>
      <c r="D740" s="26"/>
      <c r="E740" s="26"/>
      <c r="F740" s="26"/>
      <c r="G740" s="37"/>
      <c r="H740" s="37"/>
      <c r="I740" s="37"/>
      <c r="J740" s="37"/>
      <c r="K740" s="37"/>
      <c r="L740" s="23"/>
      <c r="M740" s="23"/>
    </row>
    <row r="741" ht="15.75" customHeight="1">
      <c r="A741" s="23"/>
      <c r="B741" s="24"/>
      <c r="C741" s="25"/>
      <c r="D741" s="26"/>
      <c r="E741" s="26"/>
      <c r="F741" s="26"/>
      <c r="G741" s="37"/>
      <c r="H741" s="37"/>
      <c r="I741" s="37"/>
      <c r="J741" s="37"/>
      <c r="K741" s="37"/>
      <c r="L741" s="23"/>
      <c r="M741" s="23"/>
    </row>
    <row r="742" ht="15.75" customHeight="1">
      <c r="A742" s="23"/>
      <c r="B742" s="24"/>
      <c r="C742" s="25"/>
      <c r="D742" s="26"/>
      <c r="E742" s="26"/>
      <c r="F742" s="26"/>
      <c r="G742" s="37"/>
      <c r="H742" s="37"/>
      <c r="I742" s="37"/>
      <c r="J742" s="37"/>
      <c r="K742" s="37"/>
      <c r="L742" s="23"/>
      <c r="M742" s="23"/>
    </row>
    <row r="743" ht="15.75" customHeight="1">
      <c r="A743" s="23"/>
      <c r="B743" s="24"/>
      <c r="C743" s="25"/>
      <c r="D743" s="26"/>
      <c r="E743" s="26"/>
      <c r="F743" s="26"/>
      <c r="G743" s="37"/>
      <c r="H743" s="37"/>
      <c r="I743" s="37"/>
      <c r="J743" s="37"/>
      <c r="K743" s="37"/>
      <c r="L743" s="23"/>
      <c r="M743" s="23"/>
    </row>
    <row r="744" ht="15.75" customHeight="1">
      <c r="A744" s="23"/>
      <c r="B744" s="24"/>
      <c r="C744" s="25"/>
      <c r="D744" s="26"/>
      <c r="E744" s="26"/>
      <c r="F744" s="26"/>
      <c r="G744" s="37"/>
      <c r="H744" s="37"/>
      <c r="I744" s="37"/>
      <c r="J744" s="37"/>
      <c r="K744" s="37"/>
      <c r="L744" s="23"/>
      <c r="M744" s="23"/>
    </row>
    <row r="745" ht="15.75" customHeight="1">
      <c r="A745" s="23"/>
      <c r="B745" s="24"/>
      <c r="C745" s="25"/>
      <c r="D745" s="26"/>
      <c r="E745" s="26"/>
      <c r="F745" s="26"/>
      <c r="G745" s="37"/>
      <c r="H745" s="37"/>
      <c r="I745" s="37"/>
      <c r="J745" s="37"/>
      <c r="K745" s="37"/>
      <c r="L745" s="23"/>
      <c r="M745" s="23"/>
    </row>
    <row r="746" ht="15.75" customHeight="1">
      <c r="A746" s="23"/>
      <c r="B746" s="24"/>
      <c r="C746" s="25"/>
      <c r="D746" s="26"/>
      <c r="E746" s="26"/>
      <c r="F746" s="26"/>
      <c r="G746" s="37"/>
      <c r="H746" s="37"/>
      <c r="I746" s="37"/>
      <c r="J746" s="37"/>
      <c r="K746" s="37"/>
      <c r="L746" s="23"/>
      <c r="M746" s="23"/>
    </row>
    <row r="747" ht="15.75" customHeight="1">
      <c r="A747" s="23"/>
      <c r="B747" s="24"/>
      <c r="C747" s="25"/>
      <c r="D747" s="26"/>
      <c r="E747" s="26"/>
      <c r="F747" s="26"/>
      <c r="G747" s="37"/>
      <c r="H747" s="37"/>
      <c r="I747" s="37"/>
      <c r="J747" s="37"/>
      <c r="K747" s="37"/>
      <c r="L747" s="23"/>
      <c r="M747" s="23"/>
    </row>
    <row r="748" ht="15.75" customHeight="1">
      <c r="A748" s="23"/>
      <c r="B748" s="24"/>
      <c r="C748" s="25"/>
      <c r="D748" s="26"/>
      <c r="E748" s="26"/>
      <c r="F748" s="26"/>
      <c r="G748" s="37"/>
      <c r="H748" s="37"/>
      <c r="I748" s="37"/>
      <c r="J748" s="37"/>
      <c r="K748" s="37"/>
      <c r="L748" s="23"/>
      <c r="M748" s="23"/>
    </row>
    <row r="749" ht="15.75" customHeight="1">
      <c r="A749" s="23"/>
      <c r="B749" s="24"/>
      <c r="C749" s="25"/>
      <c r="D749" s="26"/>
      <c r="E749" s="26"/>
      <c r="F749" s="26"/>
      <c r="G749" s="37"/>
      <c r="H749" s="37"/>
      <c r="I749" s="37"/>
      <c r="J749" s="37"/>
      <c r="K749" s="37"/>
      <c r="L749" s="23"/>
      <c r="M749" s="23"/>
    </row>
    <row r="750" ht="15.75" customHeight="1">
      <c r="A750" s="23"/>
      <c r="B750" s="24"/>
      <c r="C750" s="25"/>
      <c r="D750" s="26"/>
      <c r="E750" s="26"/>
      <c r="F750" s="26"/>
      <c r="G750" s="37"/>
      <c r="H750" s="37"/>
      <c r="I750" s="37"/>
      <c r="J750" s="37"/>
      <c r="K750" s="37"/>
      <c r="L750" s="23"/>
      <c r="M750" s="23"/>
    </row>
    <row r="751" ht="15.75" customHeight="1">
      <c r="A751" s="23"/>
      <c r="B751" s="24"/>
      <c r="C751" s="25"/>
      <c r="D751" s="26"/>
      <c r="E751" s="26"/>
      <c r="F751" s="26"/>
      <c r="G751" s="37"/>
      <c r="H751" s="37"/>
      <c r="I751" s="37"/>
      <c r="J751" s="37"/>
      <c r="K751" s="37"/>
      <c r="L751" s="23"/>
      <c r="M751" s="23"/>
    </row>
    <row r="752" ht="15.75" customHeight="1">
      <c r="A752" s="23"/>
      <c r="B752" s="24"/>
      <c r="C752" s="25"/>
      <c r="D752" s="26"/>
      <c r="E752" s="26"/>
      <c r="F752" s="26"/>
      <c r="G752" s="37"/>
      <c r="H752" s="37"/>
      <c r="I752" s="37"/>
      <c r="J752" s="37"/>
      <c r="K752" s="37"/>
      <c r="L752" s="23"/>
      <c r="M752" s="23"/>
    </row>
    <row r="753" ht="15.75" customHeight="1">
      <c r="A753" s="23"/>
      <c r="B753" s="24"/>
      <c r="C753" s="25"/>
      <c r="D753" s="26"/>
      <c r="E753" s="26"/>
      <c r="F753" s="26"/>
      <c r="G753" s="37"/>
      <c r="H753" s="37"/>
      <c r="I753" s="37"/>
      <c r="J753" s="37"/>
      <c r="K753" s="37"/>
      <c r="L753" s="23"/>
      <c r="M753" s="23"/>
    </row>
    <row r="754" ht="15.75" customHeight="1">
      <c r="A754" s="23"/>
      <c r="B754" s="24"/>
      <c r="C754" s="25"/>
      <c r="D754" s="26"/>
      <c r="E754" s="26"/>
      <c r="F754" s="26"/>
      <c r="G754" s="37"/>
      <c r="H754" s="37"/>
      <c r="I754" s="37"/>
      <c r="J754" s="37"/>
      <c r="K754" s="37"/>
      <c r="L754" s="23"/>
      <c r="M754" s="23"/>
    </row>
    <row r="755" ht="15.75" customHeight="1">
      <c r="A755" s="23"/>
      <c r="B755" s="24"/>
      <c r="C755" s="25"/>
      <c r="D755" s="26"/>
      <c r="E755" s="26"/>
      <c r="F755" s="26"/>
      <c r="G755" s="37"/>
      <c r="H755" s="37"/>
      <c r="I755" s="37"/>
      <c r="J755" s="37"/>
      <c r="K755" s="37"/>
      <c r="L755" s="23"/>
      <c r="M755" s="23"/>
    </row>
    <row r="756" ht="15.75" customHeight="1">
      <c r="A756" s="23"/>
      <c r="B756" s="24"/>
      <c r="C756" s="25"/>
      <c r="D756" s="26"/>
      <c r="E756" s="26"/>
      <c r="F756" s="26"/>
      <c r="G756" s="37"/>
      <c r="H756" s="37"/>
      <c r="I756" s="37"/>
      <c r="J756" s="37"/>
      <c r="K756" s="37"/>
      <c r="L756" s="23"/>
      <c r="M756" s="23"/>
    </row>
    <row r="757" ht="15.75" customHeight="1">
      <c r="A757" s="23"/>
      <c r="B757" s="24"/>
      <c r="C757" s="25"/>
      <c r="D757" s="26"/>
      <c r="E757" s="26"/>
      <c r="F757" s="26"/>
      <c r="G757" s="37"/>
      <c r="H757" s="37"/>
      <c r="I757" s="37"/>
      <c r="J757" s="37"/>
      <c r="K757" s="37"/>
      <c r="L757" s="23"/>
      <c r="M757" s="23"/>
    </row>
    <row r="758" ht="15.75" customHeight="1">
      <c r="A758" s="23"/>
      <c r="B758" s="24"/>
      <c r="C758" s="25"/>
      <c r="D758" s="26"/>
      <c r="E758" s="26"/>
      <c r="F758" s="26"/>
      <c r="G758" s="37"/>
      <c r="H758" s="37"/>
      <c r="I758" s="37"/>
      <c r="J758" s="37"/>
      <c r="K758" s="37"/>
      <c r="L758" s="23"/>
      <c r="M758" s="23"/>
    </row>
    <row r="759" ht="15.75" customHeight="1">
      <c r="A759" s="23"/>
      <c r="B759" s="24"/>
      <c r="C759" s="25"/>
      <c r="D759" s="26"/>
      <c r="E759" s="26"/>
      <c r="F759" s="26"/>
      <c r="G759" s="37"/>
      <c r="H759" s="37"/>
      <c r="I759" s="37"/>
      <c r="J759" s="37"/>
      <c r="K759" s="37"/>
      <c r="L759" s="23"/>
      <c r="M759" s="23"/>
    </row>
    <row r="760" ht="15.75" customHeight="1">
      <c r="A760" s="23"/>
      <c r="B760" s="24"/>
      <c r="C760" s="25"/>
      <c r="D760" s="26"/>
      <c r="E760" s="26"/>
      <c r="F760" s="26"/>
      <c r="G760" s="37"/>
      <c r="H760" s="37"/>
      <c r="I760" s="37"/>
      <c r="J760" s="37"/>
      <c r="K760" s="37"/>
      <c r="L760" s="23"/>
      <c r="M760" s="23"/>
    </row>
    <row r="761" ht="15.75" customHeight="1">
      <c r="A761" s="23"/>
      <c r="B761" s="24"/>
      <c r="C761" s="25"/>
      <c r="D761" s="26"/>
      <c r="E761" s="26"/>
      <c r="F761" s="26"/>
      <c r="G761" s="37"/>
      <c r="H761" s="37"/>
      <c r="I761" s="37"/>
      <c r="J761" s="37"/>
      <c r="K761" s="37"/>
      <c r="L761" s="23"/>
      <c r="M761" s="23"/>
    </row>
    <row r="762" ht="15.75" customHeight="1">
      <c r="A762" s="23"/>
      <c r="B762" s="24"/>
      <c r="C762" s="25"/>
      <c r="D762" s="26"/>
      <c r="E762" s="26"/>
      <c r="F762" s="26"/>
      <c r="G762" s="37"/>
      <c r="H762" s="37"/>
      <c r="I762" s="37"/>
      <c r="J762" s="37"/>
      <c r="K762" s="37"/>
      <c r="L762" s="23"/>
      <c r="M762" s="23"/>
    </row>
    <row r="763" ht="15.75" customHeight="1">
      <c r="A763" s="23"/>
      <c r="B763" s="24"/>
      <c r="C763" s="25"/>
      <c r="D763" s="26"/>
      <c r="E763" s="26"/>
      <c r="F763" s="26"/>
      <c r="G763" s="37"/>
      <c r="H763" s="37"/>
      <c r="I763" s="37"/>
      <c r="J763" s="37"/>
      <c r="K763" s="37"/>
      <c r="L763" s="23"/>
      <c r="M763" s="23"/>
    </row>
    <row r="764" ht="15.75" customHeight="1">
      <c r="A764" s="23"/>
      <c r="B764" s="24"/>
      <c r="C764" s="25"/>
      <c r="D764" s="26"/>
      <c r="E764" s="26"/>
      <c r="F764" s="26"/>
      <c r="G764" s="37"/>
      <c r="H764" s="37"/>
      <c r="I764" s="37"/>
      <c r="J764" s="37"/>
      <c r="K764" s="37"/>
      <c r="L764" s="23"/>
      <c r="M764" s="23"/>
    </row>
    <row r="765" ht="15.75" customHeight="1">
      <c r="A765" s="23"/>
      <c r="B765" s="24"/>
      <c r="C765" s="25"/>
      <c r="D765" s="26"/>
      <c r="E765" s="26"/>
      <c r="F765" s="26"/>
      <c r="G765" s="37"/>
      <c r="H765" s="37"/>
      <c r="I765" s="37"/>
      <c r="J765" s="37"/>
      <c r="K765" s="37"/>
      <c r="L765" s="23"/>
      <c r="M765" s="23"/>
    </row>
    <row r="766" ht="15.75" customHeight="1">
      <c r="A766" s="23"/>
      <c r="B766" s="24"/>
      <c r="C766" s="25"/>
      <c r="D766" s="26"/>
      <c r="E766" s="26"/>
      <c r="F766" s="26"/>
      <c r="G766" s="37"/>
      <c r="H766" s="37"/>
      <c r="I766" s="37"/>
      <c r="J766" s="37"/>
      <c r="K766" s="37"/>
      <c r="L766" s="23"/>
      <c r="M766" s="23"/>
    </row>
    <row r="767" ht="15.75" customHeight="1">
      <c r="A767" s="23"/>
      <c r="B767" s="24"/>
      <c r="C767" s="25"/>
      <c r="D767" s="26"/>
      <c r="E767" s="26"/>
      <c r="F767" s="26"/>
      <c r="G767" s="37"/>
      <c r="H767" s="37"/>
      <c r="I767" s="37"/>
      <c r="J767" s="37"/>
      <c r="K767" s="37"/>
      <c r="L767" s="23"/>
      <c r="M767" s="23"/>
    </row>
    <row r="768" ht="15.75" customHeight="1">
      <c r="A768" s="23"/>
      <c r="B768" s="24"/>
      <c r="C768" s="25"/>
      <c r="D768" s="26"/>
      <c r="E768" s="26"/>
      <c r="F768" s="26"/>
      <c r="G768" s="37"/>
      <c r="H768" s="37"/>
      <c r="I768" s="37"/>
      <c r="J768" s="37"/>
      <c r="K768" s="37"/>
      <c r="L768" s="23"/>
      <c r="M768" s="23"/>
    </row>
    <row r="769" ht="15.75" customHeight="1">
      <c r="A769" s="23"/>
      <c r="B769" s="24"/>
      <c r="C769" s="25"/>
      <c r="D769" s="26"/>
      <c r="E769" s="26"/>
      <c r="F769" s="26"/>
      <c r="G769" s="37"/>
      <c r="H769" s="37"/>
      <c r="I769" s="37"/>
      <c r="J769" s="37"/>
      <c r="K769" s="37"/>
      <c r="L769" s="23"/>
      <c r="M769" s="23"/>
    </row>
    <row r="770" ht="15.75" customHeight="1">
      <c r="A770" s="23"/>
      <c r="B770" s="24"/>
      <c r="C770" s="25"/>
      <c r="D770" s="26"/>
      <c r="E770" s="26"/>
      <c r="F770" s="26"/>
      <c r="G770" s="37"/>
      <c r="H770" s="37"/>
      <c r="I770" s="37"/>
      <c r="J770" s="37"/>
      <c r="K770" s="37"/>
      <c r="L770" s="23"/>
      <c r="M770" s="23"/>
    </row>
    <row r="771" ht="15.75" customHeight="1">
      <c r="A771" s="23"/>
      <c r="B771" s="24"/>
      <c r="C771" s="25"/>
      <c r="D771" s="26"/>
      <c r="E771" s="26"/>
      <c r="F771" s="26"/>
      <c r="G771" s="37"/>
      <c r="H771" s="37"/>
      <c r="I771" s="37"/>
      <c r="J771" s="37"/>
      <c r="K771" s="37"/>
      <c r="L771" s="23"/>
      <c r="M771" s="23"/>
    </row>
    <row r="772" ht="15.75" customHeight="1">
      <c r="A772" s="23"/>
      <c r="B772" s="24"/>
      <c r="C772" s="25"/>
      <c r="D772" s="26"/>
      <c r="E772" s="26"/>
      <c r="F772" s="26"/>
      <c r="G772" s="37"/>
      <c r="H772" s="37"/>
      <c r="I772" s="37"/>
      <c r="J772" s="37"/>
      <c r="K772" s="37"/>
      <c r="L772" s="23"/>
      <c r="M772" s="23"/>
    </row>
    <row r="773" ht="15.75" customHeight="1">
      <c r="A773" s="23"/>
      <c r="B773" s="24"/>
      <c r="C773" s="25"/>
      <c r="D773" s="26"/>
      <c r="E773" s="26"/>
      <c r="F773" s="26"/>
      <c r="G773" s="37"/>
      <c r="H773" s="37"/>
      <c r="I773" s="37"/>
      <c r="J773" s="37"/>
      <c r="K773" s="37"/>
      <c r="L773" s="23"/>
      <c r="M773" s="23"/>
    </row>
    <row r="774" ht="15.75" customHeight="1">
      <c r="A774" s="23"/>
      <c r="B774" s="24"/>
      <c r="C774" s="25"/>
      <c r="D774" s="26"/>
      <c r="E774" s="26"/>
      <c r="F774" s="26"/>
      <c r="G774" s="37"/>
      <c r="H774" s="37"/>
      <c r="I774" s="37"/>
      <c r="J774" s="37"/>
      <c r="K774" s="37"/>
      <c r="L774" s="23"/>
      <c r="M774" s="23"/>
    </row>
    <row r="775" ht="15.75" customHeight="1">
      <c r="A775" s="23"/>
      <c r="B775" s="24"/>
      <c r="C775" s="25"/>
      <c r="D775" s="26"/>
      <c r="E775" s="26"/>
      <c r="F775" s="26"/>
      <c r="G775" s="37"/>
      <c r="H775" s="37"/>
      <c r="I775" s="37"/>
      <c r="J775" s="37"/>
      <c r="K775" s="37"/>
      <c r="L775" s="23"/>
      <c r="M775" s="23"/>
    </row>
    <row r="776" ht="15.75" customHeight="1">
      <c r="A776" s="23"/>
      <c r="B776" s="24"/>
      <c r="C776" s="25"/>
      <c r="D776" s="26"/>
      <c r="E776" s="26"/>
      <c r="F776" s="26"/>
      <c r="G776" s="37"/>
      <c r="H776" s="37"/>
      <c r="I776" s="37"/>
      <c r="J776" s="37"/>
      <c r="K776" s="37"/>
      <c r="L776" s="23"/>
      <c r="M776" s="23"/>
    </row>
    <row r="777" ht="15.75" customHeight="1">
      <c r="A777" s="23"/>
      <c r="B777" s="24"/>
      <c r="C777" s="25"/>
      <c r="D777" s="26"/>
      <c r="E777" s="26"/>
      <c r="F777" s="26"/>
      <c r="G777" s="37"/>
      <c r="H777" s="37"/>
      <c r="I777" s="37"/>
      <c r="J777" s="37"/>
      <c r="K777" s="37"/>
      <c r="L777" s="23"/>
      <c r="M777" s="23"/>
    </row>
    <row r="778" ht="15.75" customHeight="1">
      <c r="A778" s="23"/>
      <c r="B778" s="24"/>
      <c r="C778" s="25"/>
      <c r="D778" s="26"/>
      <c r="E778" s="26"/>
      <c r="F778" s="26"/>
      <c r="G778" s="37"/>
      <c r="H778" s="37"/>
      <c r="I778" s="37"/>
      <c r="J778" s="37"/>
      <c r="K778" s="37"/>
      <c r="L778" s="23"/>
      <c r="M778" s="23"/>
    </row>
    <row r="779" ht="15.75" customHeight="1">
      <c r="A779" s="23"/>
      <c r="B779" s="24"/>
      <c r="C779" s="25"/>
      <c r="D779" s="26"/>
      <c r="E779" s="26"/>
      <c r="F779" s="26"/>
      <c r="G779" s="37"/>
      <c r="H779" s="37"/>
      <c r="I779" s="37"/>
      <c r="J779" s="37"/>
      <c r="K779" s="37"/>
      <c r="L779" s="23"/>
      <c r="M779" s="23"/>
    </row>
    <row r="780" ht="15.75" customHeight="1">
      <c r="A780" s="23"/>
      <c r="B780" s="24"/>
      <c r="C780" s="25"/>
      <c r="D780" s="26"/>
      <c r="E780" s="26"/>
      <c r="F780" s="26"/>
      <c r="G780" s="37"/>
      <c r="H780" s="37"/>
      <c r="I780" s="37"/>
      <c r="J780" s="37"/>
      <c r="K780" s="37"/>
      <c r="L780" s="23"/>
      <c r="M780" s="23"/>
    </row>
    <row r="781" ht="15.75" customHeight="1">
      <c r="A781" s="23"/>
      <c r="B781" s="24"/>
      <c r="C781" s="25"/>
      <c r="D781" s="26"/>
      <c r="E781" s="26"/>
      <c r="F781" s="26"/>
      <c r="G781" s="37"/>
      <c r="H781" s="37"/>
      <c r="I781" s="37"/>
      <c r="J781" s="37"/>
      <c r="K781" s="37"/>
      <c r="L781" s="23"/>
      <c r="M781" s="23"/>
    </row>
    <row r="782" ht="15.75" customHeight="1">
      <c r="A782" s="23"/>
      <c r="B782" s="24"/>
      <c r="C782" s="25"/>
      <c r="D782" s="26"/>
      <c r="E782" s="26"/>
      <c r="F782" s="26"/>
      <c r="G782" s="37"/>
      <c r="H782" s="37"/>
      <c r="I782" s="37"/>
      <c r="J782" s="37"/>
      <c r="K782" s="37"/>
      <c r="L782" s="23"/>
      <c r="M782" s="23"/>
    </row>
    <row r="783" ht="15.75" customHeight="1">
      <c r="A783" s="23"/>
      <c r="B783" s="24"/>
      <c r="C783" s="25"/>
      <c r="D783" s="26"/>
      <c r="E783" s="26"/>
      <c r="F783" s="26"/>
      <c r="G783" s="37"/>
      <c r="H783" s="37"/>
      <c r="I783" s="37"/>
      <c r="J783" s="37"/>
      <c r="K783" s="37"/>
      <c r="L783" s="23"/>
      <c r="M783" s="23"/>
    </row>
    <row r="784" ht="15.75" customHeight="1">
      <c r="A784" s="23"/>
      <c r="B784" s="24"/>
      <c r="C784" s="25"/>
      <c r="D784" s="26"/>
      <c r="E784" s="26"/>
      <c r="F784" s="26"/>
      <c r="G784" s="37"/>
      <c r="H784" s="37"/>
      <c r="I784" s="37"/>
      <c r="J784" s="37"/>
      <c r="K784" s="37"/>
      <c r="L784" s="23"/>
      <c r="M784" s="23"/>
    </row>
    <row r="785" ht="15.75" customHeight="1">
      <c r="A785" s="23"/>
      <c r="B785" s="24"/>
      <c r="C785" s="25"/>
      <c r="D785" s="26"/>
      <c r="E785" s="26"/>
      <c r="F785" s="26"/>
      <c r="G785" s="37"/>
      <c r="H785" s="37"/>
      <c r="I785" s="37"/>
      <c r="J785" s="37"/>
      <c r="K785" s="37"/>
      <c r="L785" s="23"/>
      <c r="M785" s="23"/>
    </row>
    <row r="786" ht="15.75" customHeight="1">
      <c r="A786" s="23"/>
      <c r="B786" s="24"/>
      <c r="C786" s="25"/>
      <c r="D786" s="26"/>
      <c r="E786" s="26"/>
      <c r="F786" s="26"/>
      <c r="G786" s="37"/>
      <c r="H786" s="37"/>
      <c r="I786" s="37"/>
      <c r="J786" s="37"/>
      <c r="K786" s="37"/>
      <c r="L786" s="23"/>
      <c r="M786" s="23"/>
    </row>
    <row r="787" ht="15.75" customHeight="1">
      <c r="A787" s="23"/>
      <c r="B787" s="24"/>
      <c r="C787" s="25"/>
      <c r="D787" s="26"/>
      <c r="E787" s="26"/>
      <c r="F787" s="26"/>
      <c r="G787" s="37"/>
      <c r="H787" s="37"/>
      <c r="I787" s="37"/>
      <c r="J787" s="37"/>
      <c r="K787" s="37"/>
      <c r="L787" s="23"/>
      <c r="M787" s="23"/>
    </row>
    <row r="788" ht="15.75" customHeight="1">
      <c r="A788" s="23"/>
      <c r="B788" s="24"/>
      <c r="C788" s="25"/>
      <c r="D788" s="26"/>
      <c r="E788" s="26"/>
      <c r="F788" s="26"/>
      <c r="G788" s="37"/>
      <c r="H788" s="37"/>
      <c r="I788" s="37"/>
      <c r="J788" s="37"/>
      <c r="K788" s="37"/>
      <c r="L788" s="23"/>
      <c r="M788" s="23"/>
    </row>
    <row r="789" ht="15.75" customHeight="1">
      <c r="A789" s="23"/>
      <c r="B789" s="24"/>
      <c r="C789" s="25"/>
      <c r="D789" s="26"/>
      <c r="E789" s="26"/>
      <c r="F789" s="26"/>
      <c r="G789" s="37"/>
      <c r="H789" s="37"/>
      <c r="I789" s="37"/>
      <c r="J789" s="37"/>
      <c r="K789" s="37"/>
      <c r="L789" s="23"/>
      <c r="M789" s="23"/>
    </row>
    <row r="790" ht="15.75" customHeight="1">
      <c r="A790" s="23"/>
      <c r="B790" s="24"/>
      <c r="C790" s="25"/>
      <c r="D790" s="26"/>
      <c r="E790" s="26"/>
      <c r="F790" s="26"/>
      <c r="G790" s="37"/>
      <c r="H790" s="37"/>
      <c r="I790" s="37"/>
      <c r="J790" s="37"/>
      <c r="K790" s="37"/>
      <c r="L790" s="23"/>
      <c r="M790" s="23"/>
    </row>
    <row r="791" ht="15.75" customHeight="1">
      <c r="A791" s="23"/>
      <c r="B791" s="24"/>
      <c r="C791" s="25"/>
      <c r="D791" s="26"/>
      <c r="E791" s="26"/>
      <c r="F791" s="26"/>
      <c r="G791" s="37"/>
      <c r="H791" s="37"/>
      <c r="I791" s="37"/>
      <c r="J791" s="37"/>
      <c r="K791" s="37"/>
      <c r="L791" s="23"/>
      <c r="M791" s="23"/>
    </row>
    <row r="792" ht="15.75" customHeight="1">
      <c r="A792" s="23"/>
      <c r="B792" s="24"/>
      <c r="C792" s="25"/>
      <c r="D792" s="26"/>
      <c r="E792" s="26"/>
      <c r="F792" s="26"/>
      <c r="G792" s="37"/>
      <c r="H792" s="37"/>
      <c r="I792" s="37"/>
      <c r="J792" s="37"/>
      <c r="K792" s="37"/>
      <c r="L792" s="23"/>
      <c r="M792" s="23"/>
    </row>
    <row r="793" ht="15.75" customHeight="1">
      <c r="A793" s="23"/>
      <c r="B793" s="24"/>
      <c r="C793" s="25"/>
      <c r="D793" s="26"/>
      <c r="E793" s="26"/>
      <c r="F793" s="26"/>
      <c r="G793" s="37"/>
      <c r="H793" s="37"/>
      <c r="I793" s="37"/>
      <c r="J793" s="37"/>
      <c r="K793" s="37"/>
      <c r="L793" s="23"/>
      <c r="M793" s="23"/>
    </row>
    <row r="794" ht="15.75" customHeight="1">
      <c r="A794" s="23"/>
      <c r="B794" s="24"/>
      <c r="C794" s="25"/>
      <c r="D794" s="26"/>
      <c r="E794" s="26"/>
      <c r="F794" s="26"/>
      <c r="G794" s="37"/>
      <c r="H794" s="37"/>
      <c r="I794" s="37"/>
      <c r="J794" s="37"/>
      <c r="K794" s="37"/>
      <c r="L794" s="23"/>
      <c r="M794" s="23"/>
    </row>
    <row r="795" ht="15.75" customHeight="1">
      <c r="A795" s="23"/>
      <c r="B795" s="24"/>
      <c r="C795" s="25"/>
      <c r="D795" s="26"/>
      <c r="E795" s="26"/>
      <c r="F795" s="26"/>
      <c r="G795" s="37"/>
      <c r="H795" s="37"/>
      <c r="I795" s="37"/>
      <c r="J795" s="37"/>
      <c r="K795" s="37"/>
      <c r="L795" s="23"/>
      <c r="M795" s="23"/>
    </row>
    <row r="796" ht="15.75" customHeight="1">
      <c r="A796" s="23"/>
      <c r="B796" s="24"/>
      <c r="C796" s="25"/>
      <c r="D796" s="26"/>
      <c r="E796" s="26"/>
      <c r="F796" s="26"/>
      <c r="G796" s="37"/>
      <c r="H796" s="37"/>
      <c r="I796" s="37"/>
      <c r="J796" s="37"/>
      <c r="K796" s="37"/>
      <c r="L796" s="23"/>
      <c r="M796" s="23"/>
    </row>
    <row r="797" ht="15.75" customHeight="1">
      <c r="A797" s="23"/>
      <c r="B797" s="24"/>
      <c r="C797" s="25"/>
      <c r="D797" s="26"/>
      <c r="E797" s="26"/>
      <c r="F797" s="26"/>
      <c r="G797" s="37"/>
      <c r="H797" s="37"/>
      <c r="I797" s="37"/>
      <c r="J797" s="37"/>
      <c r="K797" s="37"/>
      <c r="L797" s="23"/>
      <c r="M797" s="23"/>
    </row>
    <row r="798" ht="15.75" customHeight="1">
      <c r="A798" s="23"/>
      <c r="B798" s="24"/>
      <c r="C798" s="25"/>
      <c r="D798" s="26"/>
      <c r="E798" s="26"/>
      <c r="F798" s="26"/>
      <c r="G798" s="37"/>
      <c r="H798" s="37"/>
      <c r="I798" s="37"/>
      <c r="J798" s="37"/>
      <c r="K798" s="37"/>
      <c r="L798" s="23"/>
      <c r="M798" s="23"/>
    </row>
    <row r="799" ht="15.75" customHeight="1">
      <c r="A799" s="23"/>
      <c r="B799" s="24"/>
      <c r="C799" s="25"/>
      <c r="D799" s="26"/>
      <c r="E799" s="26"/>
      <c r="F799" s="26"/>
      <c r="G799" s="37"/>
      <c r="H799" s="37"/>
      <c r="I799" s="37"/>
      <c r="J799" s="37"/>
      <c r="K799" s="37"/>
      <c r="L799" s="23"/>
      <c r="M799" s="23"/>
    </row>
    <row r="800" ht="15.75" customHeight="1">
      <c r="A800" s="23"/>
      <c r="B800" s="24"/>
      <c r="C800" s="25"/>
      <c r="D800" s="26"/>
      <c r="E800" s="26"/>
      <c r="F800" s="26"/>
      <c r="G800" s="37"/>
      <c r="H800" s="37"/>
      <c r="I800" s="37"/>
      <c r="J800" s="37"/>
      <c r="K800" s="37"/>
      <c r="L800" s="23"/>
      <c r="M800" s="23"/>
    </row>
    <row r="801" ht="15.75" customHeight="1">
      <c r="A801" s="23"/>
      <c r="B801" s="24"/>
      <c r="C801" s="25"/>
      <c r="D801" s="26"/>
      <c r="E801" s="26"/>
      <c r="F801" s="26"/>
      <c r="G801" s="37"/>
      <c r="H801" s="37"/>
      <c r="I801" s="37"/>
      <c r="J801" s="37"/>
      <c r="K801" s="37"/>
      <c r="L801" s="23"/>
      <c r="M801" s="23"/>
    </row>
    <row r="802" ht="15.75" customHeight="1">
      <c r="A802" s="23"/>
      <c r="B802" s="24"/>
      <c r="C802" s="25"/>
      <c r="D802" s="26"/>
      <c r="E802" s="26"/>
      <c r="F802" s="26"/>
      <c r="G802" s="37"/>
      <c r="H802" s="37"/>
      <c r="I802" s="37"/>
      <c r="J802" s="37"/>
      <c r="K802" s="37"/>
      <c r="L802" s="23"/>
      <c r="M802" s="23"/>
    </row>
    <row r="803" ht="15.75" customHeight="1">
      <c r="A803" s="23"/>
      <c r="B803" s="24"/>
      <c r="C803" s="25"/>
      <c r="D803" s="26"/>
      <c r="E803" s="26"/>
      <c r="F803" s="26"/>
      <c r="G803" s="37"/>
      <c r="H803" s="37"/>
      <c r="I803" s="37"/>
      <c r="J803" s="37"/>
      <c r="K803" s="37"/>
      <c r="L803" s="23"/>
      <c r="M803" s="23"/>
    </row>
    <row r="804" ht="15.75" customHeight="1">
      <c r="A804" s="23"/>
      <c r="B804" s="24"/>
      <c r="C804" s="25"/>
      <c r="D804" s="26"/>
      <c r="E804" s="26"/>
      <c r="F804" s="26"/>
      <c r="G804" s="37"/>
      <c r="H804" s="37"/>
      <c r="I804" s="37"/>
      <c r="J804" s="37"/>
      <c r="K804" s="37"/>
      <c r="L804" s="23"/>
      <c r="M804" s="23"/>
    </row>
    <row r="805" ht="15.75" customHeight="1">
      <c r="A805" s="23"/>
      <c r="B805" s="24"/>
      <c r="C805" s="25"/>
      <c r="D805" s="26"/>
      <c r="E805" s="26"/>
      <c r="F805" s="26"/>
      <c r="G805" s="37"/>
      <c r="H805" s="37"/>
      <c r="I805" s="37"/>
      <c r="J805" s="37"/>
      <c r="K805" s="37"/>
      <c r="L805" s="23"/>
      <c r="M805" s="23"/>
    </row>
    <row r="806" ht="15.75" customHeight="1">
      <c r="A806" s="23"/>
      <c r="B806" s="24"/>
      <c r="C806" s="25"/>
      <c r="D806" s="26"/>
      <c r="E806" s="26"/>
      <c r="F806" s="26"/>
      <c r="G806" s="37"/>
      <c r="H806" s="37"/>
      <c r="I806" s="37"/>
      <c r="J806" s="37"/>
      <c r="K806" s="37"/>
      <c r="L806" s="23"/>
      <c r="M806" s="23"/>
    </row>
    <row r="807" ht="15.75" customHeight="1">
      <c r="A807" s="23"/>
      <c r="B807" s="24"/>
      <c r="C807" s="25"/>
      <c r="D807" s="26"/>
      <c r="E807" s="26"/>
      <c r="F807" s="26"/>
      <c r="G807" s="37"/>
      <c r="H807" s="37"/>
      <c r="I807" s="37"/>
      <c r="J807" s="37"/>
      <c r="K807" s="37"/>
      <c r="L807" s="23"/>
      <c r="M807" s="23"/>
    </row>
    <row r="808" ht="15.75" customHeight="1">
      <c r="A808" s="23"/>
      <c r="B808" s="24"/>
      <c r="C808" s="25"/>
      <c r="D808" s="26"/>
      <c r="E808" s="26"/>
      <c r="F808" s="26"/>
      <c r="G808" s="37"/>
      <c r="H808" s="37"/>
      <c r="I808" s="37"/>
      <c r="J808" s="37"/>
      <c r="K808" s="37"/>
      <c r="L808" s="23"/>
      <c r="M808" s="23"/>
    </row>
    <row r="809" ht="15.75" customHeight="1">
      <c r="A809" s="23"/>
      <c r="B809" s="24"/>
      <c r="C809" s="25"/>
      <c r="D809" s="26"/>
      <c r="E809" s="26"/>
      <c r="F809" s="26"/>
      <c r="G809" s="37"/>
      <c r="H809" s="37"/>
      <c r="I809" s="37"/>
      <c r="J809" s="37"/>
      <c r="K809" s="37"/>
      <c r="L809" s="23"/>
      <c r="M809" s="23"/>
    </row>
    <row r="810" ht="15.75" customHeight="1">
      <c r="A810" s="23"/>
      <c r="B810" s="24"/>
      <c r="C810" s="25"/>
      <c r="D810" s="26"/>
      <c r="E810" s="26"/>
      <c r="F810" s="26"/>
      <c r="G810" s="37"/>
      <c r="H810" s="37"/>
      <c r="I810" s="37"/>
      <c r="J810" s="37"/>
      <c r="K810" s="37"/>
      <c r="L810" s="23"/>
      <c r="M810" s="23"/>
    </row>
    <row r="811" ht="15.75" customHeight="1">
      <c r="A811" s="23"/>
      <c r="B811" s="24"/>
      <c r="C811" s="25"/>
      <c r="D811" s="26"/>
      <c r="E811" s="26"/>
      <c r="F811" s="26"/>
      <c r="G811" s="37"/>
      <c r="H811" s="37"/>
      <c r="I811" s="37"/>
      <c r="J811" s="37"/>
      <c r="K811" s="37"/>
      <c r="L811" s="23"/>
      <c r="M811" s="23"/>
    </row>
    <row r="812" ht="15.75" customHeight="1">
      <c r="A812" s="23"/>
      <c r="B812" s="24"/>
      <c r="C812" s="25"/>
      <c r="D812" s="26"/>
      <c r="E812" s="26"/>
      <c r="F812" s="26"/>
      <c r="G812" s="37"/>
      <c r="H812" s="37"/>
      <c r="I812" s="37"/>
      <c r="J812" s="37"/>
      <c r="K812" s="37"/>
      <c r="L812" s="23"/>
      <c r="M812" s="23"/>
    </row>
    <row r="813" ht="15.75" customHeight="1">
      <c r="A813" s="23"/>
      <c r="B813" s="24"/>
      <c r="C813" s="25"/>
      <c r="D813" s="26"/>
      <c r="E813" s="26"/>
      <c r="F813" s="26"/>
      <c r="G813" s="37"/>
      <c r="H813" s="37"/>
      <c r="I813" s="37"/>
      <c r="J813" s="37"/>
      <c r="K813" s="37"/>
      <c r="L813" s="23"/>
      <c r="M813" s="23"/>
    </row>
    <row r="814" ht="15.75" customHeight="1">
      <c r="A814" s="23"/>
      <c r="B814" s="24"/>
      <c r="C814" s="25"/>
      <c r="D814" s="26"/>
      <c r="E814" s="26"/>
      <c r="F814" s="26"/>
      <c r="G814" s="37"/>
      <c r="H814" s="37"/>
      <c r="I814" s="37"/>
      <c r="J814" s="37"/>
      <c r="K814" s="37"/>
      <c r="L814" s="23"/>
      <c r="M814" s="23"/>
    </row>
    <row r="815" ht="15.75" customHeight="1">
      <c r="A815" s="23"/>
      <c r="B815" s="24"/>
      <c r="C815" s="25"/>
      <c r="D815" s="26"/>
      <c r="E815" s="26"/>
      <c r="F815" s="26"/>
      <c r="G815" s="37"/>
      <c r="H815" s="37"/>
      <c r="I815" s="37"/>
      <c r="J815" s="37"/>
      <c r="K815" s="37"/>
      <c r="L815" s="23"/>
      <c r="M815" s="23"/>
    </row>
    <row r="816" ht="15.75" customHeight="1">
      <c r="A816" s="23"/>
      <c r="B816" s="24"/>
      <c r="C816" s="25"/>
      <c r="D816" s="26"/>
      <c r="E816" s="26"/>
      <c r="F816" s="26"/>
      <c r="G816" s="37"/>
      <c r="H816" s="37"/>
      <c r="I816" s="37"/>
      <c r="J816" s="37"/>
      <c r="K816" s="37"/>
      <c r="L816" s="23"/>
      <c r="M816" s="23"/>
    </row>
    <row r="817" ht="15.75" customHeight="1">
      <c r="A817" s="23"/>
      <c r="B817" s="24"/>
      <c r="C817" s="25"/>
      <c r="D817" s="26"/>
      <c r="E817" s="26"/>
      <c r="F817" s="26"/>
      <c r="G817" s="37"/>
      <c r="H817" s="37"/>
      <c r="I817" s="37"/>
      <c r="J817" s="37"/>
      <c r="K817" s="37"/>
      <c r="L817" s="23"/>
      <c r="M817" s="23"/>
    </row>
    <row r="818" ht="15.75" customHeight="1">
      <c r="A818" s="23"/>
      <c r="B818" s="24"/>
      <c r="C818" s="25"/>
      <c r="D818" s="26"/>
      <c r="E818" s="26"/>
      <c r="F818" s="26"/>
      <c r="G818" s="37"/>
      <c r="H818" s="37"/>
      <c r="I818" s="37"/>
      <c r="J818" s="37"/>
      <c r="K818" s="37"/>
      <c r="L818" s="23"/>
      <c r="M818" s="23"/>
    </row>
    <row r="819" ht="15.75" customHeight="1">
      <c r="A819" s="23"/>
      <c r="B819" s="24"/>
      <c r="C819" s="25"/>
      <c r="D819" s="26"/>
      <c r="E819" s="26"/>
      <c r="F819" s="26"/>
      <c r="G819" s="37"/>
      <c r="H819" s="37"/>
      <c r="I819" s="37"/>
      <c r="J819" s="37"/>
      <c r="K819" s="37"/>
      <c r="L819" s="23"/>
      <c r="M819" s="23"/>
    </row>
    <row r="820" ht="15.75" customHeight="1">
      <c r="A820" s="23"/>
      <c r="B820" s="24"/>
      <c r="C820" s="25"/>
      <c r="D820" s="26"/>
      <c r="E820" s="26"/>
      <c r="F820" s="26"/>
      <c r="G820" s="37"/>
      <c r="H820" s="37"/>
      <c r="I820" s="37"/>
      <c r="J820" s="37"/>
      <c r="K820" s="37"/>
      <c r="L820" s="23"/>
      <c r="M820" s="23"/>
    </row>
    <row r="821" ht="15.75" customHeight="1">
      <c r="A821" s="23"/>
      <c r="B821" s="24"/>
      <c r="C821" s="25"/>
      <c r="D821" s="26"/>
      <c r="E821" s="26"/>
      <c r="F821" s="26"/>
      <c r="G821" s="37"/>
      <c r="H821" s="37"/>
      <c r="I821" s="37"/>
      <c r="J821" s="37"/>
      <c r="K821" s="37"/>
      <c r="L821" s="23"/>
      <c r="M821" s="23"/>
    </row>
    <row r="822" ht="15.75" customHeight="1">
      <c r="A822" s="23"/>
      <c r="B822" s="24"/>
      <c r="C822" s="25"/>
      <c r="D822" s="26"/>
      <c r="E822" s="26"/>
      <c r="F822" s="26"/>
      <c r="G822" s="37"/>
      <c r="H822" s="37"/>
      <c r="I822" s="37"/>
      <c r="J822" s="37"/>
      <c r="K822" s="37"/>
      <c r="L822" s="23"/>
      <c r="M822" s="23"/>
    </row>
    <row r="823" ht="15.75" customHeight="1">
      <c r="A823" s="23"/>
      <c r="B823" s="24"/>
      <c r="C823" s="25"/>
      <c r="D823" s="26"/>
      <c r="E823" s="26"/>
      <c r="F823" s="26"/>
      <c r="G823" s="37"/>
      <c r="H823" s="37"/>
      <c r="I823" s="37"/>
      <c r="J823" s="37"/>
      <c r="K823" s="37"/>
      <c r="L823" s="23"/>
      <c r="M823" s="23"/>
    </row>
    <row r="824" ht="15.75" customHeight="1">
      <c r="A824" s="23"/>
      <c r="B824" s="24"/>
      <c r="C824" s="25"/>
      <c r="D824" s="26"/>
      <c r="E824" s="26"/>
      <c r="F824" s="26"/>
      <c r="G824" s="37"/>
      <c r="H824" s="37"/>
      <c r="I824" s="37"/>
      <c r="J824" s="37"/>
      <c r="K824" s="37"/>
      <c r="L824" s="23"/>
      <c r="M824" s="23"/>
    </row>
    <row r="825" ht="15.75" customHeight="1">
      <c r="A825" s="23"/>
      <c r="B825" s="24"/>
      <c r="C825" s="25"/>
      <c r="D825" s="26"/>
      <c r="E825" s="26"/>
      <c r="F825" s="26"/>
      <c r="G825" s="37"/>
      <c r="H825" s="37"/>
      <c r="I825" s="37"/>
      <c r="J825" s="37"/>
      <c r="K825" s="37"/>
      <c r="L825" s="23"/>
      <c r="M825" s="23"/>
    </row>
    <row r="826" ht="15.75" customHeight="1">
      <c r="A826" s="23"/>
      <c r="B826" s="24"/>
      <c r="C826" s="25"/>
      <c r="D826" s="26"/>
      <c r="E826" s="26"/>
      <c r="F826" s="26"/>
      <c r="G826" s="37"/>
      <c r="H826" s="37"/>
      <c r="I826" s="37"/>
      <c r="J826" s="37"/>
      <c r="K826" s="37"/>
      <c r="L826" s="23"/>
      <c r="M826" s="23"/>
    </row>
    <row r="827" ht="15.75" customHeight="1">
      <c r="A827" s="23"/>
      <c r="B827" s="24"/>
      <c r="C827" s="25"/>
      <c r="D827" s="26"/>
      <c r="E827" s="26"/>
      <c r="F827" s="26"/>
      <c r="G827" s="37"/>
      <c r="H827" s="37"/>
      <c r="I827" s="37"/>
      <c r="J827" s="37"/>
      <c r="K827" s="37"/>
      <c r="L827" s="23"/>
      <c r="M827" s="23"/>
    </row>
    <row r="828" ht="15.75" customHeight="1">
      <c r="A828" s="23"/>
      <c r="B828" s="24"/>
      <c r="C828" s="25"/>
      <c r="D828" s="26"/>
      <c r="E828" s="26"/>
      <c r="F828" s="26"/>
      <c r="G828" s="37"/>
      <c r="H828" s="37"/>
      <c r="I828" s="37"/>
      <c r="J828" s="37"/>
      <c r="K828" s="37"/>
      <c r="L828" s="23"/>
      <c r="M828" s="23"/>
    </row>
    <row r="829" ht="15.75" customHeight="1">
      <c r="A829" s="23"/>
      <c r="B829" s="24"/>
      <c r="C829" s="25"/>
      <c r="D829" s="26"/>
      <c r="E829" s="26"/>
      <c r="F829" s="26"/>
      <c r="G829" s="37"/>
      <c r="H829" s="37"/>
      <c r="I829" s="37"/>
      <c r="J829" s="37"/>
      <c r="K829" s="37"/>
      <c r="L829" s="23"/>
      <c r="M829" s="23"/>
    </row>
    <row r="830" ht="15.75" customHeight="1">
      <c r="A830" s="23"/>
      <c r="B830" s="24"/>
      <c r="C830" s="25"/>
      <c r="D830" s="26"/>
      <c r="E830" s="26"/>
      <c r="F830" s="26"/>
      <c r="G830" s="37"/>
      <c r="H830" s="37"/>
      <c r="I830" s="37"/>
      <c r="J830" s="37"/>
      <c r="K830" s="37"/>
      <c r="L830" s="23"/>
      <c r="M830" s="23"/>
    </row>
    <row r="831" ht="15.75" customHeight="1">
      <c r="A831" s="23"/>
      <c r="B831" s="24"/>
      <c r="C831" s="25"/>
      <c r="D831" s="26"/>
      <c r="E831" s="26"/>
      <c r="F831" s="26"/>
      <c r="G831" s="37"/>
      <c r="H831" s="37"/>
      <c r="I831" s="37"/>
      <c r="J831" s="37"/>
      <c r="K831" s="37"/>
      <c r="L831" s="23"/>
      <c r="M831" s="23"/>
    </row>
    <row r="832" ht="15.75" customHeight="1">
      <c r="A832" s="23"/>
      <c r="B832" s="24"/>
      <c r="C832" s="25"/>
      <c r="D832" s="26"/>
      <c r="E832" s="26"/>
      <c r="F832" s="26"/>
      <c r="G832" s="37"/>
      <c r="H832" s="37"/>
      <c r="I832" s="37"/>
      <c r="J832" s="37"/>
      <c r="K832" s="37"/>
      <c r="L832" s="23"/>
      <c r="M832" s="23"/>
    </row>
    <row r="833" ht="15.75" customHeight="1">
      <c r="A833" s="23"/>
      <c r="B833" s="24"/>
      <c r="C833" s="25"/>
      <c r="D833" s="26"/>
      <c r="E833" s="26"/>
      <c r="F833" s="26"/>
      <c r="G833" s="37"/>
      <c r="H833" s="37"/>
      <c r="I833" s="37"/>
      <c r="J833" s="37"/>
      <c r="K833" s="37"/>
      <c r="L833" s="23"/>
      <c r="M833" s="23"/>
    </row>
    <row r="834" ht="15.75" customHeight="1">
      <c r="A834" s="23"/>
      <c r="B834" s="24"/>
      <c r="C834" s="25"/>
      <c r="D834" s="26"/>
      <c r="E834" s="26"/>
      <c r="F834" s="26"/>
      <c r="G834" s="37"/>
      <c r="H834" s="37"/>
      <c r="I834" s="37"/>
      <c r="J834" s="37"/>
      <c r="K834" s="37"/>
      <c r="L834" s="23"/>
      <c r="M834" s="23"/>
    </row>
    <row r="835" ht="15.75" customHeight="1">
      <c r="A835" s="23"/>
      <c r="B835" s="24"/>
      <c r="C835" s="25"/>
      <c r="D835" s="26"/>
      <c r="E835" s="26"/>
      <c r="F835" s="26"/>
      <c r="G835" s="37"/>
      <c r="H835" s="37"/>
      <c r="I835" s="37"/>
      <c r="J835" s="37"/>
      <c r="K835" s="37"/>
      <c r="L835" s="23"/>
      <c r="M835" s="23"/>
    </row>
    <row r="836" ht="15.75" customHeight="1">
      <c r="A836" s="23"/>
      <c r="B836" s="24"/>
      <c r="C836" s="25"/>
      <c r="D836" s="26"/>
      <c r="E836" s="26"/>
      <c r="F836" s="26"/>
      <c r="G836" s="37"/>
      <c r="H836" s="37"/>
      <c r="I836" s="37"/>
      <c r="J836" s="37"/>
      <c r="K836" s="37"/>
      <c r="L836" s="23"/>
      <c r="M836" s="23"/>
    </row>
    <row r="837" ht="15.75" customHeight="1">
      <c r="A837" s="23"/>
      <c r="B837" s="24"/>
      <c r="C837" s="25"/>
      <c r="D837" s="26"/>
      <c r="E837" s="26"/>
      <c r="F837" s="26"/>
      <c r="G837" s="37"/>
      <c r="H837" s="37"/>
      <c r="I837" s="37"/>
      <c r="J837" s="37"/>
      <c r="K837" s="37"/>
      <c r="L837" s="23"/>
      <c r="M837" s="23"/>
    </row>
    <row r="838" ht="15.75" customHeight="1">
      <c r="A838" s="23"/>
      <c r="B838" s="24"/>
      <c r="C838" s="25"/>
      <c r="D838" s="26"/>
      <c r="E838" s="26"/>
      <c r="F838" s="26"/>
      <c r="G838" s="37"/>
      <c r="H838" s="37"/>
      <c r="I838" s="37"/>
      <c r="J838" s="37"/>
      <c r="K838" s="37"/>
      <c r="L838" s="23"/>
      <c r="M838" s="23"/>
    </row>
    <row r="839" ht="15.75" customHeight="1">
      <c r="A839" s="23"/>
      <c r="B839" s="24"/>
      <c r="C839" s="25"/>
      <c r="D839" s="26"/>
      <c r="E839" s="26"/>
      <c r="F839" s="26"/>
      <c r="G839" s="37"/>
      <c r="H839" s="37"/>
      <c r="I839" s="37"/>
      <c r="J839" s="37"/>
      <c r="K839" s="37"/>
      <c r="L839" s="23"/>
      <c r="M839" s="23"/>
    </row>
    <row r="840" ht="15.75" customHeight="1">
      <c r="A840" s="23"/>
      <c r="B840" s="24"/>
      <c r="C840" s="25"/>
      <c r="D840" s="26"/>
      <c r="E840" s="26"/>
      <c r="F840" s="26"/>
      <c r="G840" s="37"/>
      <c r="H840" s="37"/>
      <c r="I840" s="37"/>
      <c r="J840" s="37"/>
      <c r="K840" s="37"/>
      <c r="L840" s="23"/>
      <c r="M840" s="23"/>
    </row>
    <row r="841" ht="15.75" customHeight="1">
      <c r="A841" s="23"/>
      <c r="B841" s="24"/>
      <c r="C841" s="25"/>
      <c r="D841" s="26"/>
      <c r="E841" s="26"/>
      <c r="F841" s="26"/>
      <c r="G841" s="37"/>
      <c r="H841" s="37"/>
      <c r="I841" s="37"/>
      <c r="J841" s="37"/>
      <c r="K841" s="37"/>
      <c r="L841" s="23"/>
      <c r="M841" s="23"/>
    </row>
    <row r="842" ht="15.75" customHeight="1">
      <c r="A842" s="23"/>
      <c r="B842" s="24"/>
      <c r="C842" s="25"/>
      <c r="D842" s="26"/>
      <c r="E842" s="26"/>
      <c r="F842" s="26"/>
      <c r="G842" s="37"/>
      <c r="H842" s="37"/>
      <c r="I842" s="37"/>
      <c r="J842" s="37"/>
      <c r="K842" s="37"/>
      <c r="L842" s="23"/>
      <c r="M842" s="23"/>
    </row>
    <row r="843" ht="15.75" customHeight="1">
      <c r="A843" s="23"/>
      <c r="B843" s="24"/>
      <c r="C843" s="25"/>
      <c r="D843" s="26"/>
      <c r="E843" s="26"/>
      <c r="F843" s="26"/>
      <c r="G843" s="37"/>
      <c r="H843" s="37"/>
      <c r="I843" s="37"/>
      <c r="J843" s="37"/>
      <c r="K843" s="37"/>
      <c r="L843" s="23"/>
      <c r="M843" s="23"/>
    </row>
    <row r="844" ht="15.75" customHeight="1">
      <c r="A844" s="23"/>
      <c r="B844" s="24"/>
      <c r="C844" s="25"/>
      <c r="D844" s="26"/>
      <c r="E844" s="26"/>
      <c r="F844" s="26"/>
      <c r="G844" s="37"/>
      <c r="H844" s="37"/>
      <c r="I844" s="37"/>
      <c r="J844" s="37"/>
      <c r="K844" s="37"/>
      <c r="L844" s="23"/>
      <c r="M844" s="23"/>
    </row>
    <row r="845" ht="15.75" customHeight="1">
      <c r="A845" s="23"/>
      <c r="B845" s="24"/>
      <c r="C845" s="25"/>
      <c r="D845" s="26"/>
      <c r="E845" s="26"/>
      <c r="F845" s="26"/>
      <c r="G845" s="37"/>
      <c r="H845" s="37"/>
      <c r="I845" s="37"/>
      <c r="J845" s="37"/>
      <c r="K845" s="37"/>
      <c r="L845" s="23"/>
      <c r="M845" s="23"/>
    </row>
    <row r="846" ht="15.75" customHeight="1">
      <c r="A846" s="23"/>
      <c r="B846" s="24"/>
      <c r="C846" s="25"/>
      <c r="D846" s="26"/>
      <c r="E846" s="26"/>
      <c r="F846" s="26"/>
      <c r="G846" s="37"/>
      <c r="H846" s="37"/>
      <c r="I846" s="37"/>
      <c r="J846" s="37"/>
      <c r="K846" s="37"/>
      <c r="L846" s="23"/>
      <c r="M846" s="23"/>
    </row>
    <row r="847" ht="15.75" customHeight="1">
      <c r="A847" s="23"/>
      <c r="B847" s="24"/>
      <c r="C847" s="25"/>
      <c r="D847" s="26"/>
      <c r="E847" s="26"/>
      <c r="F847" s="26"/>
      <c r="G847" s="37"/>
      <c r="H847" s="37"/>
      <c r="I847" s="37"/>
      <c r="J847" s="37"/>
      <c r="K847" s="37"/>
      <c r="L847" s="23"/>
      <c r="M847" s="23"/>
    </row>
    <row r="848" ht="15.75" customHeight="1">
      <c r="A848" s="23"/>
      <c r="B848" s="24"/>
      <c r="C848" s="25"/>
      <c r="D848" s="26"/>
      <c r="E848" s="26"/>
      <c r="F848" s="26"/>
      <c r="G848" s="37"/>
      <c r="H848" s="37"/>
      <c r="I848" s="37"/>
      <c r="J848" s="37"/>
      <c r="K848" s="37"/>
      <c r="L848" s="23"/>
      <c r="M848" s="23"/>
    </row>
    <row r="849" ht="15.75" customHeight="1">
      <c r="A849" s="23"/>
      <c r="B849" s="24"/>
      <c r="C849" s="25"/>
      <c r="D849" s="26"/>
      <c r="E849" s="26"/>
      <c r="F849" s="26"/>
      <c r="G849" s="37"/>
      <c r="H849" s="37"/>
      <c r="I849" s="37"/>
      <c r="J849" s="37"/>
      <c r="K849" s="37"/>
      <c r="L849" s="23"/>
      <c r="M849" s="23"/>
    </row>
    <row r="850" ht="15.75" customHeight="1">
      <c r="A850" s="23"/>
      <c r="B850" s="24"/>
      <c r="C850" s="25"/>
      <c r="D850" s="26"/>
      <c r="E850" s="26"/>
      <c r="F850" s="26"/>
      <c r="G850" s="37"/>
      <c r="H850" s="37"/>
      <c r="I850" s="37"/>
      <c r="J850" s="37"/>
      <c r="K850" s="37"/>
      <c r="L850" s="23"/>
      <c r="M850" s="23"/>
    </row>
    <row r="851" ht="15.75" customHeight="1">
      <c r="A851" s="23"/>
      <c r="B851" s="24"/>
      <c r="C851" s="25"/>
      <c r="D851" s="26"/>
      <c r="E851" s="26"/>
      <c r="F851" s="26"/>
      <c r="G851" s="37"/>
      <c r="H851" s="37"/>
      <c r="I851" s="37"/>
      <c r="J851" s="37"/>
      <c r="K851" s="37"/>
      <c r="L851" s="23"/>
      <c r="M851" s="23"/>
    </row>
    <row r="852" ht="15.75" customHeight="1">
      <c r="A852" s="23"/>
      <c r="B852" s="24"/>
      <c r="C852" s="25"/>
      <c r="D852" s="26"/>
      <c r="E852" s="26"/>
      <c r="F852" s="26"/>
      <c r="G852" s="37"/>
      <c r="H852" s="37"/>
      <c r="I852" s="37"/>
      <c r="J852" s="37"/>
      <c r="K852" s="37"/>
      <c r="L852" s="23"/>
      <c r="M852" s="23"/>
    </row>
    <row r="853" ht="15.75" customHeight="1">
      <c r="A853" s="23"/>
      <c r="B853" s="24"/>
      <c r="C853" s="25"/>
      <c r="D853" s="26"/>
      <c r="E853" s="26"/>
      <c r="F853" s="26"/>
      <c r="G853" s="37"/>
      <c r="H853" s="37"/>
      <c r="I853" s="37"/>
      <c r="J853" s="37"/>
      <c r="K853" s="37"/>
      <c r="L853" s="23"/>
      <c r="M853" s="23"/>
    </row>
    <row r="854" ht="15.75" customHeight="1">
      <c r="A854" s="23"/>
      <c r="B854" s="24"/>
      <c r="C854" s="25"/>
      <c r="D854" s="26"/>
      <c r="E854" s="26"/>
      <c r="F854" s="26"/>
      <c r="G854" s="37"/>
      <c r="H854" s="37"/>
      <c r="I854" s="37"/>
      <c r="J854" s="37"/>
      <c r="K854" s="37"/>
      <c r="L854" s="23"/>
      <c r="M854" s="23"/>
    </row>
    <row r="855" ht="15.75" customHeight="1">
      <c r="A855" s="23"/>
      <c r="B855" s="24"/>
      <c r="C855" s="25"/>
      <c r="D855" s="26"/>
      <c r="E855" s="26"/>
      <c r="F855" s="26"/>
      <c r="G855" s="37"/>
      <c r="H855" s="37"/>
      <c r="I855" s="37"/>
      <c r="J855" s="37"/>
      <c r="K855" s="37"/>
      <c r="L855" s="23"/>
      <c r="M855" s="23"/>
    </row>
    <row r="856" ht="15.75" customHeight="1">
      <c r="A856" s="23"/>
      <c r="B856" s="24"/>
      <c r="C856" s="25"/>
      <c r="D856" s="26"/>
      <c r="E856" s="26"/>
      <c r="F856" s="26"/>
      <c r="G856" s="37"/>
      <c r="H856" s="37"/>
      <c r="I856" s="37"/>
      <c r="J856" s="37"/>
      <c r="K856" s="37"/>
      <c r="L856" s="23"/>
      <c r="M856" s="23"/>
    </row>
    <row r="857" ht="15.75" customHeight="1">
      <c r="A857" s="23"/>
      <c r="B857" s="24"/>
      <c r="C857" s="25"/>
      <c r="D857" s="26"/>
      <c r="E857" s="26"/>
      <c r="F857" s="26"/>
      <c r="G857" s="37"/>
      <c r="H857" s="37"/>
      <c r="I857" s="37"/>
      <c r="J857" s="37"/>
      <c r="K857" s="37"/>
      <c r="L857" s="23"/>
      <c r="M857" s="23"/>
    </row>
    <row r="858" ht="15.75" customHeight="1">
      <c r="A858" s="23"/>
      <c r="B858" s="24"/>
      <c r="C858" s="25"/>
      <c r="D858" s="26"/>
      <c r="E858" s="26"/>
      <c r="F858" s="26"/>
      <c r="G858" s="37"/>
      <c r="H858" s="37"/>
      <c r="I858" s="37"/>
      <c r="J858" s="37"/>
      <c r="K858" s="37"/>
      <c r="L858" s="23"/>
      <c r="M858" s="23"/>
    </row>
    <row r="859" ht="15.75" customHeight="1">
      <c r="A859" s="23"/>
      <c r="B859" s="24"/>
      <c r="C859" s="25"/>
      <c r="D859" s="26"/>
      <c r="E859" s="26"/>
      <c r="F859" s="26"/>
      <c r="G859" s="37"/>
      <c r="H859" s="37"/>
      <c r="I859" s="37"/>
      <c r="J859" s="37"/>
      <c r="K859" s="37"/>
      <c r="L859" s="23"/>
      <c r="M859" s="23"/>
    </row>
    <row r="860" ht="15.75" customHeight="1">
      <c r="A860" s="23"/>
      <c r="B860" s="24"/>
      <c r="C860" s="25"/>
      <c r="D860" s="26"/>
      <c r="E860" s="26"/>
      <c r="F860" s="26"/>
      <c r="G860" s="37"/>
      <c r="H860" s="37"/>
      <c r="I860" s="37"/>
      <c r="J860" s="37"/>
      <c r="K860" s="37"/>
      <c r="L860" s="23"/>
      <c r="M860" s="23"/>
    </row>
    <row r="861" ht="15.75" customHeight="1">
      <c r="A861" s="23"/>
      <c r="B861" s="24"/>
      <c r="C861" s="25"/>
      <c r="D861" s="26"/>
      <c r="E861" s="26"/>
      <c r="F861" s="26"/>
      <c r="G861" s="37"/>
      <c r="H861" s="37"/>
      <c r="I861" s="37"/>
      <c r="J861" s="37"/>
      <c r="K861" s="37"/>
      <c r="L861" s="23"/>
      <c r="M861" s="23"/>
    </row>
    <row r="862" ht="15.75" customHeight="1">
      <c r="A862" s="23"/>
      <c r="B862" s="24"/>
      <c r="C862" s="25"/>
      <c r="D862" s="26"/>
      <c r="E862" s="26"/>
      <c r="F862" s="26"/>
      <c r="G862" s="37"/>
      <c r="H862" s="37"/>
      <c r="I862" s="37"/>
      <c r="J862" s="37"/>
      <c r="K862" s="37"/>
      <c r="L862" s="23"/>
      <c r="M862" s="23"/>
    </row>
    <row r="863" ht="15.75" customHeight="1">
      <c r="A863" s="23"/>
      <c r="B863" s="24"/>
      <c r="C863" s="25"/>
      <c r="D863" s="26"/>
      <c r="E863" s="26"/>
      <c r="F863" s="26"/>
      <c r="G863" s="37"/>
      <c r="H863" s="37"/>
      <c r="I863" s="37"/>
      <c r="J863" s="37"/>
      <c r="K863" s="37"/>
      <c r="L863" s="23"/>
      <c r="M863" s="23"/>
    </row>
    <row r="864" ht="15.75" customHeight="1">
      <c r="A864" s="23"/>
      <c r="B864" s="24"/>
      <c r="C864" s="25"/>
      <c r="D864" s="26"/>
      <c r="E864" s="26"/>
      <c r="F864" s="26"/>
      <c r="G864" s="37"/>
      <c r="H864" s="37"/>
      <c r="I864" s="37"/>
      <c r="J864" s="37"/>
      <c r="K864" s="37"/>
      <c r="L864" s="23"/>
      <c r="M864" s="23"/>
    </row>
    <row r="865" ht="15.75" customHeight="1">
      <c r="A865" s="23"/>
      <c r="B865" s="24"/>
      <c r="C865" s="25"/>
      <c r="D865" s="26"/>
      <c r="E865" s="26"/>
      <c r="F865" s="26"/>
      <c r="G865" s="37"/>
      <c r="H865" s="37"/>
      <c r="I865" s="37"/>
      <c r="J865" s="37"/>
      <c r="K865" s="37"/>
      <c r="L865" s="23"/>
      <c r="M865" s="23"/>
    </row>
    <row r="866" ht="15.75" customHeight="1">
      <c r="A866" s="23"/>
      <c r="B866" s="24"/>
      <c r="C866" s="25"/>
      <c r="D866" s="26"/>
      <c r="E866" s="26"/>
      <c r="F866" s="26"/>
      <c r="G866" s="37"/>
      <c r="H866" s="37"/>
      <c r="I866" s="37"/>
      <c r="J866" s="37"/>
      <c r="K866" s="37"/>
      <c r="L866" s="23"/>
      <c r="M866" s="23"/>
    </row>
    <row r="867" ht="15.75" customHeight="1">
      <c r="A867" s="23"/>
      <c r="B867" s="24"/>
      <c r="C867" s="25"/>
      <c r="D867" s="26"/>
      <c r="E867" s="26"/>
      <c r="F867" s="26"/>
      <c r="G867" s="37"/>
      <c r="H867" s="37"/>
      <c r="I867" s="37"/>
      <c r="J867" s="37"/>
      <c r="K867" s="37"/>
      <c r="L867" s="23"/>
      <c r="M867" s="23"/>
    </row>
    <row r="868" ht="15.75" customHeight="1">
      <c r="A868" s="23"/>
      <c r="B868" s="24"/>
      <c r="C868" s="25"/>
      <c r="D868" s="26"/>
      <c r="E868" s="26"/>
      <c r="F868" s="26"/>
      <c r="G868" s="37"/>
      <c r="H868" s="37"/>
      <c r="I868" s="37"/>
      <c r="J868" s="37"/>
      <c r="K868" s="37"/>
      <c r="L868" s="23"/>
      <c r="M868" s="23"/>
    </row>
    <row r="869" ht="15.75" customHeight="1">
      <c r="A869" s="23"/>
      <c r="B869" s="24"/>
      <c r="C869" s="25"/>
      <c r="D869" s="26"/>
      <c r="E869" s="26"/>
      <c r="F869" s="26"/>
      <c r="G869" s="37"/>
      <c r="H869" s="37"/>
      <c r="I869" s="37"/>
      <c r="J869" s="37"/>
      <c r="K869" s="37"/>
      <c r="L869" s="23"/>
      <c r="M869" s="23"/>
    </row>
    <row r="870" ht="15.75" customHeight="1">
      <c r="A870" s="23"/>
      <c r="B870" s="24"/>
      <c r="C870" s="25"/>
      <c r="D870" s="26"/>
      <c r="E870" s="26"/>
      <c r="F870" s="26"/>
      <c r="G870" s="37"/>
      <c r="H870" s="37"/>
      <c r="I870" s="37"/>
      <c r="J870" s="37"/>
      <c r="K870" s="37"/>
      <c r="L870" s="23"/>
      <c r="M870" s="23"/>
    </row>
    <row r="871" ht="15.75" customHeight="1">
      <c r="A871" s="23"/>
      <c r="B871" s="24"/>
      <c r="C871" s="25"/>
      <c r="D871" s="26"/>
      <c r="E871" s="26"/>
      <c r="F871" s="26"/>
      <c r="G871" s="37"/>
      <c r="H871" s="37"/>
      <c r="I871" s="37"/>
      <c r="J871" s="37"/>
      <c r="K871" s="37"/>
      <c r="L871" s="23"/>
      <c r="M871" s="23"/>
    </row>
    <row r="872" ht="15.75" customHeight="1">
      <c r="A872" s="23"/>
      <c r="B872" s="24"/>
      <c r="C872" s="25"/>
      <c r="D872" s="26"/>
      <c r="E872" s="26"/>
      <c r="F872" s="26"/>
      <c r="G872" s="37"/>
      <c r="H872" s="37"/>
      <c r="I872" s="37"/>
      <c r="J872" s="37"/>
      <c r="K872" s="37"/>
      <c r="L872" s="23"/>
      <c r="M872" s="23"/>
    </row>
    <row r="873" ht="15.75" customHeight="1">
      <c r="A873" s="23"/>
      <c r="B873" s="24"/>
      <c r="C873" s="25"/>
      <c r="D873" s="26"/>
      <c r="E873" s="26"/>
      <c r="F873" s="26"/>
      <c r="G873" s="37"/>
      <c r="H873" s="37"/>
      <c r="I873" s="37"/>
      <c r="J873" s="37"/>
      <c r="K873" s="37"/>
      <c r="L873" s="23"/>
      <c r="M873" s="23"/>
    </row>
    <row r="874" ht="15.75" customHeight="1">
      <c r="A874" s="23"/>
      <c r="B874" s="24"/>
      <c r="C874" s="25"/>
      <c r="D874" s="26"/>
      <c r="E874" s="26"/>
      <c r="F874" s="26"/>
      <c r="G874" s="37"/>
      <c r="H874" s="37"/>
      <c r="I874" s="37"/>
      <c r="J874" s="37"/>
      <c r="K874" s="37"/>
      <c r="L874" s="23"/>
      <c r="M874" s="23"/>
    </row>
    <row r="875" ht="15.75" customHeight="1">
      <c r="A875" s="23"/>
      <c r="B875" s="24"/>
      <c r="C875" s="25"/>
      <c r="D875" s="26"/>
      <c r="E875" s="26"/>
      <c r="F875" s="26"/>
      <c r="G875" s="37"/>
      <c r="H875" s="37"/>
      <c r="I875" s="37"/>
      <c r="J875" s="37"/>
      <c r="K875" s="37"/>
      <c r="L875" s="23"/>
      <c r="M875" s="23"/>
    </row>
    <row r="876" ht="15.75" customHeight="1">
      <c r="A876" s="23"/>
      <c r="B876" s="24"/>
      <c r="C876" s="25"/>
      <c r="D876" s="26"/>
      <c r="E876" s="26"/>
      <c r="F876" s="26"/>
      <c r="G876" s="37"/>
      <c r="H876" s="37"/>
      <c r="I876" s="37"/>
      <c r="J876" s="37"/>
      <c r="K876" s="37"/>
      <c r="L876" s="23"/>
      <c r="M876" s="23"/>
    </row>
    <row r="877" ht="15.75" customHeight="1">
      <c r="A877" s="23"/>
      <c r="B877" s="24"/>
      <c r="C877" s="25"/>
      <c r="D877" s="26"/>
      <c r="E877" s="26"/>
      <c r="F877" s="26"/>
      <c r="G877" s="37"/>
      <c r="H877" s="37"/>
      <c r="I877" s="37"/>
      <c r="J877" s="37"/>
      <c r="K877" s="37"/>
      <c r="L877" s="23"/>
      <c r="M877" s="23"/>
    </row>
    <row r="878" ht="15.75" customHeight="1">
      <c r="A878" s="23"/>
      <c r="B878" s="24"/>
      <c r="C878" s="25"/>
      <c r="D878" s="26"/>
      <c r="E878" s="26"/>
      <c r="F878" s="26"/>
      <c r="G878" s="37"/>
      <c r="H878" s="37"/>
      <c r="I878" s="37"/>
      <c r="J878" s="37"/>
      <c r="K878" s="37"/>
      <c r="L878" s="23"/>
      <c r="M878" s="23"/>
    </row>
    <row r="879" ht="15.75" customHeight="1">
      <c r="A879" s="23"/>
      <c r="B879" s="24"/>
      <c r="C879" s="25"/>
      <c r="D879" s="26"/>
      <c r="E879" s="26"/>
      <c r="F879" s="26"/>
      <c r="G879" s="37"/>
      <c r="H879" s="37"/>
      <c r="I879" s="37"/>
      <c r="J879" s="37"/>
      <c r="K879" s="37"/>
      <c r="L879" s="23"/>
      <c r="M879" s="23"/>
    </row>
    <row r="880" ht="15.75" customHeight="1">
      <c r="A880" s="23"/>
      <c r="B880" s="24"/>
      <c r="C880" s="25"/>
      <c r="D880" s="26"/>
      <c r="E880" s="26"/>
      <c r="F880" s="26"/>
      <c r="G880" s="37"/>
      <c r="H880" s="37"/>
      <c r="I880" s="37"/>
      <c r="J880" s="37"/>
      <c r="K880" s="37"/>
      <c r="L880" s="23"/>
      <c r="M880" s="23"/>
    </row>
    <row r="881" ht="15.75" customHeight="1">
      <c r="A881" s="23"/>
      <c r="B881" s="24"/>
      <c r="C881" s="25"/>
      <c r="D881" s="26"/>
      <c r="E881" s="26"/>
      <c r="F881" s="26"/>
      <c r="G881" s="37"/>
      <c r="H881" s="37"/>
      <c r="I881" s="37"/>
      <c r="J881" s="37"/>
      <c r="K881" s="37"/>
      <c r="L881" s="23"/>
      <c r="M881" s="23"/>
    </row>
    <row r="882" ht="15.75" customHeight="1">
      <c r="A882" s="23"/>
      <c r="B882" s="24"/>
      <c r="C882" s="25"/>
      <c r="D882" s="26"/>
      <c r="E882" s="26"/>
      <c r="F882" s="26"/>
      <c r="G882" s="37"/>
      <c r="H882" s="37"/>
      <c r="I882" s="37"/>
      <c r="J882" s="37"/>
      <c r="K882" s="37"/>
      <c r="L882" s="23"/>
      <c r="M882" s="23"/>
    </row>
    <row r="883" ht="15.75" customHeight="1">
      <c r="A883" s="23"/>
      <c r="B883" s="24"/>
      <c r="C883" s="25"/>
      <c r="D883" s="26"/>
      <c r="E883" s="26"/>
      <c r="F883" s="26"/>
      <c r="G883" s="37"/>
      <c r="H883" s="37"/>
      <c r="I883" s="37"/>
      <c r="J883" s="37"/>
      <c r="K883" s="37"/>
      <c r="L883" s="23"/>
      <c r="M883" s="23"/>
    </row>
    <row r="884" ht="15.75" customHeight="1">
      <c r="A884" s="23"/>
      <c r="B884" s="24"/>
      <c r="C884" s="25"/>
      <c r="D884" s="26"/>
      <c r="E884" s="26"/>
      <c r="F884" s="26"/>
      <c r="G884" s="37"/>
      <c r="H884" s="37"/>
      <c r="I884" s="37"/>
      <c r="J884" s="37"/>
      <c r="K884" s="37"/>
      <c r="L884" s="23"/>
      <c r="M884" s="23"/>
    </row>
    <row r="885" ht="15.75" customHeight="1">
      <c r="A885" s="23"/>
      <c r="B885" s="24"/>
      <c r="C885" s="25"/>
      <c r="D885" s="26"/>
      <c r="E885" s="26"/>
      <c r="F885" s="26"/>
      <c r="G885" s="37"/>
      <c r="H885" s="37"/>
      <c r="I885" s="37"/>
      <c r="J885" s="37"/>
      <c r="K885" s="37"/>
      <c r="L885" s="23"/>
      <c r="M885" s="23"/>
    </row>
    <row r="886" ht="15.75" customHeight="1">
      <c r="A886" s="23"/>
      <c r="B886" s="24"/>
      <c r="C886" s="25"/>
      <c r="D886" s="26"/>
      <c r="E886" s="26"/>
      <c r="F886" s="26"/>
      <c r="G886" s="37"/>
      <c r="H886" s="37"/>
      <c r="I886" s="37"/>
      <c r="J886" s="37"/>
      <c r="K886" s="37"/>
      <c r="L886" s="23"/>
      <c r="M886" s="23"/>
    </row>
    <row r="887" ht="15.75" customHeight="1">
      <c r="A887" s="23"/>
      <c r="B887" s="24"/>
      <c r="C887" s="25"/>
      <c r="D887" s="26"/>
      <c r="E887" s="26"/>
      <c r="F887" s="26"/>
      <c r="G887" s="37"/>
      <c r="H887" s="37"/>
      <c r="I887" s="37"/>
      <c r="J887" s="37"/>
      <c r="K887" s="37"/>
      <c r="L887" s="23"/>
      <c r="M887" s="23"/>
    </row>
    <row r="888" ht="15.75" customHeight="1">
      <c r="A888" s="23"/>
      <c r="B888" s="24"/>
      <c r="C888" s="25"/>
      <c r="D888" s="26"/>
      <c r="E888" s="26"/>
      <c r="F888" s="26"/>
      <c r="G888" s="37"/>
      <c r="H888" s="37"/>
      <c r="I888" s="37"/>
      <c r="J888" s="37"/>
      <c r="K888" s="37"/>
      <c r="L888" s="23"/>
      <c r="M888" s="23"/>
    </row>
    <row r="889" ht="15.75" customHeight="1">
      <c r="A889" s="23"/>
      <c r="B889" s="24"/>
      <c r="C889" s="25"/>
      <c r="D889" s="26"/>
      <c r="E889" s="26"/>
      <c r="F889" s="26"/>
      <c r="G889" s="37"/>
      <c r="H889" s="37"/>
      <c r="I889" s="37"/>
      <c r="J889" s="37"/>
      <c r="K889" s="37"/>
      <c r="L889" s="23"/>
      <c r="M889" s="23"/>
    </row>
    <row r="890" ht="15.75" customHeight="1">
      <c r="A890" s="23"/>
      <c r="B890" s="24"/>
      <c r="C890" s="25"/>
      <c r="D890" s="26"/>
      <c r="E890" s="26"/>
      <c r="F890" s="26"/>
      <c r="G890" s="37"/>
      <c r="H890" s="37"/>
      <c r="I890" s="37"/>
      <c r="J890" s="37"/>
      <c r="K890" s="37"/>
      <c r="L890" s="23"/>
      <c r="M890" s="23"/>
    </row>
    <row r="891" ht="15.75" customHeight="1">
      <c r="A891" s="23"/>
      <c r="B891" s="24"/>
      <c r="C891" s="25"/>
      <c r="D891" s="26"/>
      <c r="E891" s="26"/>
      <c r="F891" s="26"/>
      <c r="G891" s="37"/>
      <c r="H891" s="37"/>
      <c r="I891" s="37"/>
      <c r="J891" s="37"/>
      <c r="K891" s="37"/>
      <c r="L891" s="23"/>
      <c r="M891" s="23"/>
    </row>
    <row r="892" ht="15.75" customHeight="1">
      <c r="A892" s="23"/>
      <c r="B892" s="24"/>
      <c r="C892" s="25"/>
      <c r="D892" s="26"/>
      <c r="E892" s="26"/>
      <c r="F892" s="26"/>
      <c r="G892" s="37"/>
      <c r="H892" s="37"/>
      <c r="I892" s="37"/>
      <c r="J892" s="37"/>
      <c r="K892" s="37"/>
      <c r="L892" s="23"/>
      <c r="M892" s="23"/>
    </row>
    <row r="893" ht="15.75" customHeight="1">
      <c r="A893" s="23"/>
      <c r="B893" s="24"/>
      <c r="C893" s="25"/>
      <c r="D893" s="26"/>
      <c r="E893" s="26"/>
      <c r="F893" s="26"/>
      <c r="G893" s="37"/>
      <c r="H893" s="37"/>
      <c r="I893" s="37"/>
      <c r="J893" s="37"/>
      <c r="K893" s="37"/>
      <c r="L893" s="23"/>
      <c r="M893" s="23"/>
    </row>
    <row r="894" ht="15.75" customHeight="1">
      <c r="A894" s="23"/>
      <c r="B894" s="24"/>
      <c r="C894" s="25"/>
      <c r="D894" s="26"/>
      <c r="E894" s="26"/>
      <c r="F894" s="26"/>
      <c r="G894" s="37"/>
      <c r="H894" s="37"/>
      <c r="I894" s="37"/>
      <c r="J894" s="37"/>
      <c r="K894" s="37"/>
      <c r="L894" s="23"/>
      <c r="M894" s="23"/>
    </row>
    <row r="895" ht="15.75" customHeight="1">
      <c r="A895" s="23"/>
      <c r="B895" s="24"/>
      <c r="C895" s="25"/>
      <c r="D895" s="26"/>
      <c r="E895" s="26"/>
      <c r="F895" s="26"/>
      <c r="G895" s="37"/>
      <c r="H895" s="37"/>
      <c r="I895" s="37"/>
      <c r="J895" s="37"/>
      <c r="K895" s="37"/>
      <c r="L895" s="23"/>
      <c r="M895" s="23"/>
    </row>
    <row r="896" ht="15.75" customHeight="1">
      <c r="A896" s="23"/>
      <c r="B896" s="24"/>
      <c r="C896" s="25"/>
      <c r="D896" s="26"/>
      <c r="E896" s="26"/>
      <c r="F896" s="26"/>
      <c r="G896" s="37"/>
      <c r="H896" s="37"/>
      <c r="I896" s="37"/>
      <c r="J896" s="37"/>
      <c r="K896" s="37"/>
      <c r="L896" s="23"/>
      <c r="M896" s="23"/>
    </row>
    <row r="897" ht="15.75" customHeight="1">
      <c r="A897" s="23"/>
      <c r="B897" s="24"/>
      <c r="C897" s="25"/>
      <c r="D897" s="26"/>
      <c r="E897" s="26"/>
      <c r="F897" s="26"/>
      <c r="G897" s="37"/>
      <c r="H897" s="37"/>
      <c r="I897" s="37"/>
      <c r="J897" s="37"/>
      <c r="K897" s="37"/>
      <c r="L897" s="23"/>
      <c r="M897" s="23"/>
    </row>
    <row r="898" ht="15.75" customHeight="1">
      <c r="A898" s="23"/>
      <c r="B898" s="24"/>
      <c r="C898" s="25"/>
      <c r="D898" s="26"/>
      <c r="E898" s="26"/>
      <c r="F898" s="26"/>
      <c r="G898" s="37"/>
      <c r="H898" s="37"/>
      <c r="I898" s="37"/>
      <c r="J898" s="37"/>
      <c r="K898" s="37"/>
      <c r="L898" s="23"/>
      <c r="M898" s="23"/>
    </row>
    <row r="899" ht="15.75" customHeight="1">
      <c r="A899" s="23"/>
      <c r="B899" s="24"/>
      <c r="C899" s="25"/>
      <c r="D899" s="26"/>
      <c r="E899" s="26"/>
      <c r="F899" s="26"/>
      <c r="G899" s="37"/>
      <c r="H899" s="37"/>
      <c r="I899" s="37"/>
      <c r="J899" s="37"/>
      <c r="K899" s="37"/>
      <c r="L899" s="23"/>
      <c r="M899" s="23"/>
    </row>
    <row r="900" ht="15.75" customHeight="1">
      <c r="A900" s="23"/>
      <c r="B900" s="24"/>
      <c r="C900" s="25"/>
      <c r="D900" s="26"/>
      <c r="E900" s="26"/>
      <c r="F900" s="26"/>
      <c r="G900" s="37"/>
      <c r="H900" s="37"/>
      <c r="I900" s="37"/>
      <c r="J900" s="37"/>
      <c r="K900" s="37"/>
      <c r="L900" s="23"/>
      <c r="M900" s="23"/>
    </row>
    <row r="901" ht="15.75" customHeight="1">
      <c r="A901" s="23"/>
      <c r="B901" s="24"/>
      <c r="C901" s="25"/>
      <c r="D901" s="26"/>
      <c r="E901" s="26"/>
      <c r="F901" s="26"/>
      <c r="G901" s="37"/>
      <c r="H901" s="37"/>
      <c r="I901" s="37"/>
      <c r="J901" s="37"/>
      <c r="K901" s="37"/>
      <c r="L901" s="23"/>
      <c r="M901" s="23"/>
    </row>
    <row r="902" ht="15.75" customHeight="1">
      <c r="A902" s="23"/>
      <c r="B902" s="24"/>
      <c r="C902" s="25"/>
      <c r="D902" s="26"/>
      <c r="E902" s="26"/>
      <c r="F902" s="26"/>
      <c r="G902" s="37"/>
      <c r="H902" s="37"/>
      <c r="I902" s="37"/>
      <c r="J902" s="37"/>
      <c r="K902" s="37"/>
      <c r="L902" s="23"/>
      <c r="M902" s="23"/>
    </row>
    <row r="903" ht="15.75" customHeight="1">
      <c r="A903" s="23"/>
      <c r="B903" s="24"/>
      <c r="C903" s="25"/>
      <c r="D903" s="26"/>
      <c r="E903" s="26"/>
      <c r="F903" s="26"/>
      <c r="G903" s="37"/>
      <c r="H903" s="37"/>
      <c r="I903" s="37"/>
      <c r="J903" s="37"/>
      <c r="K903" s="37"/>
      <c r="L903" s="23"/>
      <c r="M903" s="23"/>
    </row>
    <row r="904" ht="15.75" customHeight="1">
      <c r="A904" s="23"/>
      <c r="B904" s="24"/>
      <c r="C904" s="25"/>
      <c r="D904" s="26"/>
      <c r="E904" s="26"/>
      <c r="F904" s="26"/>
      <c r="G904" s="37"/>
      <c r="H904" s="37"/>
      <c r="I904" s="37"/>
      <c r="J904" s="37"/>
      <c r="K904" s="37"/>
      <c r="L904" s="23"/>
      <c r="M904" s="23"/>
    </row>
    <row r="905" ht="15.75" customHeight="1">
      <c r="A905" s="23"/>
      <c r="B905" s="24"/>
      <c r="C905" s="25"/>
      <c r="D905" s="26"/>
      <c r="E905" s="26"/>
      <c r="F905" s="26"/>
      <c r="G905" s="37"/>
      <c r="H905" s="37"/>
      <c r="I905" s="37"/>
      <c r="J905" s="37"/>
      <c r="K905" s="37"/>
      <c r="L905" s="23"/>
      <c r="M905" s="23"/>
    </row>
    <row r="906" ht="15.75" customHeight="1">
      <c r="A906" s="23"/>
      <c r="B906" s="24"/>
      <c r="C906" s="25"/>
      <c r="D906" s="26"/>
      <c r="E906" s="26"/>
      <c r="F906" s="26"/>
      <c r="G906" s="37"/>
      <c r="H906" s="37"/>
      <c r="I906" s="37"/>
      <c r="J906" s="37"/>
      <c r="K906" s="37"/>
      <c r="L906" s="23"/>
      <c r="M906" s="23"/>
    </row>
    <row r="907" ht="15.75" customHeight="1">
      <c r="A907" s="23"/>
      <c r="B907" s="24"/>
      <c r="C907" s="25"/>
      <c r="D907" s="26"/>
      <c r="E907" s="26"/>
      <c r="F907" s="26"/>
      <c r="G907" s="37"/>
      <c r="H907" s="37"/>
      <c r="I907" s="37"/>
      <c r="J907" s="37"/>
      <c r="K907" s="37"/>
      <c r="L907" s="23"/>
      <c r="M907" s="23"/>
    </row>
    <row r="908" ht="15.75" customHeight="1">
      <c r="A908" s="23"/>
      <c r="B908" s="24"/>
      <c r="C908" s="25"/>
      <c r="D908" s="26"/>
      <c r="E908" s="26"/>
      <c r="F908" s="26"/>
      <c r="G908" s="37"/>
      <c r="H908" s="37"/>
      <c r="I908" s="37"/>
      <c r="J908" s="37"/>
      <c r="K908" s="37"/>
      <c r="L908" s="23"/>
      <c r="M908" s="23"/>
    </row>
    <row r="909" ht="15.75" customHeight="1">
      <c r="A909" s="23"/>
      <c r="B909" s="24"/>
      <c r="C909" s="25"/>
      <c r="D909" s="26"/>
      <c r="E909" s="26"/>
      <c r="F909" s="26"/>
      <c r="G909" s="37"/>
      <c r="H909" s="37"/>
      <c r="I909" s="37"/>
      <c r="J909" s="37"/>
      <c r="K909" s="37"/>
      <c r="L909" s="23"/>
      <c r="M909" s="23"/>
    </row>
    <row r="910" ht="15.75" customHeight="1">
      <c r="A910" s="23"/>
      <c r="B910" s="24"/>
      <c r="C910" s="25"/>
      <c r="D910" s="26"/>
      <c r="E910" s="26"/>
      <c r="F910" s="26"/>
      <c r="G910" s="37"/>
      <c r="H910" s="37"/>
      <c r="I910" s="37"/>
      <c r="J910" s="37"/>
      <c r="K910" s="37"/>
      <c r="L910" s="23"/>
      <c r="M910" s="23"/>
    </row>
    <row r="911" ht="15.75" customHeight="1">
      <c r="A911" s="23"/>
      <c r="B911" s="24"/>
      <c r="C911" s="25"/>
      <c r="D911" s="26"/>
      <c r="E911" s="26"/>
      <c r="F911" s="26"/>
      <c r="G911" s="37"/>
      <c r="H911" s="37"/>
      <c r="I911" s="37"/>
      <c r="J911" s="37"/>
      <c r="K911" s="37"/>
      <c r="L911" s="23"/>
      <c r="M911" s="23"/>
    </row>
    <row r="912" ht="15.75" customHeight="1">
      <c r="A912" s="23"/>
      <c r="B912" s="24"/>
      <c r="C912" s="25"/>
      <c r="D912" s="26"/>
      <c r="E912" s="26"/>
      <c r="F912" s="26"/>
      <c r="G912" s="37"/>
      <c r="H912" s="37"/>
      <c r="I912" s="37"/>
      <c r="J912" s="37"/>
      <c r="K912" s="37"/>
      <c r="L912" s="23"/>
      <c r="M912" s="23"/>
    </row>
    <row r="913" ht="15.75" customHeight="1">
      <c r="A913" s="23"/>
      <c r="B913" s="24"/>
      <c r="C913" s="25"/>
      <c r="D913" s="26"/>
      <c r="E913" s="26"/>
      <c r="F913" s="26"/>
      <c r="G913" s="37"/>
      <c r="H913" s="37"/>
      <c r="I913" s="37"/>
      <c r="J913" s="37"/>
      <c r="K913" s="37"/>
      <c r="L913" s="23"/>
      <c r="M913" s="23"/>
    </row>
    <row r="914" ht="15.75" customHeight="1">
      <c r="A914" s="23"/>
      <c r="B914" s="24"/>
      <c r="C914" s="25"/>
      <c r="D914" s="26"/>
      <c r="E914" s="26"/>
      <c r="F914" s="26"/>
      <c r="G914" s="37"/>
      <c r="H914" s="37"/>
      <c r="I914" s="37"/>
      <c r="J914" s="37"/>
      <c r="K914" s="37"/>
      <c r="L914" s="23"/>
      <c r="M914" s="23"/>
    </row>
    <row r="915" ht="15.75" customHeight="1">
      <c r="A915" s="23"/>
      <c r="B915" s="24"/>
      <c r="C915" s="25"/>
      <c r="D915" s="26"/>
      <c r="E915" s="26"/>
      <c r="F915" s="26"/>
      <c r="G915" s="37"/>
      <c r="H915" s="37"/>
      <c r="I915" s="37"/>
      <c r="J915" s="37"/>
      <c r="K915" s="37"/>
      <c r="L915" s="23"/>
      <c r="M915" s="23"/>
    </row>
    <row r="916" ht="15.75" customHeight="1">
      <c r="A916" s="23"/>
      <c r="B916" s="24"/>
      <c r="C916" s="25"/>
      <c r="D916" s="26"/>
      <c r="E916" s="26"/>
      <c r="F916" s="26"/>
      <c r="G916" s="37"/>
      <c r="H916" s="37"/>
      <c r="I916" s="37"/>
      <c r="J916" s="37"/>
      <c r="K916" s="37"/>
      <c r="L916" s="23"/>
      <c r="M916" s="23"/>
    </row>
    <row r="917" ht="15.75" customHeight="1">
      <c r="A917" s="23"/>
      <c r="B917" s="24"/>
      <c r="C917" s="25"/>
      <c r="D917" s="26"/>
      <c r="E917" s="26"/>
      <c r="F917" s="26"/>
      <c r="G917" s="37"/>
      <c r="H917" s="37"/>
      <c r="I917" s="37"/>
      <c r="J917" s="37"/>
      <c r="K917" s="37"/>
      <c r="L917" s="23"/>
      <c r="M917" s="23"/>
    </row>
    <row r="918" ht="15.75" customHeight="1">
      <c r="A918" s="23"/>
      <c r="B918" s="24"/>
      <c r="C918" s="25"/>
      <c r="D918" s="26"/>
      <c r="E918" s="26"/>
      <c r="F918" s="26"/>
      <c r="G918" s="37"/>
      <c r="H918" s="37"/>
      <c r="I918" s="37"/>
      <c r="J918" s="37"/>
      <c r="K918" s="37"/>
      <c r="L918" s="23"/>
      <c r="M918" s="23"/>
    </row>
    <row r="919" ht="15.75" customHeight="1">
      <c r="A919" s="23"/>
      <c r="B919" s="24"/>
      <c r="C919" s="25"/>
      <c r="D919" s="26"/>
      <c r="E919" s="26"/>
      <c r="F919" s="26"/>
      <c r="G919" s="37"/>
      <c r="H919" s="37"/>
      <c r="I919" s="37"/>
      <c r="J919" s="37"/>
      <c r="K919" s="37"/>
      <c r="L919" s="23"/>
      <c r="M919" s="23"/>
    </row>
    <row r="920" ht="15.75" customHeight="1">
      <c r="A920" s="23"/>
      <c r="B920" s="24"/>
      <c r="C920" s="25"/>
      <c r="D920" s="26"/>
      <c r="E920" s="26"/>
      <c r="F920" s="26"/>
      <c r="G920" s="37"/>
      <c r="H920" s="37"/>
      <c r="I920" s="37"/>
      <c r="J920" s="37"/>
      <c r="K920" s="37"/>
      <c r="L920" s="23"/>
      <c r="M920" s="23"/>
    </row>
    <row r="921" ht="15.75" customHeight="1">
      <c r="A921" s="23"/>
      <c r="B921" s="24"/>
      <c r="C921" s="25"/>
      <c r="D921" s="26"/>
      <c r="E921" s="26"/>
      <c r="F921" s="26"/>
      <c r="G921" s="37"/>
      <c r="H921" s="37"/>
      <c r="I921" s="37"/>
      <c r="J921" s="37"/>
      <c r="K921" s="37"/>
      <c r="L921" s="23"/>
      <c r="M921" s="23"/>
    </row>
    <row r="922" ht="15.75" customHeight="1">
      <c r="A922" s="23"/>
      <c r="B922" s="24"/>
      <c r="C922" s="25"/>
      <c r="D922" s="26"/>
      <c r="E922" s="26"/>
      <c r="F922" s="26"/>
      <c r="G922" s="37"/>
      <c r="H922" s="37"/>
      <c r="I922" s="37"/>
      <c r="J922" s="37"/>
      <c r="K922" s="37"/>
      <c r="L922" s="23"/>
      <c r="M922" s="23"/>
    </row>
    <row r="923" ht="15.75" customHeight="1">
      <c r="A923" s="23"/>
      <c r="B923" s="24"/>
      <c r="C923" s="25"/>
      <c r="D923" s="26"/>
      <c r="E923" s="26"/>
      <c r="F923" s="26"/>
      <c r="G923" s="37"/>
      <c r="H923" s="37"/>
      <c r="I923" s="37"/>
      <c r="J923" s="37"/>
      <c r="K923" s="37"/>
      <c r="L923" s="23"/>
      <c r="M923" s="23"/>
    </row>
    <row r="924" ht="15.75" customHeight="1">
      <c r="A924" s="23"/>
      <c r="B924" s="24"/>
      <c r="C924" s="25"/>
      <c r="D924" s="26"/>
      <c r="E924" s="26"/>
      <c r="F924" s="26"/>
      <c r="G924" s="37"/>
      <c r="H924" s="37"/>
      <c r="I924" s="37"/>
      <c r="J924" s="37"/>
      <c r="K924" s="37"/>
      <c r="L924" s="23"/>
      <c r="M924" s="23"/>
    </row>
    <row r="925" ht="15.75" customHeight="1">
      <c r="A925" s="23"/>
      <c r="B925" s="24"/>
      <c r="C925" s="25"/>
      <c r="D925" s="26"/>
      <c r="E925" s="26"/>
      <c r="F925" s="26"/>
      <c r="G925" s="37"/>
      <c r="H925" s="37"/>
      <c r="I925" s="37"/>
      <c r="J925" s="37"/>
      <c r="K925" s="37"/>
      <c r="L925" s="23"/>
      <c r="M925" s="23"/>
    </row>
    <row r="926" ht="15.75" customHeight="1">
      <c r="A926" s="23"/>
      <c r="B926" s="24"/>
      <c r="C926" s="25"/>
      <c r="D926" s="26"/>
      <c r="E926" s="26"/>
      <c r="F926" s="26"/>
      <c r="G926" s="37"/>
      <c r="H926" s="37"/>
      <c r="I926" s="37"/>
      <c r="J926" s="37"/>
      <c r="K926" s="37"/>
      <c r="L926" s="23"/>
      <c r="M926" s="23"/>
    </row>
    <row r="927" ht="15.75" customHeight="1">
      <c r="A927" s="23"/>
      <c r="B927" s="24"/>
      <c r="C927" s="25"/>
      <c r="D927" s="26"/>
      <c r="E927" s="26"/>
      <c r="F927" s="26"/>
      <c r="G927" s="37"/>
      <c r="H927" s="37"/>
      <c r="I927" s="37"/>
      <c r="J927" s="37"/>
      <c r="K927" s="37"/>
      <c r="L927" s="23"/>
      <c r="M927" s="23"/>
    </row>
    <row r="928" ht="15.75" customHeight="1">
      <c r="A928" s="23"/>
      <c r="B928" s="24"/>
      <c r="C928" s="25"/>
      <c r="D928" s="26"/>
      <c r="E928" s="26"/>
      <c r="F928" s="26"/>
      <c r="G928" s="37"/>
      <c r="H928" s="37"/>
      <c r="I928" s="37"/>
      <c r="J928" s="37"/>
      <c r="K928" s="37"/>
      <c r="L928" s="23"/>
      <c r="M928" s="23"/>
    </row>
    <row r="929" ht="15.75" customHeight="1">
      <c r="A929" s="23"/>
      <c r="B929" s="24"/>
      <c r="C929" s="25"/>
      <c r="D929" s="26"/>
      <c r="E929" s="26"/>
      <c r="F929" s="26"/>
      <c r="G929" s="37"/>
      <c r="H929" s="37"/>
      <c r="I929" s="37"/>
      <c r="J929" s="37"/>
      <c r="K929" s="37"/>
      <c r="L929" s="23"/>
      <c r="M929" s="23"/>
    </row>
    <row r="930" ht="15.75" customHeight="1">
      <c r="A930" s="23"/>
      <c r="B930" s="24"/>
      <c r="C930" s="25"/>
      <c r="D930" s="26"/>
      <c r="E930" s="26"/>
      <c r="F930" s="26"/>
      <c r="G930" s="37"/>
      <c r="H930" s="37"/>
      <c r="I930" s="37"/>
      <c r="J930" s="37"/>
      <c r="K930" s="37"/>
      <c r="L930" s="23"/>
      <c r="M930" s="23"/>
    </row>
    <row r="931" ht="15.75" customHeight="1">
      <c r="A931" s="23"/>
      <c r="B931" s="24"/>
      <c r="C931" s="25"/>
      <c r="D931" s="26"/>
      <c r="E931" s="26"/>
      <c r="F931" s="26"/>
      <c r="G931" s="37"/>
      <c r="H931" s="37"/>
      <c r="I931" s="37"/>
      <c r="J931" s="37"/>
      <c r="K931" s="37"/>
      <c r="L931" s="23"/>
      <c r="M931" s="23"/>
    </row>
    <row r="932" ht="15.75" customHeight="1">
      <c r="A932" s="23"/>
      <c r="B932" s="24"/>
      <c r="C932" s="25"/>
      <c r="D932" s="26"/>
      <c r="E932" s="26"/>
      <c r="F932" s="26"/>
      <c r="G932" s="37"/>
      <c r="H932" s="37"/>
      <c r="I932" s="37"/>
      <c r="J932" s="37"/>
      <c r="K932" s="37"/>
      <c r="L932" s="23"/>
      <c r="M932" s="23"/>
    </row>
    <row r="933" ht="15.75" customHeight="1">
      <c r="A933" s="23"/>
      <c r="B933" s="24"/>
      <c r="C933" s="25"/>
      <c r="D933" s="26"/>
      <c r="E933" s="26"/>
      <c r="F933" s="26"/>
      <c r="G933" s="37"/>
      <c r="H933" s="37"/>
      <c r="I933" s="37"/>
      <c r="J933" s="37"/>
      <c r="K933" s="37"/>
      <c r="L933" s="23"/>
      <c r="M933" s="23"/>
    </row>
    <row r="934" ht="15.75" customHeight="1">
      <c r="A934" s="23"/>
      <c r="B934" s="24"/>
      <c r="C934" s="25"/>
      <c r="D934" s="26"/>
      <c r="E934" s="26"/>
      <c r="F934" s="26"/>
      <c r="G934" s="37"/>
      <c r="H934" s="37"/>
      <c r="I934" s="37"/>
      <c r="J934" s="37"/>
      <c r="K934" s="37"/>
      <c r="L934" s="23"/>
      <c r="M934" s="23"/>
    </row>
    <row r="935" ht="15.75" customHeight="1">
      <c r="A935" s="23"/>
      <c r="B935" s="24"/>
      <c r="C935" s="25"/>
      <c r="D935" s="26"/>
      <c r="E935" s="26"/>
      <c r="F935" s="26"/>
      <c r="G935" s="37"/>
      <c r="H935" s="37"/>
      <c r="I935" s="37"/>
      <c r="J935" s="37"/>
      <c r="K935" s="37"/>
      <c r="L935" s="23"/>
      <c r="M935" s="23"/>
    </row>
    <row r="936" ht="15.75" customHeight="1">
      <c r="A936" s="23"/>
      <c r="B936" s="24"/>
      <c r="C936" s="25"/>
      <c r="D936" s="26"/>
      <c r="E936" s="26"/>
      <c r="F936" s="26"/>
      <c r="G936" s="37"/>
      <c r="H936" s="37"/>
      <c r="I936" s="37"/>
      <c r="J936" s="37"/>
      <c r="K936" s="37"/>
      <c r="L936" s="23"/>
      <c r="M936" s="23"/>
    </row>
    <row r="937" ht="15.75" customHeight="1">
      <c r="A937" s="23"/>
      <c r="B937" s="24"/>
      <c r="C937" s="25"/>
      <c r="D937" s="26"/>
      <c r="E937" s="26"/>
      <c r="F937" s="26"/>
      <c r="G937" s="37"/>
      <c r="H937" s="37"/>
      <c r="I937" s="37"/>
      <c r="J937" s="37"/>
      <c r="K937" s="37"/>
      <c r="L937" s="23"/>
      <c r="M937" s="23"/>
    </row>
    <row r="938" ht="15.75" customHeight="1">
      <c r="A938" s="23"/>
      <c r="B938" s="24"/>
      <c r="C938" s="25"/>
      <c r="D938" s="26"/>
      <c r="E938" s="26"/>
      <c r="F938" s="26"/>
      <c r="G938" s="37"/>
      <c r="H938" s="37"/>
      <c r="I938" s="37"/>
      <c r="J938" s="37"/>
      <c r="K938" s="37"/>
      <c r="L938" s="23"/>
      <c r="M938" s="23"/>
    </row>
    <row r="939" ht="15.75" customHeight="1">
      <c r="A939" s="23"/>
      <c r="B939" s="24"/>
      <c r="C939" s="25"/>
      <c r="D939" s="26"/>
      <c r="E939" s="26"/>
      <c r="F939" s="26"/>
      <c r="G939" s="37"/>
      <c r="H939" s="37"/>
      <c r="I939" s="37"/>
      <c r="J939" s="37"/>
      <c r="K939" s="37"/>
      <c r="L939" s="23"/>
      <c r="M939" s="23"/>
    </row>
    <row r="940" ht="15.75" customHeight="1">
      <c r="A940" s="23"/>
      <c r="B940" s="24"/>
      <c r="C940" s="25"/>
      <c r="D940" s="26"/>
      <c r="E940" s="26"/>
      <c r="F940" s="26"/>
      <c r="G940" s="37"/>
      <c r="H940" s="37"/>
      <c r="I940" s="37"/>
      <c r="J940" s="37"/>
      <c r="K940" s="37"/>
      <c r="L940" s="23"/>
      <c r="M940" s="23"/>
    </row>
    <row r="941" ht="15.75" customHeight="1">
      <c r="A941" s="23"/>
      <c r="B941" s="24"/>
      <c r="C941" s="25"/>
      <c r="D941" s="26"/>
      <c r="E941" s="26"/>
      <c r="F941" s="26"/>
      <c r="G941" s="37"/>
      <c r="H941" s="37"/>
      <c r="I941" s="37"/>
      <c r="J941" s="37"/>
      <c r="K941" s="37"/>
      <c r="L941" s="23"/>
      <c r="M941" s="23"/>
    </row>
    <row r="942" ht="15.75" customHeight="1">
      <c r="A942" s="23"/>
      <c r="B942" s="24"/>
      <c r="C942" s="25"/>
      <c r="D942" s="26"/>
      <c r="E942" s="26"/>
      <c r="F942" s="26"/>
      <c r="G942" s="37"/>
      <c r="H942" s="37"/>
      <c r="I942" s="37"/>
      <c r="J942" s="37"/>
      <c r="K942" s="37"/>
      <c r="L942" s="23"/>
      <c r="M942" s="23"/>
    </row>
    <row r="943" ht="15.75" customHeight="1">
      <c r="A943" s="23"/>
      <c r="B943" s="24"/>
      <c r="C943" s="25"/>
      <c r="D943" s="26"/>
      <c r="E943" s="26"/>
      <c r="F943" s="26"/>
      <c r="G943" s="37"/>
      <c r="H943" s="37"/>
      <c r="I943" s="37"/>
      <c r="J943" s="37"/>
      <c r="K943" s="37"/>
      <c r="L943" s="23"/>
      <c r="M943" s="23"/>
    </row>
    <row r="944" ht="15.75" customHeight="1">
      <c r="A944" s="23"/>
      <c r="B944" s="24"/>
      <c r="C944" s="25"/>
      <c r="D944" s="26"/>
      <c r="E944" s="26"/>
      <c r="F944" s="26"/>
      <c r="G944" s="37"/>
      <c r="H944" s="37"/>
      <c r="I944" s="37"/>
      <c r="J944" s="37"/>
      <c r="K944" s="37"/>
      <c r="L944" s="23"/>
      <c r="M944" s="23"/>
    </row>
    <row r="945" ht="15.75" customHeight="1">
      <c r="A945" s="23"/>
      <c r="B945" s="24"/>
      <c r="C945" s="25"/>
      <c r="D945" s="26"/>
      <c r="E945" s="26"/>
      <c r="F945" s="26"/>
      <c r="G945" s="37"/>
      <c r="H945" s="37"/>
      <c r="I945" s="37"/>
      <c r="J945" s="37"/>
      <c r="K945" s="37"/>
      <c r="L945" s="23"/>
      <c r="M945" s="23"/>
    </row>
    <row r="946" ht="15.75" customHeight="1">
      <c r="A946" s="23"/>
      <c r="B946" s="24"/>
      <c r="C946" s="25"/>
      <c r="D946" s="26"/>
      <c r="E946" s="26"/>
      <c r="F946" s="26"/>
      <c r="G946" s="37"/>
      <c r="H946" s="37"/>
      <c r="I946" s="37"/>
      <c r="J946" s="37"/>
      <c r="K946" s="37"/>
      <c r="L946" s="23"/>
      <c r="M946" s="23"/>
    </row>
    <row r="947" ht="15.75" customHeight="1">
      <c r="A947" s="23"/>
      <c r="B947" s="24"/>
      <c r="C947" s="25"/>
      <c r="D947" s="26"/>
      <c r="E947" s="26"/>
      <c r="F947" s="26"/>
      <c r="G947" s="37"/>
      <c r="H947" s="37"/>
      <c r="I947" s="37"/>
      <c r="J947" s="37"/>
      <c r="K947" s="37"/>
      <c r="L947" s="23"/>
      <c r="M947" s="23"/>
    </row>
    <row r="948" ht="15.75" customHeight="1">
      <c r="A948" s="23"/>
      <c r="B948" s="24"/>
      <c r="C948" s="25"/>
      <c r="D948" s="26"/>
      <c r="E948" s="26"/>
      <c r="F948" s="26"/>
      <c r="G948" s="37"/>
      <c r="H948" s="37"/>
      <c r="I948" s="37"/>
      <c r="J948" s="37"/>
      <c r="K948" s="37"/>
      <c r="L948" s="23"/>
      <c r="M948" s="23"/>
    </row>
    <row r="949" ht="15.75" customHeight="1">
      <c r="A949" s="23"/>
      <c r="B949" s="24"/>
      <c r="C949" s="25"/>
      <c r="D949" s="26"/>
      <c r="E949" s="26"/>
      <c r="F949" s="26"/>
      <c r="G949" s="37"/>
      <c r="H949" s="37"/>
      <c r="I949" s="37"/>
      <c r="J949" s="37"/>
      <c r="K949" s="37"/>
      <c r="L949" s="23"/>
      <c r="M949" s="23"/>
    </row>
    <row r="950" ht="15.75" customHeight="1">
      <c r="A950" s="23"/>
      <c r="B950" s="24"/>
      <c r="C950" s="25"/>
      <c r="D950" s="26"/>
      <c r="E950" s="26"/>
      <c r="F950" s="26"/>
      <c r="G950" s="37"/>
      <c r="H950" s="37"/>
      <c r="I950" s="37"/>
      <c r="J950" s="37"/>
      <c r="K950" s="37"/>
      <c r="L950" s="23"/>
      <c r="M950" s="23"/>
    </row>
    <row r="951" ht="15.75" customHeight="1">
      <c r="A951" s="23"/>
      <c r="B951" s="24"/>
      <c r="C951" s="25"/>
      <c r="D951" s="26"/>
      <c r="E951" s="26"/>
      <c r="F951" s="26"/>
      <c r="G951" s="37"/>
      <c r="H951" s="37"/>
      <c r="I951" s="37"/>
      <c r="J951" s="37"/>
      <c r="K951" s="37"/>
      <c r="L951" s="23"/>
      <c r="M951" s="23"/>
    </row>
    <row r="952" ht="15.75" customHeight="1">
      <c r="A952" s="23"/>
      <c r="B952" s="24"/>
      <c r="C952" s="25"/>
      <c r="D952" s="26"/>
      <c r="E952" s="26"/>
      <c r="F952" s="26"/>
      <c r="G952" s="37"/>
      <c r="H952" s="37"/>
      <c r="I952" s="37"/>
      <c r="J952" s="37"/>
      <c r="K952" s="37"/>
      <c r="L952" s="23"/>
      <c r="M952" s="23"/>
    </row>
    <row r="953" ht="15.75" customHeight="1">
      <c r="A953" s="23"/>
      <c r="B953" s="24"/>
      <c r="C953" s="25"/>
      <c r="D953" s="26"/>
      <c r="E953" s="26"/>
      <c r="F953" s="26"/>
      <c r="G953" s="37"/>
      <c r="H953" s="37"/>
      <c r="I953" s="37"/>
      <c r="J953" s="37"/>
      <c r="K953" s="37"/>
      <c r="L953" s="23"/>
      <c r="M953" s="23"/>
    </row>
    <row r="954" ht="15.75" customHeight="1">
      <c r="A954" s="23"/>
      <c r="B954" s="24"/>
      <c r="C954" s="25"/>
      <c r="D954" s="26"/>
      <c r="E954" s="26"/>
      <c r="F954" s="26"/>
      <c r="G954" s="37"/>
      <c r="H954" s="37"/>
      <c r="I954" s="37"/>
      <c r="J954" s="37"/>
      <c r="K954" s="37"/>
      <c r="L954" s="23"/>
      <c r="M954" s="23"/>
    </row>
    <row r="955" ht="15.75" customHeight="1">
      <c r="A955" s="23"/>
      <c r="B955" s="24"/>
      <c r="C955" s="25"/>
      <c r="D955" s="26"/>
      <c r="E955" s="26"/>
      <c r="F955" s="26"/>
      <c r="G955" s="37"/>
      <c r="H955" s="37"/>
      <c r="I955" s="37"/>
      <c r="J955" s="37"/>
      <c r="K955" s="37"/>
      <c r="L955" s="23"/>
      <c r="M955" s="23"/>
    </row>
    <row r="956" ht="15.75" customHeight="1">
      <c r="A956" s="23"/>
      <c r="B956" s="24"/>
      <c r="C956" s="25"/>
      <c r="D956" s="26"/>
      <c r="E956" s="26"/>
      <c r="F956" s="26"/>
      <c r="G956" s="37"/>
      <c r="H956" s="37"/>
      <c r="I956" s="37"/>
      <c r="J956" s="37"/>
      <c r="K956" s="37"/>
      <c r="L956" s="23"/>
      <c r="M956" s="23"/>
    </row>
    <row r="957" ht="15.75" customHeight="1">
      <c r="A957" s="23"/>
      <c r="B957" s="24"/>
      <c r="C957" s="25"/>
      <c r="D957" s="26"/>
      <c r="E957" s="26"/>
      <c r="F957" s="26"/>
      <c r="G957" s="37"/>
      <c r="H957" s="37"/>
      <c r="I957" s="37"/>
      <c r="J957" s="37"/>
      <c r="K957" s="37"/>
      <c r="L957" s="23"/>
      <c r="M957" s="23"/>
    </row>
    <row r="958" ht="15.75" customHeight="1">
      <c r="A958" s="23"/>
      <c r="B958" s="24"/>
      <c r="C958" s="25"/>
      <c r="D958" s="26"/>
      <c r="E958" s="26"/>
      <c r="F958" s="26"/>
      <c r="G958" s="37"/>
      <c r="H958" s="37"/>
      <c r="I958" s="37"/>
      <c r="J958" s="37"/>
      <c r="K958" s="37"/>
      <c r="L958" s="23"/>
      <c r="M958" s="23"/>
    </row>
    <row r="959" ht="15.75" customHeight="1">
      <c r="A959" s="23"/>
      <c r="B959" s="24"/>
      <c r="C959" s="25"/>
      <c r="D959" s="26"/>
      <c r="E959" s="26"/>
      <c r="F959" s="26"/>
      <c r="G959" s="37"/>
      <c r="H959" s="37"/>
      <c r="I959" s="37"/>
      <c r="J959" s="37"/>
      <c r="K959" s="37"/>
      <c r="L959" s="23"/>
      <c r="M959" s="23"/>
    </row>
    <row r="960" ht="15.75" customHeight="1">
      <c r="A960" s="23"/>
      <c r="B960" s="24"/>
      <c r="C960" s="25"/>
      <c r="D960" s="26"/>
      <c r="E960" s="26"/>
      <c r="F960" s="26"/>
      <c r="G960" s="37"/>
      <c r="H960" s="37"/>
      <c r="I960" s="37"/>
      <c r="J960" s="37"/>
      <c r="K960" s="37"/>
      <c r="L960" s="23"/>
      <c r="M960" s="23"/>
    </row>
    <row r="961" ht="15.75" customHeight="1">
      <c r="A961" s="23"/>
      <c r="B961" s="24"/>
      <c r="C961" s="25"/>
      <c r="D961" s="26"/>
      <c r="E961" s="26"/>
      <c r="F961" s="26"/>
      <c r="G961" s="37"/>
      <c r="H961" s="37"/>
      <c r="I961" s="37"/>
      <c r="J961" s="37"/>
      <c r="K961" s="37"/>
      <c r="L961" s="23"/>
      <c r="M961" s="23"/>
    </row>
    <row r="962" ht="15.75" customHeight="1">
      <c r="A962" s="23"/>
      <c r="B962" s="24"/>
      <c r="C962" s="25"/>
      <c r="D962" s="26"/>
      <c r="E962" s="26"/>
      <c r="F962" s="26"/>
      <c r="G962" s="37"/>
      <c r="H962" s="37"/>
      <c r="I962" s="37"/>
      <c r="J962" s="37"/>
      <c r="K962" s="37"/>
      <c r="L962" s="23"/>
      <c r="M962" s="23"/>
    </row>
    <row r="963" ht="15.75" customHeight="1">
      <c r="A963" s="23"/>
      <c r="B963" s="24"/>
      <c r="C963" s="25"/>
      <c r="D963" s="26"/>
      <c r="E963" s="26"/>
      <c r="F963" s="26"/>
      <c r="G963" s="37"/>
      <c r="H963" s="37"/>
      <c r="I963" s="37"/>
      <c r="J963" s="37"/>
      <c r="K963" s="37"/>
      <c r="L963" s="23"/>
      <c r="M963" s="23"/>
    </row>
    <row r="964" ht="15.75" customHeight="1">
      <c r="A964" s="23"/>
      <c r="B964" s="24"/>
      <c r="C964" s="25"/>
      <c r="D964" s="26"/>
      <c r="E964" s="26"/>
      <c r="F964" s="26"/>
      <c r="G964" s="37"/>
      <c r="H964" s="37"/>
      <c r="I964" s="37"/>
      <c r="J964" s="37"/>
      <c r="K964" s="37"/>
      <c r="L964" s="23"/>
      <c r="M964" s="23"/>
    </row>
    <row r="965" ht="15.75" customHeight="1">
      <c r="A965" s="23"/>
      <c r="B965" s="24"/>
      <c r="C965" s="25"/>
      <c r="D965" s="26"/>
      <c r="E965" s="26"/>
      <c r="F965" s="26"/>
      <c r="G965" s="37"/>
      <c r="H965" s="37"/>
      <c r="I965" s="37"/>
      <c r="J965" s="37"/>
      <c r="K965" s="37"/>
      <c r="L965" s="23"/>
      <c r="M965" s="23"/>
    </row>
    <row r="966" ht="15.75" customHeight="1">
      <c r="A966" s="23"/>
      <c r="B966" s="24"/>
      <c r="C966" s="25"/>
      <c r="D966" s="26"/>
      <c r="E966" s="26"/>
      <c r="F966" s="26"/>
      <c r="G966" s="37"/>
      <c r="H966" s="37"/>
      <c r="I966" s="37"/>
      <c r="J966" s="37"/>
      <c r="K966" s="37"/>
      <c r="L966" s="23"/>
      <c r="M966" s="23"/>
    </row>
    <row r="967" ht="15.75" customHeight="1">
      <c r="A967" s="23"/>
      <c r="B967" s="24"/>
      <c r="C967" s="25"/>
      <c r="D967" s="26"/>
      <c r="E967" s="26"/>
      <c r="F967" s="26"/>
      <c r="G967" s="37"/>
      <c r="H967" s="37"/>
      <c r="I967" s="37"/>
      <c r="J967" s="37"/>
      <c r="K967" s="37"/>
      <c r="L967" s="23"/>
      <c r="M967" s="23"/>
    </row>
    <row r="968" ht="15.75" customHeight="1">
      <c r="A968" s="23"/>
      <c r="B968" s="24"/>
      <c r="C968" s="25"/>
      <c r="D968" s="26"/>
      <c r="E968" s="26"/>
      <c r="F968" s="26"/>
      <c r="G968" s="37"/>
      <c r="H968" s="37"/>
      <c r="I968" s="37"/>
      <c r="J968" s="37"/>
      <c r="K968" s="37"/>
      <c r="L968" s="23"/>
      <c r="M968" s="23"/>
    </row>
    <row r="969" ht="15.75" customHeight="1">
      <c r="A969" s="23"/>
      <c r="B969" s="24"/>
      <c r="C969" s="25"/>
      <c r="D969" s="26"/>
      <c r="E969" s="26"/>
      <c r="F969" s="26"/>
      <c r="G969" s="37"/>
      <c r="H969" s="37"/>
      <c r="I969" s="37"/>
      <c r="J969" s="37"/>
      <c r="K969" s="37"/>
      <c r="L969" s="23"/>
      <c r="M969" s="23"/>
    </row>
    <row r="970" ht="15.75" customHeight="1">
      <c r="A970" s="23"/>
      <c r="B970" s="24"/>
      <c r="C970" s="25"/>
      <c r="D970" s="26"/>
      <c r="E970" s="26"/>
      <c r="F970" s="26"/>
      <c r="G970" s="37"/>
      <c r="H970" s="37"/>
      <c r="I970" s="37"/>
      <c r="J970" s="37"/>
      <c r="K970" s="37"/>
      <c r="L970" s="23"/>
      <c r="M970" s="23"/>
    </row>
    <row r="971" ht="15.75" customHeight="1">
      <c r="A971" s="23"/>
      <c r="B971" s="24"/>
      <c r="C971" s="25"/>
      <c r="D971" s="26"/>
      <c r="E971" s="26"/>
      <c r="F971" s="26"/>
      <c r="G971" s="37"/>
      <c r="H971" s="37"/>
      <c r="I971" s="37"/>
      <c r="J971" s="37"/>
      <c r="K971" s="37"/>
      <c r="L971" s="23"/>
      <c r="M971" s="23"/>
    </row>
    <row r="972" ht="15.75" customHeight="1">
      <c r="A972" s="23"/>
      <c r="B972" s="24"/>
      <c r="C972" s="25"/>
      <c r="D972" s="26"/>
      <c r="E972" s="26"/>
      <c r="F972" s="26"/>
      <c r="G972" s="37"/>
      <c r="H972" s="37"/>
      <c r="I972" s="37"/>
      <c r="J972" s="37"/>
      <c r="K972" s="37"/>
      <c r="L972" s="23"/>
      <c r="M972" s="23"/>
    </row>
    <row r="973" ht="15.75" customHeight="1">
      <c r="A973" s="23"/>
      <c r="B973" s="24"/>
      <c r="C973" s="25"/>
      <c r="D973" s="26"/>
      <c r="E973" s="26"/>
      <c r="F973" s="26"/>
      <c r="G973" s="37"/>
      <c r="H973" s="37"/>
      <c r="I973" s="37"/>
      <c r="J973" s="37"/>
      <c r="K973" s="37"/>
      <c r="L973" s="23"/>
      <c r="M973" s="23"/>
    </row>
    <row r="974" ht="15.75" customHeight="1">
      <c r="A974" s="23"/>
      <c r="B974" s="24"/>
      <c r="C974" s="25"/>
      <c r="D974" s="26"/>
      <c r="E974" s="26"/>
      <c r="F974" s="26"/>
      <c r="G974" s="37"/>
      <c r="H974" s="37"/>
      <c r="I974" s="37"/>
      <c r="J974" s="37"/>
      <c r="K974" s="37"/>
      <c r="L974" s="23"/>
      <c r="M974" s="23"/>
    </row>
    <row r="975" ht="15.75" customHeight="1">
      <c r="A975" s="23"/>
      <c r="B975" s="24"/>
      <c r="C975" s="25"/>
      <c r="D975" s="26"/>
      <c r="E975" s="26"/>
      <c r="F975" s="26"/>
      <c r="G975" s="37"/>
      <c r="H975" s="37"/>
      <c r="I975" s="37"/>
      <c r="J975" s="37"/>
      <c r="K975" s="37"/>
      <c r="L975" s="23"/>
      <c r="M975" s="23"/>
    </row>
    <row r="976" ht="15.75" customHeight="1">
      <c r="A976" s="23"/>
      <c r="B976" s="24"/>
      <c r="C976" s="25"/>
      <c r="D976" s="26"/>
      <c r="E976" s="26"/>
      <c r="F976" s="26"/>
      <c r="G976" s="37"/>
      <c r="H976" s="37"/>
      <c r="I976" s="37"/>
      <c r="J976" s="37"/>
      <c r="K976" s="37"/>
      <c r="L976" s="23"/>
      <c r="M976" s="23"/>
    </row>
    <row r="977" ht="15.75" customHeight="1">
      <c r="A977" s="23"/>
      <c r="B977" s="24"/>
      <c r="C977" s="25"/>
      <c r="D977" s="26"/>
      <c r="E977" s="26"/>
      <c r="F977" s="26"/>
      <c r="G977" s="37"/>
      <c r="H977" s="37"/>
      <c r="I977" s="37"/>
      <c r="J977" s="37"/>
      <c r="K977" s="37"/>
      <c r="L977" s="23"/>
      <c r="M977" s="23"/>
    </row>
    <row r="978" ht="15.75" customHeight="1">
      <c r="A978" s="23"/>
      <c r="B978" s="24"/>
      <c r="C978" s="25"/>
      <c r="D978" s="26"/>
      <c r="E978" s="26"/>
      <c r="F978" s="26"/>
      <c r="G978" s="37"/>
      <c r="H978" s="37"/>
      <c r="I978" s="37"/>
      <c r="J978" s="37"/>
      <c r="K978" s="37"/>
      <c r="L978" s="23"/>
      <c r="M978" s="23"/>
    </row>
    <row r="979" ht="15.75" customHeight="1">
      <c r="A979" s="23"/>
      <c r="B979" s="24"/>
      <c r="C979" s="25"/>
      <c r="D979" s="26"/>
      <c r="E979" s="26"/>
      <c r="F979" s="26"/>
      <c r="G979" s="37"/>
      <c r="H979" s="37"/>
      <c r="I979" s="37"/>
      <c r="J979" s="37"/>
      <c r="K979" s="37"/>
      <c r="L979" s="23"/>
      <c r="M979" s="23"/>
    </row>
    <row r="980" ht="15.75" customHeight="1">
      <c r="A980" s="23"/>
      <c r="B980" s="24"/>
      <c r="C980" s="25"/>
      <c r="D980" s="26"/>
      <c r="E980" s="26"/>
      <c r="F980" s="26"/>
      <c r="G980" s="37"/>
      <c r="H980" s="37"/>
      <c r="I980" s="37"/>
      <c r="J980" s="37"/>
      <c r="K980" s="37"/>
      <c r="L980" s="23"/>
      <c r="M980" s="23"/>
    </row>
    <row r="981" ht="15.75" customHeight="1">
      <c r="A981" s="23"/>
      <c r="B981" s="24"/>
      <c r="C981" s="25"/>
      <c r="D981" s="26"/>
      <c r="E981" s="26"/>
      <c r="F981" s="26"/>
      <c r="G981" s="37"/>
      <c r="H981" s="37"/>
      <c r="I981" s="37"/>
      <c r="J981" s="37"/>
      <c r="K981" s="37"/>
      <c r="L981" s="23"/>
      <c r="M981" s="23"/>
    </row>
    <row r="982" ht="15.75" customHeight="1">
      <c r="A982" s="23"/>
      <c r="B982" s="24"/>
      <c r="C982" s="25"/>
      <c r="D982" s="26"/>
      <c r="E982" s="26"/>
      <c r="F982" s="26"/>
      <c r="G982" s="37"/>
      <c r="H982" s="37"/>
      <c r="I982" s="37"/>
      <c r="J982" s="37"/>
      <c r="K982" s="37"/>
      <c r="L982" s="23"/>
      <c r="M982" s="23"/>
    </row>
    <row r="983" ht="15.75" customHeight="1">
      <c r="A983" s="23"/>
      <c r="B983" s="24"/>
      <c r="C983" s="25"/>
      <c r="D983" s="26"/>
      <c r="E983" s="26"/>
      <c r="F983" s="26"/>
      <c r="G983" s="37"/>
      <c r="H983" s="37"/>
      <c r="I983" s="37"/>
      <c r="J983" s="37"/>
      <c r="K983" s="37"/>
      <c r="L983" s="23"/>
      <c r="M983" s="23"/>
    </row>
    <row r="984" ht="15.75" customHeight="1">
      <c r="A984" s="23"/>
      <c r="B984" s="24"/>
      <c r="C984" s="25"/>
      <c r="D984" s="26"/>
      <c r="E984" s="26"/>
      <c r="F984" s="26"/>
      <c r="G984" s="37"/>
      <c r="H984" s="37"/>
      <c r="I984" s="37"/>
      <c r="J984" s="37"/>
      <c r="K984" s="37"/>
      <c r="L984" s="23"/>
      <c r="M984" s="23"/>
    </row>
    <row r="985" ht="15.75" customHeight="1">
      <c r="A985" s="23"/>
      <c r="B985" s="24"/>
      <c r="C985" s="25"/>
      <c r="D985" s="26"/>
      <c r="E985" s="26"/>
      <c r="F985" s="26"/>
      <c r="G985" s="37"/>
      <c r="H985" s="37"/>
      <c r="I985" s="37"/>
      <c r="J985" s="37"/>
      <c r="K985" s="37"/>
      <c r="L985" s="23"/>
      <c r="M985" s="23"/>
    </row>
    <row r="986" ht="15.75" customHeight="1">
      <c r="A986" s="23"/>
      <c r="B986" s="24"/>
      <c r="C986" s="25"/>
      <c r="D986" s="26"/>
      <c r="E986" s="26"/>
      <c r="F986" s="26"/>
      <c r="G986" s="37"/>
      <c r="H986" s="37"/>
      <c r="I986" s="37"/>
      <c r="J986" s="37"/>
      <c r="K986" s="37"/>
      <c r="L986" s="23"/>
      <c r="M986" s="23"/>
    </row>
    <row r="987" ht="15.75" customHeight="1">
      <c r="A987" s="23"/>
      <c r="B987" s="24"/>
      <c r="C987" s="25"/>
      <c r="D987" s="26"/>
      <c r="E987" s="26"/>
      <c r="F987" s="26"/>
      <c r="G987" s="37"/>
      <c r="H987" s="37"/>
      <c r="I987" s="37"/>
      <c r="J987" s="37"/>
      <c r="K987" s="37"/>
      <c r="L987" s="23"/>
      <c r="M987" s="23"/>
    </row>
    <row r="988" ht="15.75" customHeight="1">
      <c r="A988" s="23"/>
      <c r="B988" s="24"/>
      <c r="C988" s="25"/>
      <c r="D988" s="26"/>
      <c r="E988" s="26"/>
      <c r="F988" s="26"/>
      <c r="G988" s="37"/>
      <c r="H988" s="37"/>
      <c r="I988" s="37"/>
      <c r="J988" s="37"/>
      <c r="K988" s="37"/>
      <c r="L988" s="23"/>
      <c r="M988" s="23"/>
    </row>
    <row r="989" ht="15.75" customHeight="1">
      <c r="A989" s="23"/>
      <c r="B989" s="24"/>
      <c r="C989" s="25"/>
      <c r="D989" s="26"/>
      <c r="E989" s="26"/>
      <c r="F989" s="26"/>
      <c r="G989" s="37"/>
      <c r="H989" s="37"/>
      <c r="I989" s="37"/>
      <c r="J989" s="37"/>
      <c r="K989" s="37"/>
      <c r="L989" s="23"/>
      <c r="M989" s="23"/>
    </row>
    <row r="990" ht="15.75" customHeight="1">
      <c r="A990" s="23"/>
      <c r="B990" s="24"/>
      <c r="C990" s="25"/>
      <c r="D990" s="26"/>
      <c r="E990" s="26"/>
      <c r="F990" s="26"/>
      <c r="G990" s="37"/>
      <c r="H990" s="37"/>
      <c r="I990" s="37"/>
      <c r="J990" s="37"/>
      <c r="K990" s="37"/>
      <c r="L990" s="23"/>
      <c r="M990" s="23"/>
    </row>
    <row r="991" ht="15.75" customHeight="1">
      <c r="A991" s="23"/>
      <c r="B991" s="24"/>
      <c r="C991" s="25"/>
      <c r="D991" s="26"/>
      <c r="E991" s="26"/>
      <c r="F991" s="26"/>
      <c r="G991" s="37"/>
      <c r="H991" s="37"/>
      <c r="I991" s="37"/>
      <c r="J991" s="37"/>
      <c r="K991" s="37"/>
      <c r="L991" s="23"/>
      <c r="M991" s="23"/>
    </row>
    <row r="992" ht="15.75" customHeight="1">
      <c r="A992" s="23"/>
      <c r="B992" s="24"/>
      <c r="C992" s="25"/>
      <c r="D992" s="26"/>
      <c r="E992" s="26"/>
      <c r="F992" s="26"/>
      <c r="G992" s="37"/>
      <c r="H992" s="37"/>
      <c r="I992" s="37"/>
      <c r="J992" s="37"/>
      <c r="K992" s="37"/>
      <c r="L992" s="23"/>
      <c r="M992" s="23"/>
    </row>
    <row r="993" ht="15.75" customHeight="1">
      <c r="A993" s="23"/>
      <c r="B993" s="24"/>
      <c r="C993" s="25"/>
      <c r="D993" s="26"/>
      <c r="E993" s="26"/>
      <c r="F993" s="26"/>
      <c r="G993" s="37"/>
      <c r="H993" s="37"/>
      <c r="I993" s="37"/>
      <c r="J993" s="37"/>
      <c r="K993" s="37"/>
      <c r="L993" s="23"/>
      <c r="M993" s="23"/>
    </row>
    <row r="994" ht="15.75" customHeight="1">
      <c r="A994" s="23"/>
      <c r="B994" s="24"/>
      <c r="C994" s="25"/>
      <c r="D994" s="26"/>
      <c r="E994" s="26"/>
      <c r="F994" s="26"/>
      <c r="G994" s="37"/>
      <c r="H994" s="37"/>
      <c r="I994" s="37"/>
      <c r="J994" s="37"/>
      <c r="K994" s="37"/>
      <c r="L994" s="23"/>
      <c r="M994" s="23"/>
    </row>
    <row r="995" ht="15.75" customHeight="1">
      <c r="A995" s="23"/>
      <c r="B995" s="24"/>
      <c r="C995" s="25"/>
      <c r="D995" s="26"/>
      <c r="E995" s="26"/>
      <c r="F995" s="26"/>
      <c r="G995" s="37"/>
      <c r="H995" s="37"/>
      <c r="I995" s="37"/>
      <c r="J995" s="37"/>
      <c r="K995" s="37"/>
      <c r="L995" s="23"/>
      <c r="M995" s="23"/>
    </row>
    <row r="996" ht="15.75" customHeight="1">
      <c r="A996" s="23"/>
      <c r="B996" s="24"/>
      <c r="C996" s="25"/>
      <c r="D996" s="26"/>
      <c r="E996" s="26"/>
      <c r="F996" s="26"/>
      <c r="G996" s="37"/>
      <c r="H996" s="37"/>
      <c r="I996" s="37"/>
      <c r="J996" s="37"/>
      <c r="K996" s="37"/>
      <c r="L996" s="23"/>
      <c r="M996" s="23"/>
    </row>
    <row r="997" ht="15.75" customHeight="1">
      <c r="A997" s="23"/>
      <c r="B997" s="24"/>
      <c r="C997" s="25"/>
      <c r="D997" s="26"/>
      <c r="E997" s="26"/>
      <c r="F997" s="26"/>
      <c r="G997" s="37"/>
      <c r="H997" s="37"/>
      <c r="I997" s="37"/>
      <c r="J997" s="37"/>
      <c r="K997" s="37"/>
      <c r="L997" s="23"/>
      <c r="M997" s="23"/>
    </row>
    <row r="998" ht="15.75" customHeight="1">
      <c r="A998" s="23"/>
      <c r="B998" s="24"/>
      <c r="C998" s="25"/>
      <c r="D998" s="26"/>
      <c r="E998" s="26"/>
      <c r="F998" s="26"/>
      <c r="G998" s="37"/>
      <c r="H998" s="37"/>
      <c r="I998" s="37"/>
      <c r="J998" s="37"/>
      <c r="K998" s="37"/>
      <c r="L998" s="23"/>
      <c r="M998" s="23"/>
    </row>
    <row r="999" ht="15.75" customHeight="1">
      <c r="A999" s="23"/>
      <c r="B999" s="24"/>
      <c r="C999" s="25"/>
      <c r="D999" s="26"/>
      <c r="E999" s="26"/>
      <c r="F999" s="26"/>
      <c r="G999" s="37"/>
      <c r="H999" s="37"/>
      <c r="I999" s="37"/>
      <c r="J999" s="37"/>
      <c r="K999" s="37"/>
      <c r="L999" s="23"/>
      <c r="M999" s="23"/>
    </row>
    <row r="1000" ht="15.75" customHeight="1">
      <c r="A1000" s="23"/>
      <c r="B1000" s="24"/>
      <c r="C1000" s="25"/>
      <c r="D1000" s="26"/>
      <c r="E1000" s="26"/>
      <c r="F1000" s="26"/>
      <c r="G1000" s="37"/>
      <c r="H1000" s="37"/>
      <c r="I1000" s="37"/>
      <c r="J1000" s="37"/>
      <c r="K1000" s="37"/>
      <c r="L1000" s="23"/>
      <c r="M1000" s="23"/>
    </row>
  </sheetData>
  <mergeCells count="1">
    <mergeCell ref="P1:T1"/>
  </mergeCells>
  <hyperlinks>
    <hyperlink display="RETORNAR AO MENU DE SELEÇÃO " location="null!A1" ref="P1"/>
  </hyperlinks>
  <printOptions/>
  <pageMargins bottom="0.787401575" footer="0.0" header="0.0" left="0.511811024" right="0.511811024" top="0.787401575"/>
  <pageSetup orientation="landscape"/>
  <drawing r:id="rId2"/>
  <legacyDrawing r:id="rId3"/>
  <tableParts count="1">
    <tablePart r:id="rId5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2025-06-04T12:43:49Z</dcterms:created>
  <dc:creator>José Roberto Carvalho Junior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0x0101001A5DA685A7641D48AFB2D2F1E2F1B5E2</vt:lpwstr>
  </property>
  <property fmtid="{D5CDD505-2E9C-101B-9397-08002B2CF9AE}" pid="3" name="MediaServiceImageTags">
    <vt:lpwstr/>
  </property>
</Properties>
</file>